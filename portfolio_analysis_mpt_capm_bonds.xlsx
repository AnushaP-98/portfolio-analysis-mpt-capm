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ush\Downloads\"/>
    </mc:Choice>
  </mc:AlternateContent>
  <xr:revisionPtr revIDLastSave="0" documentId="13_ncr:1_{7A234EE9-FB58-427C-8DF6-E9A2068B8A3B}" xr6:coauthVersionLast="47" xr6:coauthVersionMax="47" xr10:uidLastSave="{00000000-0000-0000-0000-000000000000}"/>
  <bookViews>
    <workbookView xWindow="-108" yWindow="-108" windowWidth="23256" windowHeight="12456" tabRatio="500" activeTab="6" xr2:uid="{00000000-000D-0000-FFFF-FFFF00000000}"/>
  </bookViews>
  <sheets>
    <sheet name="HCLTECH" sheetId="1" r:id="rId1"/>
    <sheet name="ITC" sheetId="2" r:id="rId2"/>
    <sheet name="HDFCBANK" sheetId="3" r:id="rId3"/>
    <sheet name="MARUTI" sheetId="4" r:id="rId4"/>
    <sheet name="RELIANCE" sheetId="5" r:id="rId5"/>
    <sheet name="DR.REDDY'S" sheetId="6" r:id="rId6"/>
    <sheet name="NIFTY50" sheetId="7" r:id="rId7"/>
    <sheet name="SUMMARY STATISTICS" sheetId="8" r:id="rId8"/>
    <sheet name="PORTFOLIO ANALYSIS" sheetId="9" r:id="rId9"/>
    <sheet name="PRICE-VOLUME ANALYSIS" sheetId="10" r:id="rId10"/>
    <sheet name="CAPM" sheetId="11" r:id="rId11"/>
    <sheet name="BONDS" sheetId="12" r:id="rId1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6" i="12" l="1"/>
  <c r="B36" i="12"/>
  <c r="C35" i="12"/>
  <c r="B35" i="12"/>
  <c r="C34" i="12"/>
  <c r="B34" i="12"/>
  <c r="C33" i="12"/>
  <c r="B33" i="12"/>
  <c r="F29" i="12"/>
  <c r="F28" i="12"/>
  <c r="F27" i="12"/>
  <c r="F26" i="12"/>
  <c r="F25" i="12"/>
  <c r="C37" i="12" s="1"/>
  <c r="D18" i="12"/>
  <c r="C18" i="12"/>
  <c r="B18" i="12"/>
  <c r="D15" i="12"/>
  <c r="B10" i="10"/>
  <c r="B9" i="10"/>
  <c r="B8" i="10"/>
  <c r="B7" i="10"/>
  <c r="B6" i="10"/>
  <c r="B5" i="10"/>
  <c r="B49" i="9"/>
  <c r="B48" i="9"/>
  <c r="C48" i="9" s="1"/>
  <c r="C47" i="9"/>
  <c r="B47" i="9"/>
  <c r="B46" i="9"/>
  <c r="B45" i="9"/>
  <c r="B44" i="9"/>
  <c r="C46" i="9" s="1"/>
  <c r="C35" i="9"/>
  <c r="C34" i="9"/>
  <c r="C33" i="9"/>
  <c r="C32" i="9"/>
  <c r="C31" i="9"/>
  <c r="C30" i="9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D2" i="8" s="1"/>
  <c r="D8" i="11" s="1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E10" i="9" s="1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C9" i="9" s="1"/>
  <c r="O7" i="5"/>
  <c r="C6" i="8" s="1"/>
  <c r="O6" i="5"/>
  <c r="O5" i="5"/>
  <c r="O4" i="5"/>
  <c r="O3" i="5"/>
  <c r="B9" i="9" s="1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B8" i="9" s="1"/>
  <c r="O5" i="4"/>
  <c r="C5" i="8" s="1"/>
  <c r="O4" i="4"/>
  <c r="O3" i="4"/>
  <c r="G8" i="9" s="1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G7" i="9" s="1"/>
  <c r="O3" i="3"/>
  <c r="F7" i="9" s="1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B3" i="8" s="1"/>
  <c r="B9" i="11" s="1"/>
  <c r="C9" i="11" s="1"/>
  <c r="O9" i="2"/>
  <c r="O8" i="2"/>
  <c r="O7" i="2"/>
  <c r="O6" i="2"/>
  <c r="O5" i="2"/>
  <c r="O4" i="2"/>
  <c r="O3" i="2"/>
  <c r="D6" i="9" s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C5" i="9" s="1"/>
  <c r="O7" i="1"/>
  <c r="O6" i="1"/>
  <c r="O5" i="1"/>
  <c r="O4" i="1"/>
  <c r="O3" i="1"/>
  <c r="B5" i="9" s="1"/>
  <c r="D5" i="8" l="1"/>
  <c r="D11" i="11" s="1"/>
  <c r="E6" i="9"/>
  <c r="D5" i="9"/>
  <c r="B16" i="9" s="1" a="1"/>
  <c r="D9" i="9"/>
  <c r="E5" i="9"/>
  <c r="E9" i="9"/>
  <c r="B7" i="9"/>
  <c r="C4" i="8"/>
  <c r="B7" i="8"/>
  <c r="B13" i="11" s="1"/>
  <c r="C13" i="11" s="1"/>
  <c r="G5" i="9"/>
  <c r="C7" i="9"/>
  <c r="E8" i="9"/>
  <c r="G9" i="9"/>
  <c r="B4" i="11"/>
  <c r="B5" i="11" s="1"/>
  <c r="E8" i="11" s="1"/>
  <c r="B6" i="8"/>
  <c r="B12" i="11" s="1"/>
  <c r="C12" i="11" s="1"/>
  <c r="D3" i="8"/>
  <c r="D9" i="11" s="1"/>
  <c r="C8" i="9"/>
  <c r="G10" i="9"/>
  <c r="B4" i="8"/>
  <c r="B10" i="11" s="1"/>
  <c r="C10" i="11" s="1"/>
  <c r="F5" i="9"/>
  <c r="F9" i="9"/>
  <c r="C44" i="9"/>
  <c r="D4" i="8"/>
  <c r="D10" i="11" s="1"/>
  <c r="C7" i="8"/>
  <c r="B6" i="9"/>
  <c r="D7" i="9"/>
  <c r="F8" i="9"/>
  <c r="B10" i="9"/>
  <c r="C45" i="9"/>
  <c r="C49" i="9"/>
  <c r="F6" i="9"/>
  <c r="F10" i="9"/>
  <c r="G6" i="9"/>
  <c r="D6" i="8"/>
  <c r="D12" i="11" s="1"/>
  <c r="E12" i="11" s="1"/>
  <c r="D8" i="9"/>
  <c r="B2" i="8"/>
  <c r="B8" i="11" s="1"/>
  <c r="C8" i="11" s="1"/>
  <c r="C2" i="8"/>
  <c r="B5" i="8"/>
  <c r="B11" i="11" s="1"/>
  <c r="C11" i="11" s="1"/>
  <c r="D7" i="8"/>
  <c r="D13" i="11" s="1"/>
  <c r="E13" i="11" s="1"/>
  <c r="C6" i="9"/>
  <c r="E7" i="9"/>
  <c r="C10" i="9"/>
  <c r="B37" i="9"/>
  <c r="B59" i="9" s="1"/>
  <c r="D59" i="9" s="1"/>
  <c r="C3" i="8"/>
  <c r="D10" i="9"/>
  <c r="B37" i="12"/>
  <c r="F20" i="9" l="1"/>
  <c r="D19" i="9"/>
  <c r="B18" i="9"/>
  <c r="F16" i="9"/>
  <c r="G21" i="9"/>
  <c r="E20" i="9"/>
  <c r="C19" i="9"/>
  <c r="G17" i="9"/>
  <c r="E16" i="9"/>
  <c r="F21" i="9"/>
  <c r="D20" i="9"/>
  <c r="B19" i="9"/>
  <c r="F17" i="9"/>
  <c r="D16" i="9"/>
  <c r="G20" i="9"/>
  <c r="E19" i="9"/>
  <c r="C18" i="9"/>
  <c r="G16" i="9"/>
  <c r="E21" i="9"/>
  <c r="C20" i="9"/>
  <c r="G18" i="9"/>
  <c r="E17" i="9"/>
  <c r="C16" i="9"/>
  <c r="C21" i="9"/>
  <c r="G19" i="9"/>
  <c r="E18" i="9"/>
  <c r="C17" i="9"/>
  <c r="B16" i="9"/>
  <c r="B21" i="9"/>
  <c r="F19" i="9"/>
  <c r="D18" i="9"/>
  <c r="B17" i="9"/>
  <c r="D21" i="9"/>
  <c r="B20" i="9"/>
  <c r="F18" i="9"/>
  <c r="D17" i="9"/>
  <c r="E11" i="11"/>
  <c r="E9" i="11"/>
  <c r="E10" i="11"/>
  <c r="B38" i="9" a="1"/>
  <c r="B38" i="9" s="1"/>
  <c r="B39" i="9" s="1"/>
  <c r="C59" i="9" s="1"/>
  <c r="E59" i="9" s="1"/>
  <c r="B52" i="9" a="1"/>
  <c r="B52" i="9" s="1"/>
  <c r="B53" i="9" s="1"/>
  <c r="C60" i="9" s="1"/>
  <c r="E60" i="9" s="1"/>
  <c r="B51" i="9"/>
  <c r="B60" i="9" s="1"/>
  <c r="D60" i="9" s="1"/>
  <c r="I16" i="9" l="1" a="1"/>
  <c r="I16" i="9" l="1"/>
  <c r="I21" i="9"/>
  <c r="I20" i="9"/>
  <c r="I18" i="9"/>
  <c r="I17" i="9"/>
  <c r="I19" i="9"/>
  <c r="J19" i="9" s="1"/>
  <c r="J17" i="9" l="1"/>
  <c r="J18" i="9"/>
  <c r="J20" i="9"/>
  <c r="J21" i="9"/>
  <c r="J16" i="9"/>
  <c r="B23" i="9" s="1"/>
  <c r="B58" i="9" s="1"/>
  <c r="D58" i="9" s="1"/>
  <c r="B24" i="9"/>
  <c r="B25" i="9" s="1"/>
  <c r="C58" i="9" s="1"/>
  <c r="E58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0" authorId="0" shapeId="0" xr:uid="{00000000-0006-0000-0800-000001000000}">
      <text>
        <r>
          <rPr>
            <sz val="10"/>
            <rFont val="Arial"/>
            <family val="2"/>
          </rPr>
          <t>Market cap figures as provided by user (approx., as of Aug 2026). Source: user-supplied (moneycontrol/NSE/screener.in).</t>
        </r>
      </text>
    </comment>
  </commentList>
</comments>
</file>

<file path=xl/sharedStrings.xml><?xml version="1.0" encoding="utf-8"?>
<sst xmlns="http://schemas.openxmlformats.org/spreadsheetml/2006/main" count="3242" uniqueCount="128">
  <si>
    <t>DATE</t>
  </si>
  <si>
    <t>SERIES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</si>
  <si>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</si>
  <si>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</si>
  <si>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</si>
  <si>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</si>
  <si>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</si>
  <si>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</si>
  <si>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</si>
  <si>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</si>
  <si>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</si>
  <si>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</si>
  <si>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VALUE</t>
  </si>
  <si>
    <t>NO. OF  TRADES</t>
  </si>
  <si>
    <t>Daily Return</t>
  </si>
  <si>
    <t>EQ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</si>
  <si>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</si>
  <si>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</si>
  <si>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</si>
  <si>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</si>
  <si>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</si>
  <si>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</si>
  <si>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(? Cr)</t>
  </si>
  <si>
    <t>Stock</t>
  </si>
  <si>
    <t>Mean Daily Return</t>
  </si>
  <si>
    <t>Standard Deviation</t>
  </si>
  <si>
    <t>Beta</t>
  </si>
  <si>
    <t>HCLTECH</t>
  </si>
  <si>
    <t>ITC</t>
  </si>
  <si>
    <t>HDFCBANK</t>
  </si>
  <si>
    <t>MARUTI</t>
  </si>
  <si>
    <t>RELIANCE</t>
  </si>
  <si>
    <t>DR.REDDY'S</t>
  </si>
  <si>
    <t>Portfolio Construction &amp; Performance Analysis</t>
  </si>
  <si>
    <t>Covariance Matrix (Daily Returns)</t>
  </si>
  <si>
    <t>Minimum Variance Portfolio (via matrix inversion: w = Sigma^-1 * 1 / (1^T Sigma^-1 1))</t>
  </si>
  <si>
    <t>Inverse Covariance Matrix</t>
  </si>
  <si>
    <t>Ones</t>
  </si>
  <si>
    <t>Sigma^-1 * 1</t>
  </si>
  <si>
    <t>MinVar Weight</t>
  </si>
  <si>
    <t>Minimum Variance Portfolio - Expected Daily Return</t>
  </si>
  <si>
    <t>Minimum Variance Portfolio - Daily Variance (= 1/(1^T Sigma^-1 1))</t>
  </si>
  <si>
    <t>Minimum Variance Portfolio - Daily Std Dev</t>
  </si>
  <si>
    <t>Value-Weighted Portfolio (weights by Market Capitalization)</t>
  </si>
  <si>
    <t>Market Cap (Rs Cr)</t>
  </si>
  <si>
    <t>Weight</t>
  </si>
  <si>
    <t>Value-Weighted Portfolio - Expected Daily Return</t>
  </si>
  <si>
    <t>Value-Weighted Portfolio - Daily Variance</t>
  </si>
  <si>
    <t>Value-Weighted Portfolio - Daily Std Dev</t>
  </si>
  <si>
    <t>Price-Weighted Portfolio (weights by latest closing price)</t>
  </si>
  <si>
    <t>Latest Close Price</t>
  </si>
  <si>
    <t>Price-Weighted Portfolio - Expected Daily Return</t>
  </si>
  <si>
    <t>Price-Weighted Portfolio - Daily Variance</t>
  </si>
  <si>
    <t>Price-Weighted Portfolio - Daily Std Dev</t>
  </si>
  <si>
    <t>Portfolio Performance Comparison</t>
  </si>
  <si>
    <t>Portfolio</t>
  </si>
  <si>
    <t>Daily Std Dev</t>
  </si>
  <si>
    <t>Annualized Return</t>
  </si>
  <si>
    <t>Annualized Std Dev</t>
  </si>
  <si>
    <t>Minimum Variance</t>
  </si>
  <si>
    <t>Value-Weighted</t>
  </si>
  <si>
    <t>Price-Weighted</t>
  </si>
  <si>
    <t>Comparing the three portfolios over the 2-year sample period, the Minimum Variance Portfolio delivers the lowest risk (annualized standard deviation of ~14.9%), as expected, since its weights are constructed purely to minimize variance using the covariance structure of the 6 stocks; it even takes a small short position in Reliance, the highest-variance stock, to reduce overall portfolio risk. However, this comes with a negative annualized return (~-11.1%), reflecting the weak performance of the underlying stocks over this window.
The Value-Weighted Portfolio, which tilts heavily toward Reliance and HDFC Bank (the two largest-MCAP stocks, together over 65% of the portfolio), has the worst risk-return profile of the three: the highest risk (~24.4%) and the most negative return (~-23.7%). This happens because value-weighting concentrates the portfolio in exactly the stocks that performed poorly and were most volatile in this period, with no adjustment for risk.
The Price-Weighted Portfolio performs best on a return basis (~+1.0% annualized), but this is largely an artifact of its construction: because weights are based on raw share price rather than economic size, Maruti's high share price (~Rs 14,115) gives it a dominant ~74.6% weight, so the portfolio's performance is essentially a bet on Maruti rather than a diversified basket. Its risk (~20.3%) sits between the other two portfolios.
Overall, this illustrates a key lesson from portfolio theory: the Minimum Variance Portfolio is the most theoretically sound for a risk-averse investor since it explicitly optimizes for lower risk using the covariance matrix, while both the Value-Weighted and Price-Weighted portfolios can become unintentionally concentrated in a small number of stocks, undermining the diversification benefit that motivates using 6 stocks in the first place.</t>
  </si>
  <si>
    <t>Price-Volume Analysis (2-Year Daily Data)</t>
  </si>
  <si>
    <t>Correlation between Daily Price and Daily Volume</t>
  </si>
  <si>
    <t>Corr(Close, Volume)</t>
  </si>
  <si>
    <t>All six stocks show a negative correlation between daily closing price and daily trading volume over the 2-year period, meaning volume tends to be higher on days when prices are lower, and vice versa. This is a common pattern for large, liquid stocks: participants tend to trade more actively (higher volume) during sell-offs or corrections, while volume typically eases off as prices grind higher, since fewer investors are willing to sell into a rally.
HDFC Bank (-0.46) and Dr. Reddy's (-0.40) show the strongest negative relationship, suggesting these stocks saw the most pronounced volume spikes during their price declines - possibly linked to company-specific or sector news that triggered heavier selling. Reliance (-0.39) shows a similarly strong pattern.
ITC (-0.12) and Maruti (-0.08) show only weak negative correlation, indicating their trading volume was more evenly distributed across price levels and less driven by sharp sell-offs - consistent with them being viewed as relatively more stable, lower-beta stocks over this period (see Summary Statistics sheet).
HCL Tech (-0.21) falls in between, with a moderate tendency for volume to rise on down-days.
Overall, the pattern across all 6 stocks supports the general market observation that volume is a better signal of investor anxiety/selling pressure than of bullish conviction in this sample period, which aligns with the broadly negative average daily returns most of these stocks posted (see Summary Statistics).</t>
  </si>
  <si>
    <t>Capital Asset Pricing Model (CAPM)</t>
  </si>
  <si>
    <t>Risk-Free Rate (Rf) - annualized, 10Y India G-Sec yield</t>
  </si>
  <si>
    <t>Source: tradingeconomics.com, India 10Y G-Sec yield, 31 Jul 2026</t>
  </si>
  <si>
    <t>Market Return (Rm) - annualized Nifty 50 mean daily return x 252</t>
  </si>
  <si>
    <t>Market Risk Premium (Rm - Rf)</t>
  </si>
  <si>
    <t>CAPM Required Return = Rf + Beta*(Rm-Rf)</t>
  </si>
  <si>
    <t>Section IV: Bonds</t>
  </si>
  <si>
    <t>IV.a - Bond Data Collection (NSE)</t>
  </si>
  <si>
    <t>Field</t>
  </si>
  <si>
    <t>Short-Term G-Sec</t>
  </si>
  <si>
    <t>Long-Term G-Sec</t>
  </si>
  <si>
    <t>Corporate NCD</t>
  </si>
  <si>
    <t>Bond Name</t>
  </si>
  <si>
    <t>06.36 GS 2031</t>
  </si>
  <si>
    <t>06.68 GS 2040</t>
  </si>
  <si>
    <t>769NHAI31</t>
  </si>
  <si>
    <t>Issuer</t>
  </si>
  <si>
    <t>Government of India</t>
  </si>
  <si>
    <t>NHAI</t>
  </si>
  <si>
    <t>Category</t>
  </si>
  <si>
    <t>Coupon Rate</t>
  </si>
  <si>
    <t>Face Value (Rs)</t>
  </si>
  <si>
    <t>Last Traded Price (Rs)</t>
  </si>
  <si>
    <t>Yield</t>
  </si>
  <si>
    <t>Volume Traded</t>
  </si>
  <si>
    <t>1,295.00 Cr (141 trades)</t>
  </si>
  <si>
    <t>1,520.00 Cr (175 trades)</t>
  </si>
  <si>
    <t>Approx. Maturity Year</t>
  </si>
  <si>
    <t>Current Yield (approx.) for Corporate NCD = Coupon x Face Value / Price</t>
  </si>
  <si>
    <t>Note: True Yield to Maturity for the NCD requires exact maturity date &amp; cash flow schedule from NSE; current yield used as an approximation here.</t>
  </si>
  <si>
    <t>Remaining Maturity (Years, approx., from Aug 2026)</t>
  </si>
  <si>
    <t>IV.b - Bond Price-Yield Analysis (RBI Retail Direct - G-Secs of Different Maturities)</t>
  </si>
  <si>
    <t>Source: RBI Retail Direct, Top Market Data, 04 Aug 2026</t>
  </si>
  <si>
    <t>Price</t>
  </si>
  <si>
    <t>Yield to Maturity</t>
  </si>
  <si>
    <t>Maturity Year</t>
  </si>
  <si>
    <t>Years to Maturity (approx.)</t>
  </si>
  <si>
    <t>06.94 GS 2036</t>
  </si>
  <si>
    <t>06.54 GS 2032</t>
  </si>
  <si>
    <t>06.68 GS 2033</t>
  </si>
  <si>
    <t>Answers</t>
  </si>
  <si>
    <t>Highest Coupon Rate security</t>
  </si>
  <si>
    <t>Lowest Coupon Rate security</t>
  </si>
  <si>
    <t>Highest Yield to Maturity security</t>
  </si>
  <si>
    <t>Lowest Yield to Maturity security</t>
  </si>
  <si>
    <t>Longest Remaining Maturity security</t>
  </si>
  <si>
    <t>Trading Data (for a given date - 04 Aug 2026, RBI Retail Direct)</t>
  </si>
  <si>
    <t>Short-Term G-Sec
(06.36 GS 2031)</t>
  </si>
  <si>
    <t>Long-Term G-Sec
(06.68 GS 2040)</t>
  </si>
  <si>
    <t>Corporate NCD
(769NHAI31)</t>
  </si>
  <si>
    <t>Buy (Bid) Price</t>
  </si>
  <si>
    <t>Buy (Bid) Quantity</t>
  </si>
  <si>
    <t>Sell (Offer/Ask) Price</t>
  </si>
  <si>
    <t>Sell (Offer/Ask) Quantity</t>
  </si>
  <si>
    <t>High Price (day)</t>
  </si>
  <si>
    <t>Low Price (day)</t>
  </si>
  <si>
    <t>Previous Close</t>
  </si>
  <si>
    <t>VWAP (optional)</t>
  </si>
  <si>
    <t>Note: Buy/Sell price &amp; quantity for the G-Secs are from RBI Retail Direct order book (as shown in screenshot, 04 Aug 2026). All fields including NCD High/Low, Buy/Sell, Previous Close and VWAP now sourced from NSE bond page (04 Aug 2026). Note: quantities are in Rs Cr for the two G-Secs (RBI Retail Direct convention) and in number of bonds for the NCD (NSE convention). G-Sec High/Low/Volume sourced from CCIL NDS-OM Market Today (04 Aug 2026, 1:18 PM); Volume shown as Total Traded Amount (Rs Cr) with number of trades in parentheses.</t>
  </si>
  <si>
    <t>Analysis and comments on the relationship between price movement and trading volume for each stock</t>
  </si>
  <si>
    <t xml:space="preserve">Portfolio Performance Analysis (Section I.c)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</si>
</sst>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\-yy"/>
    <numFmt numFmtId="165" formatCode="0.000000"/>
    <numFmt numFmtId="166" formatCode="0.0000%"/>
    <numFmt numFmtId="167" formatCode="#,##0.0000"/>
  </numFmts>
  <fonts count="1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3"/>
      <name val="Cambria"/>
      <charset val="1"/>
    </font>
    <font>
      <b/>
      <sz val="11"/>
      <name val="Cambria"/>
      <charset val="1"/>
    </font>
    <font>
      <sz val="10"/>
      <name val="Arial"/>
      <family val="2"/>
    </font>
    <font>
      <b/>
      <i/>
      <sz val="11"/>
      <name val="Cambria"/>
      <charset val="1"/>
    </font>
    <font>
      <b/>
      <sz val="11"/>
      <color theme="1"/>
      <name val="Calibri"/>
      <family val="2"/>
    </font>
    <font>
      <b/>
      <sz val="13"/>
      <name val="Cambria"/>
      <family val="1"/>
    </font>
    <font>
      <sz val="11"/>
      <name val="Calibri"/>
      <family val="2"/>
      <charset val="1"/>
    </font>
    <font>
      <b/>
      <sz val="12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i/>
      <sz val="9"/>
      <name val="Cambria"/>
      <family val="1"/>
    </font>
    <font>
      <b/>
      <i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CFFCC"/>
      </patternFill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0" xfId="0" applyFont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2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11" fillId="0" borderId="0" xfId="0" applyFont="1"/>
    <xf numFmtId="166" fontId="11" fillId="0" borderId="0" xfId="0" applyNumberFormat="1" applyFont="1"/>
    <xf numFmtId="4" fontId="11" fillId="0" borderId="0" xfId="0" applyNumberFormat="1" applyFont="1"/>
    <xf numFmtId="166" fontId="8" fillId="0" borderId="0" xfId="0" applyNumberFormat="1" applyFont="1"/>
    <xf numFmtId="0" fontId="12" fillId="0" borderId="0" xfId="0" applyFont="1"/>
    <xf numFmtId="0" fontId="12" fillId="0" borderId="0" xfId="0" applyFont="1"/>
    <xf numFmtId="10" fontId="11" fillId="0" borderId="0" xfId="0" applyNumberFormat="1" applyFont="1"/>
    <xf numFmtId="167" fontId="11" fillId="0" borderId="0" xfId="0" applyNumberFormat="1" applyFont="1"/>
    <xf numFmtId="10" fontId="8" fillId="0" borderId="0" xfId="0" applyNumberFormat="1" applyFont="1"/>
    <xf numFmtId="1" fontId="8" fillId="0" borderId="0" xfId="0" applyNumberFormat="1" applyFont="1"/>
    <xf numFmtId="0" fontId="10" fillId="2" borderId="0" xfId="0" applyFont="1" applyFill="1" applyAlignment="1">
      <alignment wrapText="1"/>
    </xf>
    <xf numFmtId="2" fontId="8" fillId="0" borderId="0" xfId="0" applyNumberFormat="1" applyFont="1"/>
    <xf numFmtId="0" fontId="13" fillId="0" borderId="0" xfId="0" applyFont="1"/>
    <xf numFmtId="0" fontId="0" fillId="3" borderId="0" xfId="0" applyFill="1" applyAlignment="1">
      <alignment vertical="top" wrapText="1"/>
    </xf>
    <xf numFmtId="165" fontId="8" fillId="0" borderId="0" xfId="0" applyNumberFormat="1" applyFont="1"/>
    <xf numFmtId="4" fontId="8" fillId="0" borderId="0" xfId="0" applyNumberFormat="1" applyFont="1"/>
    <xf numFmtId="0" fontId="8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HCLTECH: Price vs Volume (2Y Daily)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HCLTECH!$L$1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HCLTECH!$A$2:$A$496</c:f>
              <c:numCache>
                <c:formatCode>d\-mmm\-yy</c:formatCode>
                <c:ptCount val="495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45614</c:v>
                </c:pt>
                <c:pt idx="97">
                  <c:v>45615</c:v>
                </c:pt>
                <c:pt idx="98">
                  <c:v>45617</c:v>
                </c:pt>
                <c:pt idx="99">
                  <c:v>45618</c:v>
                </c:pt>
                <c:pt idx="100">
                  <c:v>45621</c:v>
                </c:pt>
                <c:pt idx="101">
                  <c:v>45622</c:v>
                </c:pt>
                <c:pt idx="102">
                  <c:v>45623</c:v>
                </c:pt>
                <c:pt idx="103">
                  <c:v>45624</c:v>
                </c:pt>
                <c:pt idx="104">
                  <c:v>45625</c:v>
                </c:pt>
                <c:pt idx="105">
                  <c:v>45628</c:v>
                </c:pt>
                <c:pt idx="106">
                  <c:v>45629</c:v>
                </c:pt>
                <c:pt idx="107">
                  <c:v>45630</c:v>
                </c:pt>
                <c:pt idx="108">
                  <c:v>45631</c:v>
                </c:pt>
                <c:pt idx="109">
                  <c:v>45632</c:v>
                </c:pt>
                <c:pt idx="110">
                  <c:v>45635</c:v>
                </c:pt>
                <c:pt idx="111">
                  <c:v>45636</c:v>
                </c:pt>
                <c:pt idx="112">
                  <c:v>45637</c:v>
                </c:pt>
                <c:pt idx="113">
                  <c:v>45638</c:v>
                </c:pt>
                <c:pt idx="114">
                  <c:v>45639</c:v>
                </c:pt>
                <c:pt idx="115">
                  <c:v>45642</c:v>
                </c:pt>
                <c:pt idx="116">
                  <c:v>45643</c:v>
                </c:pt>
                <c:pt idx="117">
                  <c:v>45644</c:v>
                </c:pt>
                <c:pt idx="118">
                  <c:v>45645</c:v>
                </c:pt>
                <c:pt idx="119">
                  <c:v>45646</c:v>
                </c:pt>
                <c:pt idx="120">
                  <c:v>45649</c:v>
                </c:pt>
                <c:pt idx="121">
                  <c:v>45650</c:v>
                </c:pt>
                <c:pt idx="122">
                  <c:v>45652</c:v>
                </c:pt>
                <c:pt idx="123">
                  <c:v>45653</c:v>
                </c:pt>
                <c:pt idx="124">
                  <c:v>45656</c:v>
                </c:pt>
                <c:pt idx="125">
                  <c:v>45657</c:v>
                </c:pt>
                <c:pt idx="126">
                  <c:v>45658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45666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45677</c:v>
                </c:pt>
                <c:pt idx="140">
                  <c:v>45678</c:v>
                </c:pt>
                <c:pt idx="141">
                  <c:v>45679</c:v>
                </c:pt>
                <c:pt idx="142">
                  <c:v>45680</c:v>
                </c:pt>
                <c:pt idx="143">
                  <c:v>45681</c:v>
                </c:pt>
                <c:pt idx="144">
                  <c:v>45684</c:v>
                </c:pt>
                <c:pt idx="145">
                  <c:v>45685</c:v>
                </c:pt>
                <c:pt idx="146">
                  <c:v>45686</c:v>
                </c:pt>
                <c:pt idx="147">
                  <c:v>45687</c:v>
                </c:pt>
                <c:pt idx="148">
                  <c:v>45688</c:v>
                </c:pt>
                <c:pt idx="149">
                  <c:v>45689</c:v>
                </c:pt>
                <c:pt idx="150">
                  <c:v>45691</c:v>
                </c:pt>
                <c:pt idx="151">
                  <c:v>45692</c:v>
                </c:pt>
                <c:pt idx="152">
                  <c:v>45693</c:v>
                </c:pt>
                <c:pt idx="153">
                  <c:v>45694</c:v>
                </c:pt>
                <c:pt idx="154">
                  <c:v>45695</c:v>
                </c:pt>
                <c:pt idx="155">
                  <c:v>45698</c:v>
                </c:pt>
                <c:pt idx="156">
                  <c:v>45699</c:v>
                </c:pt>
                <c:pt idx="157">
                  <c:v>45700</c:v>
                </c:pt>
                <c:pt idx="158">
                  <c:v>45701</c:v>
                </c:pt>
                <c:pt idx="159">
                  <c:v>45702</c:v>
                </c:pt>
                <c:pt idx="160">
                  <c:v>45705</c:v>
                </c:pt>
                <c:pt idx="161">
                  <c:v>45706</c:v>
                </c:pt>
                <c:pt idx="162">
                  <c:v>45707</c:v>
                </c:pt>
                <c:pt idx="163">
                  <c:v>45708</c:v>
                </c:pt>
                <c:pt idx="164">
                  <c:v>45709</c:v>
                </c:pt>
                <c:pt idx="165">
                  <c:v>45712</c:v>
                </c:pt>
                <c:pt idx="166">
                  <c:v>45713</c:v>
                </c:pt>
                <c:pt idx="167">
                  <c:v>45715</c:v>
                </c:pt>
                <c:pt idx="168">
                  <c:v>45716</c:v>
                </c:pt>
                <c:pt idx="169">
                  <c:v>45719</c:v>
                </c:pt>
                <c:pt idx="170">
                  <c:v>45720</c:v>
                </c:pt>
                <c:pt idx="171">
                  <c:v>45721</c:v>
                </c:pt>
                <c:pt idx="172">
                  <c:v>45722</c:v>
                </c:pt>
                <c:pt idx="173">
                  <c:v>45723</c:v>
                </c:pt>
                <c:pt idx="174">
                  <c:v>45726</c:v>
                </c:pt>
                <c:pt idx="175">
                  <c:v>45727</c:v>
                </c:pt>
                <c:pt idx="176">
                  <c:v>45728</c:v>
                </c:pt>
                <c:pt idx="177">
                  <c:v>45729</c:v>
                </c:pt>
                <c:pt idx="178">
                  <c:v>45733</c:v>
                </c:pt>
                <c:pt idx="179">
                  <c:v>45734</c:v>
                </c:pt>
                <c:pt idx="180">
                  <c:v>45735</c:v>
                </c:pt>
                <c:pt idx="181">
                  <c:v>45736</c:v>
                </c:pt>
                <c:pt idx="182">
                  <c:v>45737</c:v>
                </c:pt>
                <c:pt idx="183">
                  <c:v>45740</c:v>
                </c:pt>
                <c:pt idx="184">
                  <c:v>45741</c:v>
                </c:pt>
                <c:pt idx="185">
                  <c:v>45742</c:v>
                </c:pt>
                <c:pt idx="186">
                  <c:v>45743</c:v>
                </c:pt>
                <c:pt idx="187">
                  <c:v>45744</c:v>
                </c:pt>
                <c:pt idx="188">
                  <c:v>45748</c:v>
                </c:pt>
                <c:pt idx="189">
                  <c:v>45749</c:v>
                </c:pt>
                <c:pt idx="190">
                  <c:v>45750</c:v>
                </c:pt>
                <c:pt idx="191">
                  <c:v>45751</c:v>
                </c:pt>
                <c:pt idx="192">
                  <c:v>45754</c:v>
                </c:pt>
                <c:pt idx="193">
                  <c:v>45755</c:v>
                </c:pt>
                <c:pt idx="194">
                  <c:v>45756</c:v>
                </c:pt>
                <c:pt idx="195">
                  <c:v>45758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45798</c:v>
                </c:pt>
                <c:pt idx="221">
                  <c:v>45799</c:v>
                </c:pt>
                <c:pt idx="222">
                  <c:v>45800</c:v>
                </c:pt>
                <c:pt idx="223">
                  <c:v>45803</c:v>
                </c:pt>
                <c:pt idx="224">
                  <c:v>45804</c:v>
                </c:pt>
                <c:pt idx="225">
                  <c:v>45805</c:v>
                </c:pt>
                <c:pt idx="226">
                  <c:v>45806</c:v>
                </c:pt>
                <c:pt idx="227">
                  <c:v>45807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45817</c:v>
                </c:pt>
                <c:pt idx="234">
                  <c:v>45818</c:v>
                </c:pt>
                <c:pt idx="235">
                  <c:v>45819</c:v>
                </c:pt>
                <c:pt idx="236">
                  <c:v>45820</c:v>
                </c:pt>
                <c:pt idx="237">
                  <c:v>45821</c:v>
                </c:pt>
                <c:pt idx="238">
                  <c:v>45824</c:v>
                </c:pt>
                <c:pt idx="239">
                  <c:v>45825</c:v>
                </c:pt>
                <c:pt idx="240">
                  <c:v>45826</c:v>
                </c:pt>
                <c:pt idx="241">
                  <c:v>45827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45842</c:v>
                </c:pt>
                <c:pt idx="253">
                  <c:v>45845</c:v>
                </c:pt>
                <c:pt idx="254">
                  <c:v>45846</c:v>
                </c:pt>
                <c:pt idx="255">
                  <c:v>45847</c:v>
                </c:pt>
                <c:pt idx="256">
                  <c:v>45848</c:v>
                </c:pt>
                <c:pt idx="257">
                  <c:v>45849</c:v>
                </c:pt>
                <c:pt idx="258">
                  <c:v>45852</c:v>
                </c:pt>
                <c:pt idx="259">
                  <c:v>45853</c:v>
                </c:pt>
                <c:pt idx="260">
                  <c:v>45854</c:v>
                </c:pt>
                <c:pt idx="261">
                  <c:v>45855</c:v>
                </c:pt>
                <c:pt idx="262">
                  <c:v>45856</c:v>
                </c:pt>
                <c:pt idx="263">
                  <c:v>45859</c:v>
                </c:pt>
                <c:pt idx="264">
                  <c:v>45860</c:v>
                </c:pt>
                <c:pt idx="265">
                  <c:v>45861</c:v>
                </c:pt>
                <c:pt idx="266">
                  <c:v>45862</c:v>
                </c:pt>
                <c:pt idx="267">
                  <c:v>45863</c:v>
                </c:pt>
                <c:pt idx="268">
                  <c:v>45866</c:v>
                </c:pt>
                <c:pt idx="269">
                  <c:v>45867</c:v>
                </c:pt>
                <c:pt idx="270">
                  <c:v>45868</c:v>
                </c:pt>
                <c:pt idx="271">
                  <c:v>45869</c:v>
                </c:pt>
                <c:pt idx="272">
                  <c:v>45870</c:v>
                </c:pt>
                <c:pt idx="273">
                  <c:v>45873</c:v>
                </c:pt>
                <c:pt idx="274">
                  <c:v>45874</c:v>
                </c:pt>
                <c:pt idx="275">
                  <c:v>45875</c:v>
                </c:pt>
                <c:pt idx="276">
                  <c:v>45876</c:v>
                </c:pt>
                <c:pt idx="277">
                  <c:v>45877</c:v>
                </c:pt>
                <c:pt idx="278">
                  <c:v>45880</c:v>
                </c:pt>
                <c:pt idx="279">
                  <c:v>45881</c:v>
                </c:pt>
                <c:pt idx="280">
                  <c:v>45882</c:v>
                </c:pt>
                <c:pt idx="281">
                  <c:v>45883</c:v>
                </c:pt>
                <c:pt idx="282">
                  <c:v>45887</c:v>
                </c:pt>
                <c:pt idx="283">
                  <c:v>45888</c:v>
                </c:pt>
                <c:pt idx="284">
                  <c:v>45889</c:v>
                </c:pt>
                <c:pt idx="285">
                  <c:v>45890</c:v>
                </c:pt>
                <c:pt idx="286">
                  <c:v>45891</c:v>
                </c:pt>
                <c:pt idx="287">
                  <c:v>45894</c:v>
                </c:pt>
                <c:pt idx="288">
                  <c:v>45895</c:v>
                </c:pt>
                <c:pt idx="289">
                  <c:v>45897</c:v>
                </c:pt>
                <c:pt idx="290">
                  <c:v>45898</c:v>
                </c:pt>
                <c:pt idx="291">
                  <c:v>45901</c:v>
                </c:pt>
                <c:pt idx="292">
                  <c:v>45902</c:v>
                </c:pt>
                <c:pt idx="293">
                  <c:v>45903</c:v>
                </c:pt>
                <c:pt idx="294">
                  <c:v>45904</c:v>
                </c:pt>
                <c:pt idx="295">
                  <c:v>45905</c:v>
                </c:pt>
                <c:pt idx="296">
                  <c:v>45908</c:v>
                </c:pt>
                <c:pt idx="297">
                  <c:v>45909</c:v>
                </c:pt>
                <c:pt idx="298">
                  <c:v>45910</c:v>
                </c:pt>
                <c:pt idx="299">
                  <c:v>45911</c:v>
                </c:pt>
                <c:pt idx="300">
                  <c:v>45912</c:v>
                </c:pt>
                <c:pt idx="301">
                  <c:v>45915</c:v>
                </c:pt>
                <c:pt idx="302">
                  <c:v>45916</c:v>
                </c:pt>
                <c:pt idx="303">
                  <c:v>45917</c:v>
                </c:pt>
                <c:pt idx="304">
                  <c:v>45918</c:v>
                </c:pt>
                <c:pt idx="305">
                  <c:v>45919</c:v>
                </c:pt>
                <c:pt idx="306">
                  <c:v>45922</c:v>
                </c:pt>
                <c:pt idx="307">
                  <c:v>45923</c:v>
                </c:pt>
                <c:pt idx="308">
                  <c:v>45924</c:v>
                </c:pt>
                <c:pt idx="309">
                  <c:v>45925</c:v>
                </c:pt>
                <c:pt idx="310">
                  <c:v>45926</c:v>
                </c:pt>
                <c:pt idx="311">
                  <c:v>45929</c:v>
                </c:pt>
                <c:pt idx="312">
                  <c:v>45930</c:v>
                </c:pt>
                <c:pt idx="313">
                  <c:v>45931</c:v>
                </c:pt>
                <c:pt idx="314">
                  <c:v>45933</c:v>
                </c:pt>
                <c:pt idx="315">
                  <c:v>45936</c:v>
                </c:pt>
                <c:pt idx="316">
                  <c:v>45937</c:v>
                </c:pt>
                <c:pt idx="317">
                  <c:v>45938</c:v>
                </c:pt>
                <c:pt idx="318">
                  <c:v>45939</c:v>
                </c:pt>
                <c:pt idx="319">
                  <c:v>45940</c:v>
                </c:pt>
                <c:pt idx="320">
                  <c:v>45943</c:v>
                </c:pt>
                <c:pt idx="321">
                  <c:v>45944</c:v>
                </c:pt>
                <c:pt idx="322">
                  <c:v>45945</c:v>
                </c:pt>
                <c:pt idx="323">
                  <c:v>45946</c:v>
                </c:pt>
                <c:pt idx="324">
                  <c:v>45947</c:v>
                </c:pt>
                <c:pt idx="325">
                  <c:v>45950</c:v>
                </c:pt>
                <c:pt idx="326">
                  <c:v>45951</c:v>
                </c:pt>
                <c:pt idx="327">
                  <c:v>45953</c:v>
                </c:pt>
                <c:pt idx="328">
                  <c:v>45954</c:v>
                </c:pt>
                <c:pt idx="329">
                  <c:v>45957</c:v>
                </c:pt>
                <c:pt idx="330">
                  <c:v>45958</c:v>
                </c:pt>
                <c:pt idx="331">
                  <c:v>45959</c:v>
                </c:pt>
                <c:pt idx="332">
                  <c:v>45960</c:v>
                </c:pt>
                <c:pt idx="333">
                  <c:v>45961</c:v>
                </c:pt>
                <c:pt idx="334">
                  <c:v>45964</c:v>
                </c:pt>
                <c:pt idx="335">
                  <c:v>45965</c:v>
                </c:pt>
                <c:pt idx="336">
                  <c:v>45967</c:v>
                </c:pt>
                <c:pt idx="337">
                  <c:v>45968</c:v>
                </c:pt>
                <c:pt idx="338">
                  <c:v>45971</c:v>
                </c:pt>
                <c:pt idx="339">
                  <c:v>45972</c:v>
                </c:pt>
                <c:pt idx="340">
                  <c:v>45973</c:v>
                </c:pt>
                <c:pt idx="341">
                  <c:v>45974</c:v>
                </c:pt>
                <c:pt idx="342">
                  <c:v>45975</c:v>
                </c:pt>
                <c:pt idx="343">
                  <c:v>45978</c:v>
                </c:pt>
                <c:pt idx="344">
                  <c:v>45979</c:v>
                </c:pt>
                <c:pt idx="345">
                  <c:v>45980</c:v>
                </c:pt>
                <c:pt idx="346">
                  <c:v>45981</c:v>
                </c:pt>
                <c:pt idx="347">
                  <c:v>45982</c:v>
                </c:pt>
                <c:pt idx="348">
                  <c:v>45985</c:v>
                </c:pt>
                <c:pt idx="349">
                  <c:v>45986</c:v>
                </c:pt>
                <c:pt idx="350">
                  <c:v>45987</c:v>
                </c:pt>
                <c:pt idx="351">
                  <c:v>45988</c:v>
                </c:pt>
                <c:pt idx="352">
                  <c:v>45989</c:v>
                </c:pt>
                <c:pt idx="353">
                  <c:v>45992</c:v>
                </c:pt>
                <c:pt idx="354">
                  <c:v>45993</c:v>
                </c:pt>
                <c:pt idx="355">
                  <c:v>45994</c:v>
                </c:pt>
                <c:pt idx="356">
                  <c:v>45995</c:v>
                </c:pt>
                <c:pt idx="357">
                  <c:v>45996</c:v>
                </c:pt>
                <c:pt idx="358">
                  <c:v>45999</c:v>
                </c:pt>
                <c:pt idx="359">
                  <c:v>46000</c:v>
                </c:pt>
                <c:pt idx="360">
                  <c:v>46001</c:v>
                </c:pt>
                <c:pt idx="361">
                  <c:v>46002</c:v>
                </c:pt>
                <c:pt idx="362">
                  <c:v>46003</c:v>
                </c:pt>
                <c:pt idx="363">
                  <c:v>46006</c:v>
                </c:pt>
                <c:pt idx="364">
                  <c:v>46007</c:v>
                </c:pt>
                <c:pt idx="365">
                  <c:v>46008</c:v>
                </c:pt>
                <c:pt idx="366">
                  <c:v>46009</c:v>
                </c:pt>
                <c:pt idx="367">
                  <c:v>46010</c:v>
                </c:pt>
                <c:pt idx="368">
                  <c:v>46013</c:v>
                </c:pt>
                <c:pt idx="369">
                  <c:v>46014</c:v>
                </c:pt>
                <c:pt idx="370">
                  <c:v>46015</c:v>
                </c:pt>
                <c:pt idx="371">
                  <c:v>46017</c:v>
                </c:pt>
                <c:pt idx="372">
                  <c:v>46020</c:v>
                </c:pt>
                <c:pt idx="373">
                  <c:v>46021</c:v>
                </c:pt>
                <c:pt idx="374">
                  <c:v>46022</c:v>
                </c:pt>
                <c:pt idx="375">
                  <c:v>46023</c:v>
                </c:pt>
                <c:pt idx="376">
                  <c:v>46024</c:v>
                </c:pt>
                <c:pt idx="377">
                  <c:v>46027</c:v>
                </c:pt>
                <c:pt idx="378">
                  <c:v>46028</c:v>
                </c:pt>
                <c:pt idx="379">
                  <c:v>46029</c:v>
                </c:pt>
                <c:pt idx="380">
                  <c:v>46030</c:v>
                </c:pt>
                <c:pt idx="381">
                  <c:v>46031</c:v>
                </c:pt>
                <c:pt idx="382">
                  <c:v>46034</c:v>
                </c:pt>
                <c:pt idx="383">
                  <c:v>46035</c:v>
                </c:pt>
                <c:pt idx="384">
                  <c:v>46036</c:v>
                </c:pt>
                <c:pt idx="385">
                  <c:v>46038</c:v>
                </c:pt>
                <c:pt idx="386">
                  <c:v>46041</c:v>
                </c:pt>
                <c:pt idx="387">
                  <c:v>46042</c:v>
                </c:pt>
                <c:pt idx="388">
                  <c:v>46043</c:v>
                </c:pt>
                <c:pt idx="389">
                  <c:v>46044</c:v>
                </c:pt>
                <c:pt idx="390">
                  <c:v>46045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46062</c:v>
                </c:pt>
                <c:pt idx="402">
                  <c:v>46063</c:v>
                </c:pt>
                <c:pt idx="403">
                  <c:v>46064</c:v>
                </c:pt>
                <c:pt idx="404">
                  <c:v>46065</c:v>
                </c:pt>
                <c:pt idx="405">
                  <c:v>46066</c:v>
                </c:pt>
                <c:pt idx="406">
                  <c:v>46069</c:v>
                </c:pt>
                <c:pt idx="407">
                  <c:v>46070</c:v>
                </c:pt>
                <c:pt idx="408">
                  <c:v>46071</c:v>
                </c:pt>
                <c:pt idx="409">
                  <c:v>46072</c:v>
                </c:pt>
                <c:pt idx="410">
                  <c:v>46073</c:v>
                </c:pt>
                <c:pt idx="411">
                  <c:v>46076</c:v>
                </c:pt>
                <c:pt idx="412">
                  <c:v>46077</c:v>
                </c:pt>
                <c:pt idx="413">
                  <c:v>46078</c:v>
                </c:pt>
                <c:pt idx="414">
                  <c:v>46079</c:v>
                </c:pt>
                <c:pt idx="415">
                  <c:v>46080</c:v>
                </c:pt>
                <c:pt idx="416">
                  <c:v>46083</c:v>
                </c:pt>
                <c:pt idx="417">
                  <c:v>46085</c:v>
                </c:pt>
                <c:pt idx="418">
                  <c:v>46086</c:v>
                </c:pt>
                <c:pt idx="419">
                  <c:v>46087</c:v>
                </c:pt>
                <c:pt idx="420">
                  <c:v>46090</c:v>
                </c:pt>
                <c:pt idx="421">
                  <c:v>46091</c:v>
                </c:pt>
                <c:pt idx="422">
                  <c:v>46092</c:v>
                </c:pt>
                <c:pt idx="423">
                  <c:v>46093</c:v>
                </c:pt>
                <c:pt idx="424">
                  <c:v>46094</c:v>
                </c:pt>
                <c:pt idx="425">
                  <c:v>46097</c:v>
                </c:pt>
                <c:pt idx="426">
                  <c:v>46098</c:v>
                </c:pt>
                <c:pt idx="427">
                  <c:v>46099</c:v>
                </c:pt>
                <c:pt idx="428">
                  <c:v>46100</c:v>
                </c:pt>
                <c:pt idx="429">
                  <c:v>46101</c:v>
                </c:pt>
                <c:pt idx="430">
                  <c:v>46104</c:v>
                </c:pt>
                <c:pt idx="431">
                  <c:v>46105</c:v>
                </c:pt>
                <c:pt idx="432">
                  <c:v>46106</c:v>
                </c:pt>
                <c:pt idx="433">
                  <c:v>46108</c:v>
                </c:pt>
                <c:pt idx="434">
                  <c:v>46111</c:v>
                </c:pt>
                <c:pt idx="435">
                  <c:v>46113</c:v>
                </c:pt>
                <c:pt idx="436">
                  <c:v>46114</c:v>
                </c:pt>
                <c:pt idx="437">
                  <c:v>46118</c:v>
                </c:pt>
                <c:pt idx="438">
                  <c:v>46119</c:v>
                </c:pt>
                <c:pt idx="439">
                  <c:v>46120</c:v>
                </c:pt>
                <c:pt idx="440">
                  <c:v>46121</c:v>
                </c:pt>
                <c:pt idx="441">
                  <c:v>46122</c:v>
                </c:pt>
                <c:pt idx="442">
                  <c:v>46125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46132</c:v>
                </c:pt>
                <c:pt idx="447">
                  <c:v>46133</c:v>
                </c:pt>
                <c:pt idx="448">
                  <c:v>46134</c:v>
                </c:pt>
                <c:pt idx="449">
                  <c:v>46135</c:v>
                </c:pt>
                <c:pt idx="450">
                  <c:v>46136</c:v>
                </c:pt>
                <c:pt idx="451">
                  <c:v>46139</c:v>
                </c:pt>
                <c:pt idx="452">
                  <c:v>46140</c:v>
                </c:pt>
                <c:pt idx="453">
                  <c:v>46141</c:v>
                </c:pt>
                <c:pt idx="454">
                  <c:v>46142</c:v>
                </c:pt>
                <c:pt idx="455">
                  <c:v>46146</c:v>
                </c:pt>
                <c:pt idx="456">
                  <c:v>46147</c:v>
                </c:pt>
                <c:pt idx="457">
                  <c:v>46148</c:v>
                </c:pt>
                <c:pt idx="458">
                  <c:v>46149</c:v>
                </c:pt>
                <c:pt idx="459">
                  <c:v>46150</c:v>
                </c:pt>
                <c:pt idx="460">
                  <c:v>46153</c:v>
                </c:pt>
                <c:pt idx="461">
                  <c:v>46154</c:v>
                </c:pt>
                <c:pt idx="462">
                  <c:v>46155</c:v>
                </c:pt>
                <c:pt idx="463">
                  <c:v>46156</c:v>
                </c:pt>
                <c:pt idx="464">
                  <c:v>46157</c:v>
                </c:pt>
                <c:pt idx="465">
                  <c:v>46160</c:v>
                </c:pt>
                <c:pt idx="466">
                  <c:v>46161</c:v>
                </c:pt>
                <c:pt idx="467">
                  <c:v>46162</c:v>
                </c:pt>
                <c:pt idx="468">
                  <c:v>46163</c:v>
                </c:pt>
                <c:pt idx="469">
                  <c:v>46164</c:v>
                </c:pt>
                <c:pt idx="470">
                  <c:v>46167</c:v>
                </c:pt>
                <c:pt idx="471">
                  <c:v>46168</c:v>
                </c:pt>
                <c:pt idx="472">
                  <c:v>46169</c:v>
                </c:pt>
                <c:pt idx="473">
                  <c:v>46171</c:v>
                </c:pt>
                <c:pt idx="474">
                  <c:v>46174</c:v>
                </c:pt>
                <c:pt idx="475">
                  <c:v>46175</c:v>
                </c:pt>
                <c:pt idx="476">
                  <c:v>46176</c:v>
                </c:pt>
                <c:pt idx="477">
                  <c:v>46177</c:v>
                </c:pt>
                <c:pt idx="478">
                  <c:v>46178</c:v>
                </c:pt>
                <c:pt idx="479">
                  <c:v>46181</c:v>
                </c:pt>
                <c:pt idx="480">
                  <c:v>46182</c:v>
                </c:pt>
                <c:pt idx="481">
                  <c:v>46183</c:v>
                </c:pt>
                <c:pt idx="482">
                  <c:v>46184</c:v>
                </c:pt>
                <c:pt idx="483">
                  <c:v>46185</c:v>
                </c:pt>
                <c:pt idx="484">
                  <c:v>46188</c:v>
                </c:pt>
                <c:pt idx="485">
                  <c:v>46189</c:v>
                </c:pt>
                <c:pt idx="486">
                  <c:v>46190</c:v>
                </c:pt>
                <c:pt idx="487">
                  <c:v>46191</c:v>
                </c:pt>
                <c:pt idx="488">
                  <c:v>46192</c:v>
                </c:pt>
                <c:pt idx="489">
                  <c:v>46195</c:v>
                </c:pt>
                <c:pt idx="490">
                  <c:v>46196</c:v>
                </c:pt>
                <c:pt idx="491">
                  <c:v>46197</c:v>
                </c:pt>
                <c:pt idx="492">
                  <c:v>46198</c:v>
                </c:pt>
                <c:pt idx="493">
                  <c:v>46202</c:v>
                </c:pt>
                <c:pt idx="494">
                  <c:v>46203</c:v>
                </c:pt>
              </c:numCache>
            </c:numRef>
          </c:cat>
          <c:val>
            <c:numRef>
              <c:f>HCLTECH!$L$2:$L$496</c:f>
              <c:numCache>
                <c:formatCode>#,##0</c:formatCode>
                <c:ptCount val="495"/>
                <c:pt idx="0">
                  <c:v>3723295</c:v>
                </c:pt>
                <c:pt idx="1">
                  <c:v>3811366</c:v>
                </c:pt>
                <c:pt idx="2">
                  <c:v>2070876</c:v>
                </c:pt>
                <c:pt idx="3">
                  <c:v>6822557</c:v>
                </c:pt>
                <c:pt idx="4">
                  <c:v>3061687</c:v>
                </c:pt>
                <c:pt idx="5">
                  <c:v>2939620</c:v>
                </c:pt>
                <c:pt idx="6">
                  <c:v>2658608</c:v>
                </c:pt>
                <c:pt idx="7">
                  <c:v>3507096</c:v>
                </c:pt>
                <c:pt idx="8">
                  <c:v>3304053</c:v>
                </c:pt>
                <c:pt idx="9">
                  <c:v>6430647</c:v>
                </c:pt>
                <c:pt idx="10">
                  <c:v>10337489</c:v>
                </c:pt>
                <c:pt idx="11">
                  <c:v>3540661</c:v>
                </c:pt>
                <c:pt idx="12">
                  <c:v>4399468</c:v>
                </c:pt>
                <c:pt idx="13">
                  <c:v>5633838</c:v>
                </c:pt>
                <c:pt idx="14">
                  <c:v>2704495</c:v>
                </c:pt>
                <c:pt idx="15">
                  <c:v>2907674</c:v>
                </c:pt>
                <c:pt idx="16">
                  <c:v>2484299</c:v>
                </c:pt>
                <c:pt idx="17">
                  <c:v>2934731</c:v>
                </c:pt>
                <c:pt idx="18">
                  <c:v>2814159</c:v>
                </c:pt>
                <c:pt idx="19">
                  <c:v>1639491</c:v>
                </c:pt>
                <c:pt idx="20">
                  <c:v>1783877</c:v>
                </c:pt>
                <c:pt idx="21">
                  <c:v>1984986</c:v>
                </c:pt>
                <c:pt idx="22">
                  <c:v>1785188</c:v>
                </c:pt>
                <c:pt idx="23">
                  <c:v>1692851</c:v>
                </c:pt>
                <c:pt idx="24">
                  <c:v>3279717</c:v>
                </c:pt>
                <c:pt idx="25">
                  <c:v>2138704</c:v>
                </c:pt>
                <c:pt idx="26">
                  <c:v>1897787</c:v>
                </c:pt>
                <c:pt idx="27">
                  <c:v>2373805</c:v>
                </c:pt>
                <c:pt idx="28">
                  <c:v>2021762</c:v>
                </c:pt>
                <c:pt idx="29">
                  <c:v>1273739</c:v>
                </c:pt>
                <c:pt idx="30">
                  <c:v>1973825</c:v>
                </c:pt>
                <c:pt idx="31">
                  <c:v>3932148</c:v>
                </c:pt>
                <c:pt idx="32">
                  <c:v>3101056</c:v>
                </c:pt>
                <c:pt idx="33">
                  <c:v>1631947</c:v>
                </c:pt>
                <c:pt idx="34">
                  <c:v>2786109</c:v>
                </c:pt>
                <c:pt idx="35">
                  <c:v>1410370</c:v>
                </c:pt>
                <c:pt idx="36">
                  <c:v>1749127</c:v>
                </c:pt>
                <c:pt idx="37">
                  <c:v>2158185</c:v>
                </c:pt>
                <c:pt idx="38">
                  <c:v>2672708</c:v>
                </c:pt>
                <c:pt idx="39">
                  <c:v>3556487</c:v>
                </c:pt>
                <c:pt idx="40">
                  <c:v>2516461</c:v>
                </c:pt>
                <c:pt idx="41">
                  <c:v>5112407</c:v>
                </c:pt>
                <c:pt idx="42">
                  <c:v>4792561</c:v>
                </c:pt>
                <c:pt idx="43">
                  <c:v>4445349</c:v>
                </c:pt>
                <c:pt idx="44">
                  <c:v>2553290</c:v>
                </c:pt>
                <c:pt idx="45">
                  <c:v>2644961</c:v>
                </c:pt>
                <c:pt idx="46">
                  <c:v>2878565</c:v>
                </c:pt>
                <c:pt idx="47">
                  <c:v>3351716</c:v>
                </c:pt>
                <c:pt idx="48">
                  <c:v>1418238</c:v>
                </c:pt>
                <c:pt idx="49">
                  <c:v>2307528</c:v>
                </c:pt>
                <c:pt idx="50">
                  <c:v>2303930</c:v>
                </c:pt>
                <c:pt idx="51">
                  <c:v>3349489</c:v>
                </c:pt>
                <c:pt idx="52">
                  <c:v>1599349</c:v>
                </c:pt>
                <c:pt idx="53">
                  <c:v>836199</c:v>
                </c:pt>
                <c:pt idx="54">
                  <c:v>830317</c:v>
                </c:pt>
                <c:pt idx="55">
                  <c:v>2629136</c:v>
                </c:pt>
                <c:pt idx="56">
                  <c:v>4167373</c:v>
                </c:pt>
                <c:pt idx="57">
                  <c:v>4644317</c:v>
                </c:pt>
                <c:pt idx="58">
                  <c:v>1541597</c:v>
                </c:pt>
                <c:pt idx="59">
                  <c:v>1907389</c:v>
                </c:pt>
                <c:pt idx="60">
                  <c:v>2240579</c:v>
                </c:pt>
                <c:pt idx="61">
                  <c:v>4303250</c:v>
                </c:pt>
                <c:pt idx="62">
                  <c:v>4099016</c:v>
                </c:pt>
                <c:pt idx="63">
                  <c:v>2117894</c:v>
                </c:pt>
                <c:pt idx="64">
                  <c:v>1642542</c:v>
                </c:pt>
                <c:pt idx="65">
                  <c:v>3552386</c:v>
                </c:pt>
                <c:pt idx="66">
                  <c:v>2982759</c:v>
                </c:pt>
                <c:pt idx="67">
                  <c:v>3419048</c:v>
                </c:pt>
                <c:pt idx="68">
                  <c:v>2353030</c:v>
                </c:pt>
                <c:pt idx="69">
                  <c:v>2499596</c:v>
                </c:pt>
                <c:pt idx="70">
                  <c:v>3753869</c:v>
                </c:pt>
                <c:pt idx="71">
                  <c:v>2977110</c:v>
                </c:pt>
                <c:pt idx="72">
                  <c:v>1751092</c:v>
                </c:pt>
                <c:pt idx="73">
                  <c:v>5696544</c:v>
                </c:pt>
                <c:pt idx="74">
                  <c:v>2144442</c:v>
                </c:pt>
                <c:pt idx="75">
                  <c:v>2399099</c:v>
                </c:pt>
                <c:pt idx="76">
                  <c:v>2366406</c:v>
                </c:pt>
                <c:pt idx="77">
                  <c:v>1284980</c:v>
                </c:pt>
                <c:pt idx="78">
                  <c:v>2089660</c:v>
                </c:pt>
                <c:pt idx="79">
                  <c:v>2522186</c:v>
                </c:pt>
                <c:pt idx="80">
                  <c:v>1621637</c:v>
                </c:pt>
                <c:pt idx="81">
                  <c:v>4078295</c:v>
                </c:pt>
                <c:pt idx="82">
                  <c:v>2418907</c:v>
                </c:pt>
                <c:pt idx="83">
                  <c:v>1719955</c:v>
                </c:pt>
                <c:pt idx="84">
                  <c:v>1732047</c:v>
                </c:pt>
                <c:pt idx="85">
                  <c:v>3616088</c:v>
                </c:pt>
                <c:pt idx="86">
                  <c:v>242223</c:v>
                </c:pt>
                <c:pt idx="87">
                  <c:v>2843690</c:v>
                </c:pt>
                <c:pt idx="88">
                  <c:v>1818350</c:v>
                </c:pt>
                <c:pt idx="89">
                  <c:v>3477029</c:v>
                </c:pt>
                <c:pt idx="90">
                  <c:v>2173869</c:v>
                </c:pt>
                <c:pt idx="91">
                  <c:v>1521324</c:v>
                </c:pt>
                <c:pt idx="92">
                  <c:v>1679869</c:v>
                </c:pt>
                <c:pt idx="93">
                  <c:v>2711052</c:v>
                </c:pt>
                <c:pt idx="94">
                  <c:v>1254074</c:v>
                </c:pt>
                <c:pt idx="95">
                  <c:v>2462563</c:v>
                </c:pt>
                <c:pt idx="96">
                  <c:v>2483933</c:v>
                </c:pt>
                <c:pt idx="97">
                  <c:v>2354204</c:v>
                </c:pt>
                <c:pt idx="98">
                  <c:v>1841245</c:v>
                </c:pt>
                <c:pt idx="99">
                  <c:v>2765950</c:v>
                </c:pt>
                <c:pt idx="100">
                  <c:v>6531524</c:v>
                </c:pt>
                <c:pt idx="101">
                  <c:v>2079873</c:v>
                </c:pt>
                <c:pt idx="102">
                  <c:v>1631975</c:v>
                </c:pt>
                <c:pt idx="103">
                  <c:v>3631255</c:v>
                </c:pt>
                <c:pt idx="104">
                  <c:v>2482280</c:v>
                </c:pt>
                <c:pt idx="105">
                  <c:v>2014744</c:v>
                </c:pt>
                <c:pt idx="106">
                  <c:v>2954648</c:v>
                </c:pt>
                <c:pt idx="107">
                  <c:v>3730643</c:v>
                </c:pt>
                <c:pt idx="108">
                  <c:v>3881814</c:v>
                </c:pt>
                <c:pt idx="109">
                  <c:v>2250408</c:v>
                </c:pt>
                <c:pt idx="110">
                  <c:v>1379520</c:v>
                </c:pt>
                <c:pt idx="111">
                  <c:v>2695207</c:v>
                </c:pt>
                <c:pt idx="112">
                  <c:v>1387117</c:v>
                </c:pt>
                <c:pt idx="113">
                  <c:v>2306173</c:v>
                </c:pt>
                <c:pt idx="114">
                  <c:v>2569918</c:v>
                </c:pt>
                <c:pt idx="115">
                  <c:v>1371189</c:v>
                </c:pt>
                <c:pt idx="116">
                  <c:v>1987909</c:v>
                </c:pt>
                <c:pt idx="117">
                  <c:v>3460812</c:v>
                </c:pt>
                <c:pt idx="118">
                  <c:v>1916115</c:v>
                </c:pt>
                <c:pt idx="119">
                  <c:v>3786921</c:v>
                </c:pt>
                <c:pt idx="120">
                  <c:v>2058339</c:v>
                </c:pt>
                <c:pt idx="121">
                  <c:v>1310301</c:v>
                </c:pt>
                <c:pt idx="122">
                  <c:v>1065107</c:v>
                </c:pt>
                <c:pt idx="123">
                  <c:v>1328546</c:v>
                </c:pt>
                <c:pt idx="124">
                  <c:v>6262203</c:v>
                </c:pt>
                <c:pt idx="125">
                  <c:v>1968650</c:v>
                </c:pt>
                <c:pt idx="126">
                  <c:v>880695</c:v>
                </c:pt>
                <c:pt idx="127">
                  <c:v>3487645</c:v>
                </c:pt>
                <c:pt idx="128">
                  <c:v>2853344</c:v>
                </c:pt>
                <c:pt idx="129">
                  <c:v>1789037</c:v>
                </c:pt>
                <c:pt idx="130">
                  <c:v>2494547</c:v>
                </c:pt>
                <c:pt idx="131">
                  <c:v>2372138</c:v>
                </c:pt>
                <c:pt idx="132">
                  <c:v>2742139</c:v>
                </c:pt>
                <c:pt idx="133">
                  <c:v>4802079</c:v>
                </c:pt>
                <c:pt idx="134">
                  <c:v>5694121</c:v>
                </c:pt>
                <c:pt idx="135">
                  <c:v>15819311</c:v>
                </c:pt>
                <c:pt idx="136">
                  <c:v>3350594</c:v>
                </c:pt>
                <c:pt idx="137">
                  <c:v>5362008</c:v>
                </c:pt>
                <c:pt idx="138">
                  <c:v>2424374</c:v>
                </c:pt>
                <c:pt idx="139">
                  <c:v>3401004</c:v>
                </c:pt>
                <c:pt idx="140">
                  <c:v>4005357</c:v>
                </c:pt>
                <c:pt idx="141">
                  <c:v>3009261</c:v>
                </c:pt>
                <c:pt idx="142">
                  <c:v>3750930</c:v>
                </c:pt>
                <c:pt idx="143">
                  <c:v>3171259</c:v>
                </c:pt>
                <c:pt idx="144">
                  <c:v>4174844</c:v>
                </c:pt>
                <c:pt idx="145">
                  <c:v>5079829</c:v>
                </c:pt>
                <c:pt idx="146">
                  <c:v>3733620</c:v>
                </c:pt>
                <c:pt idx="147">
                  <c:v>2543744</c:v>
                </c:pt>
                <c:pt idx="148">
                  <c:v>2033832</c:v>
                </c:pt>
                <c:pt idx="149">
                  <c:v>569018</c:v>
                </c:pt>
                <c:pt idx="150">
                  <c:v>2659929</c:v>
                </c:pt>
                <c:pt idx="151">
                  <c:v>3647768</c:v>
                </c:pt>
                <c:pt idx="152">
                  <c:v>2681942</c:v>
                </c:pt>
                <c:pt idx="153">
                  <c:v>2057798</c:v>
                </c:pt>
                <c:pt idx="154">
                  <c:v>2428098</c:v>
                </c:pt>
                <c:pt idx="155">
                  <c:v>1823071</c:v>
                </c:pt>
                <c:pt idx="156">
                  <c:v>1702553</c:v>
                </c:pt>
                <c:pt idx="157">
                  <c:v>2214307</c:v>
                </c:pt>
                <c:pt idx="158">
                  <c:v>1838463</c:v>
                </c:pt>
                <c:pt idx="159">
                  <c:v>1460459</c:v>
                </c:pt>
                <c:pt idx="160">
                  <c:v>1127023</c:v>
                </c:pt>
                <c:pt idx="161">
                  <c:v>1511900</c:v>
                </c:pt>
                <c:pt idx="162">
                  <c:v>1294110</c:v>
                </c:pt>
                <c:pt idx="163">
                  <c:v>1681532</c:v>
                </c:pt>
                <c:pt idx="164">
                  <c:v>1222563</c:v>
                </c:pt>
                <c:pt idx="165">
                  <c:v>4455420</c:v>
                </c:pt>
                <c:pt idx="166">
                  <c:v>1951519</c:v>
                </c:pt>
                <c:pt idx="167">
                  <c:v>2266866</c:v>
                </c:pt>
                <c:pt idx="168">
                  <c:v>4910121</c:v>
                </c:pt>
                <c:pt idx="169">
                  <c:v>1784684</c:v>
                </c:pt>
                <c:pt idx="170">
                  <c:v>3246644</c:v>
                </c:pt>
                <c:pt idx="171">
                  <c:v>3112003</c:v>
                </c:pt>
                <c:pt idx="172">
                  <c:v>2011489</c:v>
                </c:pt>
                <c:pt idx="173">
                  <c:v>2091986</c:v>
                </c:pt>
                <c:pt idx="174">
                  <c:v>1855766</c:v>
                </c:pt>
                <c:pt idx="175">
                  <c:v>1846190</c:v>
                </c:pt>
                <c:pt idx="176">
                  <c:v>3113860</c:v>
                </c:pt>
                <c:pt idx="177">
                  <c:v>1983351</c:v>
                </c:pt>
                <c:pt idx="178">
                  <c:v>2029100</c:v>
                </c:pt>
                <c:pt idx="179">
                  <c:v>2930865</c:v>
                </c:pt>
                <c:pt idx="180">
                  <c:v>4522829</c:v>
                </c:pt>
                <c:pt idx="181">
                  <c:v>4608677</c:v>
                </c:pt>
                <c:pt idx="182">
                  <c:v>8109210</c:v>
                </c:pt>
                <c:pt idx="183">
                  <c:v>2487843</c:v>
                </c:pt>
                <c:pt idx="184">
                  <c:v>4906013</c:v>
                </c:pt>
                <c:pt idx="185">
                  <c:v>3096513</c:v>
                </c:pt>
                <c:pt idx="186">
                  <c:v>3383080</c:v>
                </c:pt>
                <c:pt idx="187">
                  <c:v>2211077</c:v>
                </c:pt>
                <c:pt idx="188">
                  <c:v>4126827</c:v>
                </c:pt>
                <c:pt idx="189">
                  <c:v>3167863</c:v>
                </c:pt>
                <c:pt idx="190">
                  <c:v>3966161</c:v>
                </c:pt>
                <c:pt idx="191">
                  <c:v>4421312</c:v>
                </c:pt>
                <c:pt idx="192">
                  <c:v>6484139</c:v>
                </c:pt>
                <c:pt idx="193">
                  <c:v>3938359</c:v>
                </c:pt>
                <c:pt idx="194">
                  <c:v>3306801</c:v>
                </c:pt>
                <c:pt idx="195">
                  <c:v>4859622</c:v>
                </c:pt>
                <c:pt idx="196">
                  <c:v>3265147</c:v>
                </c:pt>
                <c:pt idx="197">
                  <c:v>2553111</c:v>
                </c:pt>
                <c:pt idx="198">
                  <c:v>3549969</c:v>
                </c:pt>
                <c:pt idx="199">
                  <c:v>2840104</c:v>
                </c:pt>
                <c:pt idx="200">
                  <c:v>2608145</c:v>
                </c:pt>
                <c:pt idx="201">
                  <c:v>13293318</c:v>
                </c:pt>
                <c:pt idx="202">
                  <c:v>3193118</c:v>
                </c:pt>
                <c:pt idx="203">
                  <c:v>3800415</c:v>
                </c:pt>
                <c:pt idx="204">
                  <c:v>2618810</c:v>
                </c:pt>
                <c:pt idx="205">
                  <c:v>2231069</c:v>
                </c:pt>
                <c:pt idx="206">
                  <c:v>3682256</c:v>
                </c:pt>
                <c:pt idx="207">
                  <c:v>1895904</c:v>
                </c:pt>
                <c:pt idx="208">
                  <c:v>1012225</c:v>
                </c:pt>
                <c:pt idx="209">
                  <c:v>2055057</c:v>
                </c:pt>
                <c:pt idx="210">
                  <c:v>5469936</c:v>
                </c:pt>
                <c:pt idx="211">
                  <c:v>2789018</c:v>
                </c:pt>
                <c:pt idx="212">
                  <c:v>2035161</c:v>
                </c:pt>
                <c:pt idx="213">
                  <c:v>4028207</c:v>
                </c:pt>
                <c:pt idx="214">
                  <c:v>3118470</c:v>
                </c:pt>
                <c:pt idx="215">
                  <c:v>1569126</c:v>
                </c:pt>
                <c:pt idx="216">
                  <c:v>4961582</c:v>
                </c:pt>
                <c:pt idx="217">
                  <c:v>2586263</c:v>
                </c:pt>
                <c:pt idx="218">
                  <c:v>1642018</c:v>
                </c:pt>
                <c:pt idx="219">
                  <c:v>2421580</c:v>
                </c:pt>
                <c:pt idx="220">
                  <c:v>1420835</c:v>
                </c:pt>
                <c:pt idx="221">
                  <c:v>2202093</c:v>
                </c:pt>
                <c:pt idx="222">
                  <c:v>1459454</c:v>
                </c:pt>
                <c:pt idx="223">
                  <c:v>1078813</c:v>
                </c:pt>
                <c:pt idx="224">
                  <c:v>2740015</c:v>
                </c:pt>
                <c:pt idx="225">
                  <c:v>1775441</c:v>
                </c:pt>
                <c:pt idx="226">
                  <c:v>2374051</c:v>
                </c:pt>
                <c:pt idx="227">
                  <c:v>4408910</c:v>
                </c:pt>
                <c:pt idx="228">
                  <c:v>1883100</c:v>
                </c:pt>
                <c:pt idx="229">
                  <c:v>2380133</c:v>
                </c:pt>
                <c:pt idx="230">
                  <c:v>1659720</c:v>
                </c:pt>
                <c:pt idx="231">
                  <c:v>1409322</c:v>
                </c:pt>
                <c:pt idx="232">
                  <c:v>1261281</c:v>
                </c:pt>
                <c:pt idx="233">
                  <c:v>1299786</c:v>
                </c:pt>
                <c:pt idx="234">
                  <c:v>3055223</c:v>
                </c:pt>
                <c:pt idx="235">
                  <c:v>5085821</c:v>
                </c:pt>
                <c:pt idx="236">
                  <c:v>3607962</c:v>
                </c:pt>
                <c:pt idx="237">
                  <c:v>1988422</c:v>
                </c:pt>
                <c:pt idx="238">
                  <c:v>2116100</c:v>
                </c:pt>
                <c:pt idx="239">
                  <c:v>1777245</c:v>
                </c:pt>
                <c:pt idx="240">
                  <c:v>1794428</c:v>
                </c:pt>
                <c:pt idx="241">
                  <c:v>2514527</c:v>
                </c:pt>
                <c:pt idx="242">
                  <c:v>2719770</c:v>
                </c:pt>
                <c:pt idx="243">
                  <c:v>2221446</c:v>
                </c:pt>
                <c:pt idx="244">
                  <c:v>3601071</c:v>
                </c:pt>
                <c:pt idx="245">
                  <c:v>1307518</c:v>
                </c:pt>
                <c:pt idx="246">
                  <c:v>2971055</c:v>
                </c:pt>
                <c:pt idx="247">
                  <c:v>6478283</c:v>
                </c:pt>
                <c:pt idx="248">
                  <c:v>1855229</c:v>
                </c:pt>
                <c:pt idx="249">
                  <c:v>1639826</c:v>
                </c:pt>
                <c:pt idx="250">
                  <c:v>2069447</c:v>
                </c:pt>
                <c:pt idx="251">
                  <c:v>1839063</c:v>
                </c:pt>
                <c:pt idx="252">
                  <c:v>768500</c:v>
                </c:pt>
                <c:pt idx="253">
                  <c:v>1366412</c:v>
                </c:pt>
                <c:pt idx="254">
                  <c:v>2139193</c:v>
                </c:pt>
                <c:pt idx="255">
                  <c:v>2894808</c:v>
                </c:pt>
                <c:pt idx="256">
                  <c:v>2740853</c:v>
                </c:pt>
                <c:pt idx="257">
                  <c:v>2548153</c:v>
                </c:pt>
                <c:pt idx="258">
                  <c:v>3334703</c:v>
                </c:pt>
                <c:pt idx="259">
                  <c:v>14685607</c:v>
                </c:pt>
                <c:pt idx="260">
                  <c:v>5218099</c:v>
                </c:pt>
                <c:pt idx="261">
                  <c:v>4966082</c:v>
                </c:pt>
                <c:pt idx="262">
                  <c:v>3902458</c:v>
                </c:pt>
                <c:pt idx="263">
                  <c:v>3368842</c:v>
                </c:pt>
                <c:pt idx="264">
                  <c:v>3218227</c:v>
                </c:pt>
                <c:pt idx="265">
                  <c:v>3471536</c:v>
                </c:pt>
                <c:pt idx="266">
                  <c:v>4654421</c:v>
                </c:pt>
                <c:pt idx="267">
                  <c:v>2733655</c:v>
                </c:pt>
                <c:pt idx="268">
                  <c:v>4404841</c:v>
                </c:pt>
                <c:pt idx="269">
                  <c:v>6223556</c:v>
                </c:pt>
                <c:pt idx="270">
                  <c:v>1642426</c:v>
                </c:pt>
                <c:pt idx="271">
                  <c:v>2306285</c:v>
                </c:pt>
                <c:pt idx="272">
                  <c:v>2152783</c:v>
                </c:pt>
                <c:pt idx="273">
                  <c:v>2384774</c:v>
                </c:pt>
                <c:pt idx="274">
                  <c:v>2614394</c:v>
                </c:pt>
                <c:pt idx="275">
                  <c:v>1735697</c:v>
                </c:pt>
                <c:pt idx="276">
                  <c:v>1495363</c:v>
                </c:pt>
                <c:pt idx="277">
                  <c:v>2815614</c:v>
                </c:pt>
                <c:pt idx="278">
                  <c:v>2374556</c:v>
                </c:pt>
                <c:pt idx="279">
                  <c:v>3422656</c:v>
                </c:pt>
                <c:pt idx="280">
                  <c:v>2916128</c:v>
                </c:pt>
                <c:pt idx="281">
                  <c:v>4227538</c:v>
                </c:pt>
                <c:pt idx="282">
                  <c:v>2795155</c:v>
                </c:pt>
                <c:pt idx="283">
                  <c:v>2515817</c:v>
                </c:pt>
                <c:pt idx="284">
                  <c:v>10219330</c:v>
                </c:pt>
                <c:pt idx="285">
                  <c:v>2157601</c:v>
                </c:pt>
                <c:pt idx="286">
                  <c:v>2802805</c:v>
                </c:pt>
                <c:pt idx="287">
                  <c:v>2764914</c:v>
                </c:pt>
                <c:pt idx="288">
                  <c:v>4092265</c:v>
                </c:pt>
                <c:pt idx="289">
                  <c:v>4367902</c:v>
                </c:pt>
                <c:pt idx="290">
                  <c:v>3404604</c:v>
                </c:pt>
                <c:pt idx="291">
                  <c:v>2105254</c:v>
                </c:pt>
                <c:pt idx="292">
                  <c:v>1295198</c:v>
                </c:pt>
                <c:pt idx="293">
                  <c:v>1800307</c:v>
                </c:pt>
                <c:pt idx="294">
                  <c:v>2192155</c:v>
                </c:pt>
                <c:pt idx="295">
                  <c:v>3895199</c:v>
                </c:pt>
                <c:pt idx="296">
                  <c:v>2929976</c:v>
                </c:pt>
                <c:pt idx="297">
                  <c:v>2906889</c:v>
                </c:pt>
                <c:pt idx="298">
                  <c:v>3205017</c:v>
                </c:pt>
                <c:pt idx="299">
                  <c:v>1982922</c:v>
                </c:pt>
                <c:pt idx="300">
                  <c:v>2110883</c:v>
                </c:pt>
                <c:pt idx="301">
                  <c:v>1725617</c:v>
                </c:pt>
                <c:pt idx="302">
                  <c:v>1724524</c:v>
                </c:pt>
                <c:pt idx="303">
                  <c:v>2656774</c:v>
                </c:pt>
                <c:pt idx="304">
                  <c:v>2792406</c:v>
                </c:pt>
                <c:pt idx="305">
                  <c:v>3197957</c:v>
                </c:pt>
                <c:pt idx="306">
                  <c:v>4457129</c:v>
                </c:pt>
                <c:pt idx="307">
                  <c:v>3106480</c:v>
                </c:pt>
                <c:pt idx="308">
                  <c:v>2894044</c:v>
                </c:pt>
                <c:pt idx="309">
                  <c:v>2713246</c:v>
                </c:pt>
                <c:pt idx="310">
                  <c:v>2568054</c:v>
                </c:pt>
                <c:pt idx="311">
                  <c:v>2990852</c:v>
                </c:pt>
                <c:pt idx="312">
                  <c:v>2782077</c:v>
                </c:pt>
                <c:pt idx="313">
                  <c:v>2253527</c:v>
                </c:pt>
                <c:pt idx="314">
                  <c:v>2793839</c:v>
                </c:pt>
                <c:pt idx="315">
                  <c:v>1970901</c:v>
                </c:pt>
                <c:pt idx="316">
                  <c:v>1592836</c:v>
                </c:pt>
                <c:pt idx="317">
                  <c:v>1735807</c:v>
                </c:pt>
                <c:pt idx="318">
                  <c:v>2681316</c:v>
                </c:pt>
                <c:pt idx="319">
                  <c:v>2129445</c:v>
                </c:pt>
                <c:pt idx="320">
                  <c:v>1820492</c:v>
                </c:pt>
                <c:pt idx="321">
                  <c:v>5802489</c:v>
                </c:pt>
                <c:pt idx="322">
                  <c:v>1710696</c:v>
                </c:pt>
                <c:pt idx="323">
                  <c:v>2021043</c:v>
                </c:pt>
                <c:pt idx="324">
                  <c:v>3210161</c:v>
                </c:pt>
                <c:pt idx="325">
                  <c:v>2354881</c:v>
                </c:pt>
                <c:pt idx="326">
                  <c:v>274400</c:v>
                </c:pt>
                <c:pt idx="327">
                  <c:v>5011470</c:v>
                </c:pt>
                <c:pt idx="328">
                  <c:v>1491451</c:v>
                </c:pt>
                <c:pt idx="329">
                  <c:v>1394846</c:v>
                </c:pt>
                <c:pt idx="330">
                  <c:v>1936466</c:v>
                </c:pt>
                <c:pt idx="331">
                  <c:v>2596355</c:v>
                </c:pt>
                <c:pt idx="332">
                  <c:v>2183395</c:v>
                </c:pt>
                <c:pt idx="333">
                  <c:v>1723467</c:v>
                </c:pt>
                <c:pt idx="334">
                  <c:v>2252136</c:v>
                </c:pt>
                <c:pt idx="335">
                  <c:v>1666863</c:v>
                </c:pt>
                <c:pt idx="336">
                  <c:v>2474769</c:v>
                </c:pt>
                <c:pt idx="337">
                  <c:v>2238714</c:v>
                </c:pt>
                <c:pt idx="338">
                  <c:v>1558896</c:v>
                </c:pt>
                <c:pt idx="339">
                  <c:v>2270763</c:v>
                </c:pt>
                <c:pt idx="340">
                  <c:v>2331564</c:v>
                </c:pt>
                <c:pt idx="341">
                  <c:v>1944022</c:v>
                </c:pt>
                <c:pt idx="342">
                  <c:v>2543918</c:v>
                </c:pt>
                <c:pt idx="343">
                  <c:v>2000978</c:v>
                </c:pt>
                <c:pt idx="344">
                  <c:v>1640123</c:v>
                </c:pt>
                <c:pt idx="345">
                  <c:v>6342672</c:v>
                </c:pt>
                <c:pt idx="346">
                  <c:v>2724035</c:v>
                </c:pt>
                <c:pt idx="347">
                  <c:v>2958835</c:v>
                </c:pt>
                <c:pt idx="348">
                  <c:v>6392688</c:v>
                </c:pt>
                <c:pt idx="349">
                  <c:v>2285950</c:v>
                </c:pt>
                <c:pt idx="350">
                  <c:v>1243303</c:v>
                </c:pt>
                <c:pt idx="351">
                  <c:v>2106176</c:v>
                </c:pt>
                <c:pt idx="352">
                  <c:v>1841289</c:v>
                </c:pt>
                <c:pt idx="353">
                  <c:v>2034350</c:v>
                </c:pt>
                <c:pt idx="354">
                  <c:v>2326220</c:v>
                </c:pt>
                <c:pt idx="355">
                  <c:v>2371611</c:v>
                </c:pt>
                <c:pt idx="356">
                  <c:v>3935708</c:v>
                </c:pt>
                <c:pt idx="357">
                  <c:v>3391204</c:v>
                </c:pt>
                <c:pt idx="358">
                  <c:v>2702407</c:v>
                </c:pt>
                <c:pt idx="359">
                  <c:v>2817704</c:v>
                </c:pt>
                <c:pt idx="360">
                  <c:v>1482249</c:v>
                </c:pt>
                <c:pt idx="361">
                  <c:v>1408684</c:v>
                </c:pt>
                <c:pt idx="362">
                  <c:v>1284337</c:v>
                </c:pt>
                <c:pt idx="363">
                  <c:v>1689723</c:v>
                </c:pt>
                <c:pt idx="364">
                  <c:v>1929309</c:v>
                </c:pt>
                <c:pt idx="365">
                  <c:v>1394918</c:v>
                </c:pt>
                <c:pt idx="366">
                  <c:v>1822056</c:v>
                </c:pt>
                <c:pt idx="367">
                  <c:v>3487150</c:v>
                </c:pt>
                <c:pt idx="368">
                  <c:v>1339691</c:v>
                </c:pt>
                <c:pt idx="369">
                  <c:v>1614314</c:v>
                </c:pt>
                <c:pt idx="370">
                  <c:v>989858</c:v>
                </c:pt>
                <c:pt idx="371">
                  <c:v>921138</c:v>
                </c:pt>
                <c:pt idx="372">
                  <c:v>1516288</c:v>
                </c:pt>
                <c:pt idx="373">
                  <c:v>3323273</c:v>
                </c:pt>
                <c:pt idx="374">
                  <c:v>1359963</c:v>
                </c:pt>
                <c:pt idx="375">
                  <c:v>773806</c:v>
                </c:pt>
                <c:pt idx="376">
                  <c:v>950573</c:v>
                </c:pt>
                <c:pt idx="377">
                  <c:v>3245802</c:v>
                </c:pt>
                <c:pt idx="378">
                  <c:v>2112043</c:v>
                </c:pt>
                <c:pt idx="379">
                  <c:v>3816569</c:v>
                </c:pt>
                <c:pt idx="380">
                  <c:v>3266398</c:v>
                </c:pt>
                <c:pt idx="381">
                  <c:v>3281306</c:v>
                </c:pt>
                <c:pt idx="382">
                  <c:v>4175707</c:v>
                </c:pt>
                <c:pt idx="383">
                  <c:v>7149266</c:v>
                </c:pt>
                <c:pt idx="384">
                  <c:v>2470615</c:v>
                </c:pt>
                <c:pt idx="385">
                  <c:v>3098089</c:v>
                </c:pt>
                <c:pt idx="386">
                  <c:v>2087629</c:v>
                </c:pt>
                <c:pt idx="387">
                  <c:v>1739341</c:v>
                </c:pt>
                <c:pt idx="388">
                  <c:v>1728435</c:v>
                </c:pt>
                <c:pt idx="389">
                  <c:v>1853439</c:v>
                </c:pt>
                <c:pt idx="390">
                  <c:v>1874357</c:v>
                </c:pt>
                <c:pt idx="391">
                  <c:v>2671530</c:v>
                </c:pt>
                <c:pt idx="392">
                  <c:v>2713867</c:v>
                </c:pt>
                <c:pt idx="393">
                  <c:v>2235602</c:v>
                </c:pt>
                <c:pt idx="394">
                  <c:v>4448681</c:v>
                </c:pt>
                <c:pt idx="395">
                  <c:v>1846014</c:v>
                </c:pt>
                <c:pt idx="396">
                  <c:v>1916380</c:v>
                </c:pt>
                <c:pt idx="397">
                  <c:v>3200948</c:v>
                </c:pt>
                <c:pt idx="398">
                  <c:v>5834470</c:v>
                </c:pt>
                <c:pt idx="399">
                  <c:v>3184531</c:v>
                </c:pt>
                <c:pt idx="400">
                  <c:v>3342992</c:v>
                </c:pt>
                <c:pt idx="401">
                  <c:v>1863558</c:v>
                </c:pt>
                <c:pt idx="402">
                  <c:v>3234785</c:v>
                </c:pt>
                <c:pt idx="403">
                  <c:v>2944646</c:v>
                </c:pt>
                <c:pt idx="404">
                  <c:v>5397659</c:v>
                </c:pt>
                <c:pt idx="405">
                  <c:v>7214938</c:v>
                </c:pt>
                <c:pt idx="406">
                  <c:v>2388700</c:v>
                </c:pt>
                <c:pt idx="407">
                  <c:v>2840341</c:v>
                </c:pt>
                <c:pt idx="408">
                  <c:v>2036245</c:v>
                </c:pt>
                <c:pt idx="409">
                  <c:v>2397127</c:v>
                </c:pt>
                <c:pt idx="410">
                  <c:v>2392491</c:v>
                </c:pt>
                <c:pt idx="411">
                  <c:v>2629763</c:v>
                </c:pt>
                <c:pt idx="412">
                  <c:v>10004684</c:v>
                </c:pt>
                <c:pt idx="413">
                  <c:v>5703505</c:v>
                </c:pt>
                <c:pt idx="414">
                  <c:v>2329520</c:v>
                </c:pt>
                <c:pt idx="415">
                  <c:v>8651443</c:v>
                </c:pt>
                <c:pt idx="416">
                  <c:v>2088938</c:v>
                </c:pt>
                <c:pt idx="417">
                  <c:v>3161598</c:v>
                </c:pt>
                <c:pt idx="418">
                  <c:v>2217963</c:v>
                </c:pt>
                <c:pt idx="419">
                  <c:v>1871596</c:v>
                </c:pt>
                <c:pt idx="420">
                  <c:v>2256550</c:v>
                </c:pt>
                <c:pt idx="421">
                  <c:v>1671877</c:v>
                </c:pt>
                <c:pt idx="422">
                  <c:v>1837000</c:v>
                </c:pt>
                <c:pt idx="423">
                  <c:v>2616965</c:v>
                </c:pt>
                <c:pt idx="424">
                  <c:v>2190786</c:v>
                </c:pt>
                <c:pt idx="425">
                  <c:v>3618375</c:v>
                </c:pt>
                <c:pt idx="426">
                  <c:v>2285672</c:v>
                </c:pt>
                <c:pt idx="427">
                  <c:v>2564106</c:v>
                </c:pt>
                <c:pt idx="428">
                  <c:v>1663249</c:v>
                </c:pt>
                <c:pt idx="429">
                  <c:v>5050431</c:v>
                </c:pt>
                <c:pt idx="430">
                  <c:v>5166409</c:v>
                </c:pt>
                <c:pt idx="431">
                  <c:v>3555664</c:v>
                </c:pt>
                <c:pt idx="432">
                  <c:v>4167275</c:v>
                </c:pt>
                <c:pt idx="433">
                  <c:v>8956139</c:v>
                </c:pt>
                <c:pt idx="434">
                  <c:v>5541018</c:v>
                </c:pt>
                <c:pt idx="435">
                  <c:v>2469237</c:v>
                </c:pt>
                <c:pt idx="436">
                  <c:v>6509389</c:v>
                </c:pt>
                <c:pt idx="437">
                  <c:v>2134581</c:v>
                </c:pt>
                <c:pt idx="438">
                  <c:v>3459049</c:v>
                </c:pt>
                <c:pt idx="439">
                  <c:v>4239052</c:v>
                </c:pt>
                <c:pt idx="440">
                  <c:v>3101205</c:v>
                </c:pt>
                <c:pt idx="441">
                  <c:v>3450066</c:v>
                </c:pt>
                <c:pt idx="442">
                  <c:v>2252652</c:v>
                </c:pt>
                <c:pt idx="443">
                  <c:v>3993858</c:v>
                </c:pt>
                <c:pt idx="444">
                  <c:v>5229848</c:v>
                </c:pt>
                <c:pt idx="445">
                  <c:v>3319268</c:v>
                </c:pt>
                <c:pt idx="446">
                  <c:v>2352656</c:v>
                </c:pt>
                <c:pt idx="447">
                  <c:v>3091487</c:v>
                </c:pt>
                <c:pt idx="448">
                  <c:v>33066256</c:v>
                </c:pt>
                <c:pt idx="449">
                  <c:v>8304759</c:v>
                </c:pt>
                <c:pt idx="450">
                  <c:v>10903519</c:v>
                </c:pt>
                <c:pt idx="451">
                  <c:v>6066942</c:v>
                </c:pt>
                <c:pt idx="452">
                  <c:v>6643295</c:v>
                </c:pt>
                <c:pt idx="453">
                  <c:v>4777201</c:v>
                </c:pt>
                <c:pt idx="454">
                  <c:v>5070033</c:v>
                </c:pt>
                <c:pt idx="455">
                  <c:v>3318673</c:v>
                </c:pt>
                <c:pt idx="456">
                  <c:v>2459953</c:v>
                </c:pt>
                <c:pt idx="457">
                  <c:v>3541520</c:v>
                </c:pt>
                <c:pt idx="458">
                  <c:v>3725309</c:v>
                </c:pt>
                <c:pt idx="459">
                  <c:v>2813749</c:v>
                </c:pt>
                <c:pt idx="460">
                  <c:v>2505962</c:v>
                </c:pt>
                <c:pt idx="461">
                  <c:v>3959561</c:v>
                </c:pt>
                <c:pt idx="462">
                  <c:v>2635034</c:v>
                </c:pt>
                <c:pt idx="463">
                  <c:v>5837032</c:v>
                </c:pt>
                <c:pt idx="464">
                  <c:v>3729249</c:v>
                </c:pt>
                <c:pt idx="465">
                  <c:v>2588569</c:v>
                </c:pt>
                <c:pt idx="466">
                  <c:v>5756760</c:v>
                </c:pt>
                <c:pt idx="467">
                  <c:v>1415960</c:v>
                </c:pt>
                <c:pt idx="468">
                  <c:v>2245247</c:v>
                </c:pt>
                <c:pt idx="469">
                  <c:v>2044782</c:v>
                </c:pt>
                <c:pt idx="470">
                  <c:v>1419803</c:v>
                </c:pt>
                <c:pt idx="471">
                  <c:v>1196820</c:v>
                </c:pt>
                <c:pt idx="472">
                  <c:v>1004168</c:v>
                </c:pt>
                <c:pt idx="473">
                  <c:v>12446602</c:v>
                </c:pt>
                <c:pt idx="474">
                  <c:v>5970435</c:v>
                </c:pt>
                <c:pt idx="475">
                  <c:v>7663067</c:v>
                </c:pt>
                <c:pt idx="476">
                  <c:v>4800922</c:v>
                </c:pt>
                <c:pt idx="477">
                  <c:v>2025595</c:v>
                </c:pt>
                <c:pt idx="478">
                  <c:v>1971395</c:v>
                </c:pt>
                <c:pt idx="479">
                  <c:v>1546444</c:v>
                </c:pt>
                <c:pt idx="480">
                  <c:v>2225582</c:v>
                </c:pt>
                <c:pt idx="481">
                  <c:v>1600595</c:v>
                </c:pt>
                <c:pt idx="482">
                  <c:v>3435236</c:v>
                </c:pt>
                <c:pt idx="483">
                  <c:v>2203987</c:v>
                </c:pt>
                <c:pt idx="484">
                  <c:v>2361006</c:v>
                </c:pt>
                <c:pt idx="485">
                  <c:v>8343470</c:v>
                </c:pt>
                <c:pt idx="486">
                  <c:v>2263670</c:v>
                </c:pt>
                <c:pt idx="487">
                  <c:v>3368037</c:v>
                </c:pt>
                <c:pt idx="488">
                  <c:v>10014063</c:v>
                </c:pt>
                <c:pt idx="489">
                  <c:v>2312385</c:v>
                </c:pt>
                <c:pt idx="490">
                  <c:v>3235632</c:v>
                </c:pt>
                <c:pt idx="491">
                  <c:v>3503015</c:v>
                </c:pt>
                <c:pt idx="492">
                  <c:v>5877425</c:v>
                </c:pt>
                <c:pt idx="493">
                  <c:v>5186504</c:v>
                </c:pt>
                <c:pt idx="494">
                  <c:v>3794233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1-4807-81FF-CC2CD9D1C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213"/>
        <c:axId val="70031416"/>
      </c:barChart>
      <c:lineChart>
        <c:grouping val="standard"/>
        <c:varyColors val="0"/>
        <c:ser>
          <c:idx val="1"/>
          <c:order val="1"/>
          <c:tx>
            <c:strRef>
              <c:f>HCLTECH!$H$1</c:f>
              <c:strCache>
                <c:ptCount val="1"/>
                <c:pt idx="0">
                  <c:v>CLOSE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HCLTECH!$A$2:$A$496</c:f>
              <c:numCache>
                <c:formatCode>d\-mmm\-yy</c:formatCode>
                <c:ptCount val="495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45614</c:v>
                </c:pt>
                <c:pt idx="97">
                  <c:v>45615</c:v>
                </c:pt>
                <c:pt idx="98">
                  <c:v>45617</c:v>
                </c:pt>
                <c:pt idx="99">
                  <c:v>45618</c:v>
                </c:pt>
                <c:pt idx="100">
                  <c:v>45621</c:v>
                </c:pt>
                <c:pt idx="101">
                  <c:v>45622</c:v>
                </c:pt>
                <c:pt idx="102">
                  <c:v>45623</c:v>
                </c:pt>
                <c:pt idx="103">
                  <c:v>45624</c:v>
                </c:pt>
                <c:pt idx="104">
                  <c:v>45625</c:v>
                </c:pt>
                <c:pt idx="105">
                  <c:v>45628</c:v>
                </c:pt>
                <c:pt idx="106">
                  <c:v>45629</c:v>
                </c:pt>
                <c:pt idx="107">
                  <c:v>45630</c:v>
                </c:pt>
                <c:pt idx="108">
                  <c:v>45631</c:v>
                </c:pt>
                <c:pt idx="109">
                  <c:v>45632</c:v>
                </c:pt>
                <c:pt idx="110">
                  <c:v>45635</c:v>
                </c:pt>
                <c:pt idx="111">
                  <c:v>45636</c:v>
                </c:pt>
                <c:pt idx="112">
                  <c:v>45637</c:v>
                </c:pt>
                <c:pt idx="113">
                  <c:v>45638</c:v>
                </c:pt>
                <c:pt idx="114">
                  <c:v>45639</c:v>
                </c:pt>
                <c:pt idx="115">
                  <c:v>45642</c:v>
                </c:pt>
                <c:pt idx="116">
                  <c:v>45643</c:v>
                </c:pt>
                <c:pt idx="117">
                  <c:v>45644</c:v>
                </c:pt>
                <c:pt idx="118">
                  <c:v>45645</c:v>
                </c:pt>
                <c:pt idx="119">
                  <c:v>45646</c:v>
                </c:pt>
                <c:pt idx="120">
                  <c:v>45649</c:v>
                </c:pt>
                <c:pt idx="121">
                  <c:v>45650</c:v>
                </c:pt>
                <c:pt idx="122">
                  <c:v>45652</c:v>
                </c:pt>
                <c:pt idx="123">
                  <c:v>45653</c:v>
                </c:pt>
                <c:pt idx="124">
                  <c:v>45656</c:v>
                </c:pt>
                <c:pt idx="125">
                  <c:v>45657</c:v>
                </c:pt>
                <c:pt idx="126">
                  <c:v>45658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45666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45677</c:v>
                </c:pt>
                <c:pt idx="140">
                  <c:v>45678</c:v>
                </c:pt>
                <c:pt idx="141">
                  <c:v>45679</c:v>
                </c:pt>
                <c:pt idx="142">
                  <c:v>45680</c:v>
                </c:pt>
                <c:pt idx="143">
                  <c:v>45681</c:v>
                </c:pt>
                <c:pt idx="144">
                  <c:v>45684</c:v>
                </c:pt>
                <c:pt idx="145">
                  <c:v>45685</c:v>
                </c:pt>
                <c:pt idx="146">
                  <c:v>45686</c:v>
                </c:pt>
                <c:pt idx="147">
                  <c:v>45687</c:v>
                </c:pt>
                <c:pt idx="148">
                  <c:v>45688</c:v>
                </c:pt>
                <c:pt idx="149">
                  <c:v>45689</c:v>
                </c:pt>
                <c:pt idx="150">
                  <c:v>45691</c:v>
                </c:pt>
                <c:pt idx="151">
                  <c:v>45692</c:v>
                </c:pt>
                <c:pt idx="152">
                  <c:v>45693</c:v>
                </c:pt>
                <c:pt idx="153">
                  <c:v>45694</c:v>
                </c:pt>
                <c:pt idx="154">
                  <c:v>45695</c:v>
                </c:pt>
                <c:pt idx="155">
                  <c:v>45698</c:v>
                </c:pt>
                <c:pt idx="156">
                  <c:v>45699</c:v>
                </c:pt>
                <c:pt idx="157">
                  <c:v>45700</c:v>
                </c:pt>
                <c:pt idx="158">
                  <c:v>45701</c:v>
                </c:pt>
                <c:pt idx="159">
                  <c:v>45702</c:v>
                </c:pt>
                <c:pt idx="160">
                  <c:v>45705</c:v>
                </c:pt>
                <c:pt idx="161">
                  <c:v>45706</c:v>
                </c:pt>
                <c:pt idx="162">
                  <c:v>45707</c:v>
                </c:pt>
                <c:pt idx="163">
                  <c:v>45708</c:v>
                </c:pt>
                <c:pt idx="164">
                  <c:v>45709</c:v>
                </c:pt>
                <c:pt idx="165">
                  <c:v>45712</c:v>
                </c:pt>
                <c:pt idx="166">
                  <c:v>45713</c:v>
                </c:pt>
                <c:pt idx="167">
                  <c:v>45715</c:v>
                </c:pt>
                <c:pt idx="168">
                  <c:v>45716</c:v>
                </c:pt>
                <c:pt idx="169">
                  <c:v>45719</c:v>
                </c:pt>
                <c:pt idx="170">
                  <c:v>45720</c:v>
                </c:pt>
                <c:pt idx="171">
                  <c:v>45721</c:v>
                </c:pt>
                <c:pt idx="172">
                  <c:v>45722</c:v>
                </c:pt>
                <c:pt idx="173">
                  <c:v>45723</c:v>
                </c:pt>
                <c:pt idx="174">
                  <c:v>45726</c:v>
                </c:pt>
                <c:pt idx="175">
                  <c:v>45727</c:v>
                </c:pt>
                <c:pt idx="176">
                  <c:v>45728</c:v>
                </c:pt>
                <c:pt idx="177">
                  <c:v>45729</c:v>
                </c:pt>
                <c:pt idx="178">
                  <c:v>45733</c:v>
                </c:pt>
                <c:pt idx="179">
                  <c:v>45734</c:v>
                </c:pt>
                <c:pt idx="180">
                  <c:v>45735</c:v>
                </c:pt>
                <c:pt idx="181">
                  <c:v>45736</c:v>
                </c:pt>
                <c:pt idx="182">
                  <c:v>45737</c:v>
                </c:pt>
                <c:pt idx="183">
                  <c:v>45740</c:v>
                </c:pt>
                <c:pt idx="184">
                  <c:v>45741</c:v>
                </c:pt>
                <c:pt idx="185">
                  <c:v>45742</c:v>
                </c:pt>
                <c:pt idx="186">
                  <c:v>45743</c:v>
                </c:pt>
                <c:pt idx="187">
                  <c:v>45744</c:v>
                </c:pt>
                <c:pt idx="188">
                  <c:v>45748</c:v>
                </c:pt>
                <c:pt idx="189">
                  <c:v>45749</c:v>
                </c:pt>
                <c:pt idx="190">
                  <c:v>45750</c:v>
                </c:pt>
                <c:pt idx="191">
                  <c:v>45751</c:v>
                </c:pt>
                <c:pt idx="192">
                  <c:v>45754</c:v>
                </c:pt>
                <c:pt idx="193">
                  <c:v>45755</c:v>
                </c:pt>
                <c:pt idx="194">
                  <c:v>45756</c:v>
                </c:pt>
                <c:pt idx="195">
                  <c:v>45758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45798</c:v>
                </c:pt>
                <c:pt idx="221">
                  <c:v>45799</c:v>
                </c:pt>
                <c:pt idx="222">
                  <c:v>45800</c:v>
                </c:pt>
                <c:pt idx="223">
                  <c:v>45803</c:v>
                </c:pt>
                <c:pt idx="224">
                  <c:v>45804</c:v>
                </c:pt>
                <c:pt idx="225">
                  <c:v>45805</c:v>
                </c:pt>
                <c:pt idx="226">
                  <c:v>45806</c:v>
                </c:pt>
                <c:pt idx="227">
                  <c:v>45807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45817</c:v>
                </c:pt>
                <c:pt idx="234">
                  <c:v>45818</c:v>
                </c:pt>
                <c:pt idx="235">
                  <c:v>45819</c:v>
                </c:pt>
                <c:pt idx="236">
                  <c:v>45820</c:v>
                </c:pt>
                <c:pt idx="237">
                  <c:v>45821</c:v>
                </c:pt>
                <c:pt idx="238">
                  <c:v>45824</c:v>
                </c:pt>
                <c:pt idx="239">
                  <c:v>45825</c:v>
                </c:pt>
                <c:pt idx="240">
                  <c:v>45826</c:v>
                </c:pt>
                <c:pt idx="241">
                  <c:v>45827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45842</c:v>
                </c:pt>
                <c:pt idx="253">
                  <c:v>45845</c:v>
                </c:pt>
                <c:pt idx="254">
                  <c:v>45846</c:v>
                </c:pt>
                <c:pt idx="255">
                  <c:v>45847</c:v>
                </c:pt>
                <c:pt idx="256">
                  <c:v>45848</c:v>
                </c:pt>
                <c:pt idx="257">
                  <c:v>45849</c:v>
                </c:pt>
                <c:pt idx="258">
                  <c:v>45852</c:v>
                </c:pt>
                <c:pt idx="259">
                  <c:v>45853</c:v>
                </c:pt>
                <c:pt idx="260">
                  <c:v>45854</c:v>
                </c:pt>
                <c:pt idx="261">
                  <c:v>45855</c:v>
                </c:pt>
                <c:pt idx="262">
                  <c:v>45856</c:v>
                </c:pt>
                <c:pt idx="263">
                  <c:v>45859</c:v>
                </c:pt>
                <c:pt idx="264">
                  <c:v>45860</c:v>
                </c:pt>
                <c:pt idx="265">
                  <c:v>45861</c:v>
                </c:pt>
                <c:pt idx="266">
                  <c:v>45862</c:v>
                </c:pt>
                <c:pt idx="267">
                  <c:v>45863</c:v>
                </c:pt>
                <c:pt idx="268">
                  <c:v>45866</c:v>
                </c:pt>
                <c:pt idx="269">
                  <c:v>45867</c:v>
                </c:pt>
                <c:pt idx="270">
                  <c:v>45868</c:v>
                </c:pt>
                <c:pt idx="271">
                  <c:v>45869</c:v>
                </c:pt>
                <c:pt idx="272">
                  <c:v>45870</c:v>
                </c:pt>
                <c:pt idx="273">
                  <c:v>45873</c:v>
                </c:pt>
                <c:pt idx="274">
                  <c:v>45874</c:v>
                </c:pt>
                <c:pt idx="275">
                  <c:v>45875</c:v>
                </c:pt>
                <c:pt idx="276">
                  <c:v>45876</c:v>
                </c:pt>
                <c:pt idx="277">
                  <c:v>45877</c:v>
                </c:pt>
                <c:pt idx="278">
                  <c:v>45880</c:v>
                </c:pt>
                <c:pt idx="279">
                  <c:v>45881</c:v>
                </c:pt>
                <c:pt idx="280">
                  <c:v>45882</c:v>
                </c:pt>
                <c:pt idx="281">
                  <c:v>45883</c:v>
                </c:pt>
                <c:pt idx="282">
                  <c:v>45887</c:v>
                </c:pt>
                <c:pt idx="283">
                  <c:v>45888</c:v>
                </c:pt>
                <c:pt idx="284">
                  <c:v>45889</c:v>
                </c:pt>
                <c:pt idx="285">
                  <c:v>45890</c:v>
                </c:pt>
                <c:pt idx="286">
                  <c:v>45891</c:v>
                </c:pt>
                <c:pt idx="287">
                  <c:v>45894</c:v>
                </c:pt>
                <c:pt idx="288">
                  <c:v>45895</c:v>
                </c:pt>
                <c:pt idx="289">
                  <c:v>45897</c:v>
                </c:pt>
                <c:pt idx="290">
                  <c:v>45898</c:v>
                </c:pt>
                <c:pt idx="291">
                  <c:v>45901</c:v>
                </c:pt>
                <c:pt idx="292">
                  <c:v>45902</c:v>
                </c:pt>
                <c:pt idx="293">
                  <c:v>45903</c:v>
                </c:pt>
                <c:pt idx="294">
                  <c:v>45904</c:v>
                </c:pt>
                <c:pt idx="295">
                  <c:v>45905</c:v>
                </c:pt>
                <c:pt idx="296">
                  <c:v>45908</c:v>
                </c:pt>
                <c:pt idx="297">
                  <c:v>45909</c:v>
                </c:pt>
                <c:pt idx="298">
                  <c:v>45910</c:v>
                </c:pt>
                <c:pt idx="299">
                  <c:v>45911</c:v>
                </c:pt>
                <c:pt idx="300">
                  <c:v>45912</c:v>
                </c:pt>
                <c:pt idx="301">
                  <c:v>45915</c:v>
                </c:pt>
                <c:pt idx="302">
                  <c:v>45916</c:v>
                </c:pt>
                <c:pt idx="303">
                  <c:v>45917</c:v>
                </c:pt>
                <c:pt idx="304">
                  <c:v>45918</c:v>
                </c:pt>
                <c:pt idx="305">
                  <c:v>45919</c:v>
                </c:pt>
                <c:pt idx="306">
                  <c:v>45922</c:v>
                </c:pt>
                <c:pt idx="307">
                  <c:v>45923</c:v>
                </c:pt>
                <c:pt idx="308">
                  <c:v>45924</c:v>
                </c:pt>
                <c:pt idx="309">
                  <c:v>45925</c:v>
                </c:pt>
                <c:pt idx="310">
                  <c:v>45926</c:v>
                </c:pt>
                <c:pt idx="311">
                  <c:v>45929</c:v>
                </c:pt>
                <c:pt idx="312">
                  <c:v>45930</c:v>
                </c:pt>
                <c:pt idx="313">
                  <c:v>45931</c:v>
                </c:pt>
                <c:pt idx="314">
                  <c:v>45933</c:v>
                </c:pt>
                <c:pt idx="315">
                  <c:v>45936</c:v>
                </c:pt>
                <c:pt idx="316">
                  <c:v>45937</c:v>
                </c:pt>
                <c:pt idx="317">
                  <c:v>45938</c:v>
                </c:pt>
                <c:pt idx="318">
                  <c:v>45939</c:v>
                </c:pt>
                <c:pt idx="319">
                  <c:v>45940</c:v>
                </c:pt>
                <c:pt idx="320">
                  <c:v>45943</c:v>
                </c:pt>
                <c:pt idx="321">
                  <c:v>45944</c:v>
                </c:pt>
                <c:pt idx="322">
                  <c:v>45945</c:v>
                </c:pt>
                <c:pt idx="323">
                  <c:v>45946</c:v>
                </c:pt>
                <c:pt idx="324">
                  <c:v>45947</c:v>
                </c:pt>
                <c:pt idx="325">
                  <c:v>45950</c:v>
                </c:pt>
                <c:pt idx="326">
                  <c:v>45951</c:v>
                </c:pt>
                <c:pt idx="327">
                  <c:v>45953</c:v>
                </c:pt>
                <c:pt idx="328">
                  <c:v>45954</c:v>
                </c:pt>
                <c:pt idx="329">
                  <c:v>45957</c:v>
                </c:pt>
                <c:pt idx="330">
                  <c:v>45958</c:v>
                </c:pt>
                <c:pt idx="331">
                  <c:v>45959</c:v>
                </c:pt>
                <c:pt idx="332">
                  <c:v>45960</c:v>
                </c:pt>
                <c:pt idx="333">
                  <c:v>45961</c:v>
                </c:pt>
                <c:pt idx="334">
                  <c:v>45964</c:v>
                </c:pt>
                <c:pt idx="335">
                  <c:v>45965</c:v>
                </c:pt>
                <c:pt idx="336">
                  <c:v>45967</c:v>
                </c:pt>
                <c:pt idx="337">
                  <c:v>45968</c:v>
                </c:pt>
                <c:pt idx="338">
                  <c:v>45971</c:v>
                </c:pt>
                <c:pt idx="339">
                  <c:v>45972</c:v>
                </c:pt>
                <c:pt idx="340">
                  <c:v>45973</c:v>
                </c:pt>
                <c:pt idx="341">
                  <c:v>45974</c:v>
                </c:pt>
                <c:pt idx="342">
                  <c:v>45975</c:v>
                </c:pt>
                <c:pt idx="343">
                  <c:v>45978</c:v>
                </c:pt>
                <c:pt idx="344">
                  <c:v>45979</c:v>
                </c:pt>
                <c:pt idx="345">
                  <c:v>45980</c:v>
                </c:pt>
                <c:pt idx="346">
                  <c:v>45981</c:v>
                </c:pt>
                <c:pt idx="347">
                  <c:v>45982</c:v>
                </c:pt>
                <c:pt idx="348">
                  <c:v>45985</c:v>
                </c:pt>
                <c:pt idx="349">
                  <c:v>45986</c:v>
                </c:pt>
                <c:pt idx="350">
                  <c:v>45987</c:v>
                </c:pt>
                <c:pt idx="351">
                  <c:v>45988</c:v>
                </c:pt>
                <c:pt idx="352">
                  <c:v>45989</c:v>
                </c:pt>
                <c:pt idx="353">
                  <c:v>45992</c:v>
                </c:pt>
                <c:pt idx="354">
                  <c:v>45993</c:v>
                </c:pt>
                <c:pt idx="355">
                  <c:v>45994</c:v>
                </c:pt>
                <c:pt idx="356">
                  <c:v>45995</c:v>
                </c:pt>
                <c:pt idx="357">
                  <c:v>45996</c:v>
                </c:pt>
                <c:pt idx="358">
                  <c:v>45999</c:v>
                </c:pt>
                <c:pt idx="359">
                  <c:v>46000</c:v>
                </c:pt>
                <c:pt idx="360">
                  <c:v>46001</c:v>
                </c:pt>
                <c:pt idx="361">
                  <c:v>46002</c:v>
                </c:pt>
                <c:pt idx="362">
                  <c:v>46003</c:v>
                </c:pt>
                <c:pt idx="363">
                  <c:v>46006</c:v>
                </c:pt>
                <c:pt idx="364">
                  <c:v>46007</c:v>
                </c:pt>
                <c:pt idx="365">
                  <c:v>46008</c:v>
                </c:pt>
                <c:pt idx="366">
                  <c:v>46009</c:v>
                </c:pt>
                <c:pt idx="367">
                  <c:v>46010</c:v>
                </c:pt>
                <c:pt idx="368">
                  <c:v>46013</c:v>
                </c:pt>
                <c:pt idx="369">
                  <c:v>46014</c:v>
                </c:pt>
                <c:pt idx="370">
                  <c:v>46015</c:v>
                </c:pt>
                <c:pt idx="371">
                  <c:v>46017</c:v>
                </c:pt>
                <c:pt idx="372">
                  <c:v>46020</c:v>
                </c:pt>
                <c:pt idx="373">
                  <c:v>46021</c:v>
                </c:pt>
                <c:pt idx="374">
                  <c:v>46022</c:v>
                </c:pt>
                <c:pt idx="375">
                  <c:v>46023</c:v>
                </c:pt>
                <c:pt idx="376">
                  <c:v>46024</c:v>
                </c:pt>
                <c:pt idx="377">
                  <c:v>46027</c:v>
                </c:pt>
                <c:pt idx="378">
                  <c:v>46028</c:v>
                </c:pt>
                <c:pt idx="379">
                  <c:v>46029</c:v>
                </c:pt>
                <c:pt idx="380">
                  <c:v>46030</c:v>
                </c:pt>
                <c:pt idx="381">
                  <c:v>46031</c:v>
                </c:pt>
                <c:pt idx="382">
                  <c:v>46034</c:v>
                </c:pt>
                <c:pt idx="383">
                  <c:v>46035</c:v>
                </c:pt>
                <c:pt idx="384">
                  <c:v>46036</c:v>
                </c:pt>
                <c:pt idx="385">
                  <c:v>46038</c:v>
                </c:pt>
                <c:pt idx="386">
                  <c:v>46041</c:v>
                </c:pt>
                <c:pt idx="387">
                  <c:v>46042</c:v>
                </c:pt>
                <c:pt idx="388">
                  <c:v>46043</c:v>
                </c:pt>
                <c:pt idx="389">
                  <c:v>46044</c:v>
                </c:pt>
                <c:pt idx="390">
                  <c:v>46045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46062</c:v>
                </c:pt>
                <c:pt idx="402">
                  <c:v>46063</c:v>
                </c:pt>
                <c:pt idx="403">
                  <c:v>46064</c:v>
                </c:pt>
                <c:pt idx="404">
                  <c:v>46065</c:v>
                </c:pt>
                <c:pt idx="405">
                  <c:v>46066</c:v>
                </c:pt>
                <c:pt idx="406">
                  <c:v>46069</c:v>
                </c:pt>
                <c:pt idx="407">
                  <c:v>46070</c:v>
                </c:pt>
                <c:pt idx="408">
                  <c:v>46071</c:v>
                </c:pt>
                <c:pt idx="409">
                  <c:v>46072</c:v>
                </c:pt>
                <c:pt idx="410">
                  <c:v>46073</c:v>
                </c:pt>
                <c:pt idx="411">
                  <c:v>46076</c:v>
                </c:pt>
                <c:pt idx="412">
                  <c:v>46077</c:v>
                </c:pt>
                <c:pt idx="413">
                  <c:v>46078</c:v>
                </c:pt>
                <c:pt idx="414">
                  <c:v>46079</c:v>
                </c:pt>
                <c:pt idx="415">
                  <c:v>46080</c:v>
                </c:pt>
                <c:pt idx="416">
                  <c:v>46083</c:v>
                </c:pt>
                <c:pt idx="417">
                  <c:v>46085</c:v>
                </c:pt>
                <c:pt idx="418">
                  <c:v>46086</c:v>
                </c:pt>
                <c:pt idx="419">
                  <c:v>46087</c:v>
                </c:pt>
                <c:pt idx="420">
                  <c:v>46090</c:v>
                </c:pt>
                <c:pt idx="421">
                  <c:v>46091</c:v>
                </c:pt>
                <c:pt idx="422">
                  <c:v>46092</c:v>
                </c:pt>
                <c:pt idx="423">
                  <c:v>46093</c:v>
                </c:pt>
                <c:pt idx="424">
                  <c:v>46094</c:v>
                </c:pt>
                <c:pt idx="425">
                  <c:v>46097</c:v>
                </c:pt>
                <c:pt idx="426">
                  <c:v>46098</c:v>
                </c:pt>
                <c:pt idx="427">
                  <c:v>46099</c:v>
                </c:pt>
                <c:pt idx="428">
                  <c:v>46100</c:v>
                </c:pt>
                <c:pt idx="429">
                  <c:v>46101</c:v>
                </c:pt>
                <c:pt idx="430">
                  <c:v>46104</c:v>
                </c:pt>
                <c:pt idx="431">
                  <c:v>46105</c:v>
                </c:pt>
                <c:pt idx="432">
                  <c:v>46106</c:v>
                </c:pt>
                <c:pt idx="433">
                  <c:v>46108</c:v>
                </c:pt>
                <c:pt idx="434">
                  <c:v>46111</c:v>
                </c:pt>
                <c:pt idx="435">
                  <c:v>46113</c:v>
                </c:pt>
                <c:pt idx="436">
                  <c:v>46114</c:v>
                </c:pt>
                <c:pt idx="437">
                  <c:v>46118</c:v>
                </c:pt>
                <c:pt idx="438">
                  <c:v>46119</c:v>
                </c:pt>
                <c:pt idx="439">
                  <c:v>46120</c:v>
                </c:pt>
                <c:pt idx="440">
                  <c:v>46121</c:v>
                </c:pt>
                <c:pt idx="441">
                  <c:v>46122</c:v>
                </c:pt>
                <c:pt idx="442">
                  <c:v>46125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46132</c:v>
                </c:pt>
                <c:pt idx="447">
                  <c:v>46133</c:v>
                </c:pt>
                <c:pt idx="448">
                  <c:v>46134</c:v>
                </c:pt>
                <c:pt idx="449">
                  <c:v>46135</c:v>
                </c:pt>
                <c:pt idx="450">
                  <c:v>46136</c:v>
                </c:pt>
                <c:pt idx="451">
                  <c:v>46139</c:v>
                </c:pt>
                <c:pt idx="452">
                  <c:v>46140</c:v>
                </c:pt>
                <c:pt idx="453">
                  <c:v>46141</c:v>
                </c:pt>
                <c:pt idx="454">
                  <c:v>46142</c:v>
                </c:pt>
                <c:pt idx="455">
                  <c:v>46146</c:v>
                </c:pt>
                <c:pt idx="456">
                  <c:v>46147</c:v>
                </c:pt>
                <c:pt idx="457">
                  <c:v>46148</c:v>
                </c:pt>
                <c:pt idx="458">
                  <c:v>46149</c:v>
                </c:pt>
                <c:pt idx="459">
                  <c:v>46150</c:v>
                </c:pt>
                <c:pt idx="460">
                  <c:v>46153</c:v>
                </c:pt>
                <c:pt idx="461">
                  <c:v>46154</c:v>
                </c:pt>
                <c:pt idx="462">
                  <c:v>46155</c:v>
                </c:pt>
                <c:pt idx="463">
                  <c:v>46156</c:v>
                </c:pt>
                <c:pt idx="464">
                  <c:v>46157</c:v>
                </c:pt>
                <c:pt idx="465">
                  <c:v>46160</c:v>
                </c:pt>
                <c:pt idx="466">
                  <c:v>46161</c:v>
                </c:pt>
                <c:pt idx="467">
                  <c:v>46162</c:v>
                </c:pt>
                <c:pt idx="468">
                  <c:v>46163</c:v>
                </c:pt>
                <c:pt idx="469">
                  <c:v>46164</c:v>
                </c:pt>
                <c:pt idx="470">
                  <c:v>46167</c:v>
                </c:pt>
                <c:pt idx="471">
                  <c:v>46168</c:v>
                </c:pt>
                <c:pt idx="472">
                  <c:v>46169</c:v>
                </c:pt>
                <c:pt idx="473">
                  <c:v>46171</c:v>
                </c:pt>
                <c:pt idx="474">
                  <c:v>46174</c:v>
                </c:pt>
                <c:pt idx="475">
                  <c:v>46175</c:v>
                </c:pt>
                <c:pt idx="476">
                  <c:v>46176</c:v>
                </c:pt>
                <c:pt idx="477">
                  <c:v>46177</c:v>
                </c:pt>
                <c:pt idx="478">
                  <c:v>46178</c:v>
                </c:pt>
                <c:pt idx="479">
                  <c:v>46181</c:v>
                </c:pt>
                <c:pt idx="480">
                  <c:v>46182</c:v>
                </c:pt>
                <c:pt idx="481">
                  <c:v>46183</c:v>
                </c:pt>
                <c:pt idx="482">
                  <c:v>46184</c:v>
                </c:pt>
                <c:pt idx="483">
                  <c:v>46185</c:v>
                </c:pt>
                <c:pt idx="484">
                  <c:v>46188</c:v>
                </c:pt>
                <c:pt idx="485">
                  <c:v>46189</c:v>
                </c:pt>
                <c:pt idx="486">
                  <c:v>46190</c:v>
                </c:pt>
                <c:pt idx="487">
                  <c:v>46191</c:v>
                </c:pt>
                <c:pt idx="488">
                  <c:v>46192</c:v>
                </c:pt>
                <c:pt idx="489">
                  <c:v>46195</c:v>
                </c:pt>
                <c:pt idx="490">
                  <c:v>46196</c:v>
                </c:pt>
                <c:pt idx="491">
                  <c:v>46197</c:v>
                </c:pt>
                <c:pt idx="492">
                  <c:v>46198</c:v>
                </c:pt>
                <c:pt idx="493">
                  <c:v>46202</c:v>
                </c:pt>
                <c:pt idx="494">
                  <c:v>46203</c:v>
                </c:pt>
              </c:numCache>
            </c:numRef>
          </c:cat>
          <c:val>
            <c:numRef>
              <c:f>HCLTECH!$H$2:$H$496</c:f>
              <c:numCache>
                <c:formatCode>#,##0.00</c:formatCode>
                <c:ptCount val="495"/>
                <c:pt idx="0">
                  <c:v>1468.85</c:v>
                </c:pt>
                <c:pt idx="1">
                  <c:v>1480.8</c:v>
                </c:pt>
                <c:pt idx="2">
                  <c:v>1481</c:v>
                </c:pt>
                <c:pt idx="3">
                  <c:v>1522.35</c:v>
                </c:pt>
                <c:pt idx="4">
                  <c:v>1519.4</c:v>
                </c:pt>
                <c:pt idx="5">
                  <c:v>1533.4</c:v>
                </c:pt>
                <c:pt idx="6">
                  <c:v>1531.1</c:v>
                </c:pt>
                <c:pt idx="7">
                  <c:v>1509.95</c:v>
                </c:pt>
                <c:pt idx="8">
                  <c:v>1511.9</c:v>
                </c:pt>
                <c:pt idx="9">
                  <c:v>1560.2</c:v>
                </c:pt>
                <c:pt idx="10">
                  <c:v>1569.6</c:v>
                </c:pt>
                <c:pt idx="11">
                  <c:v>1569.55</c:v>
                </c:pt>
                <c:pt idx="12">
                  <c:v>1594.55</c:v>
                </c:pt>
                <c:pt idx="13">
                  <c:v>1594.55</c:v>
                </c:pt>
                <c:pt idx="14">
                  <c:v>1577.1</c:v>
                </c:pt>
                <c:pt idx="15">
                  <c:v>1598.35</c:v>
                </c:pt>
                <c:pt idx="16">
                  <c:v>1583.7</c:v>
                </c:pt>
                <c:pt idx="17">
                  <c:v>1587.6</c:v>
                </c:pt>
                <c:pt idx="18">
                  <c:v>1635.35</c:v>
                </c:pt>
                <c:pt idx="19">
                  <c:v>1632.35</c:v>
                </c:pt>
                <c:pt idx="20">
                  <c:v>1630.25</c:v>
                </c:pt>
                <c:pt idx="21">
                  <c:v>1642.6</c:v>
                </c:pt>
                <c:pt idx="22">
                  <c:v>1640.55</c:v>
                </c:pt>
                <c:pt idx="23">
                  <c:v>1609.3</c:v>
                </c:pt>
                <c:pt idx="24">
                  <c:v>1562.4</c:v>
                </c:pt>
                <c:pt idx="25">
                  <c:v>1582.75</c:v>
                </c:pt>
                <c:pt idx="26">
                  <c:v>1594.6</c:v>
                </c:pt>
                <c:pt idx="27">
                  <c:v>1557.85</c:v>
                </c:pt>
                <c:pt idx="28">
                  <c:v>1589.95</c:v>
                </c:pt>
                <c:pt idx="29">
                  <c:v>1585.25</c:v>
                </c:pt>
                <c:pt idx="30">
                  <c:v>1592.65</c:v>
                </c:pt>
                <c:pt idx="31">
                  <c:v>1626.15</c:v>
                </c:pt>
                <c:pt idx="32">
                  <c:v>1668.25</c:v>
                </c:pt>
                <c:pt idx="33">
                  <c:v>1678.5</c:v>
                </c:pt>
                <c:pt idx="34">
                  <c:v>1686.75</c:v>
                </c:pt>
                <c:pt idx="35">
                  <c:v>1677.25</c:v>
                </c:pt>
                <c:pt idx="36">
                  <c:v>1676.15</c:v>
                </c:pt>
                <c:pt idx="37">
                  <c:v>1661.45</c:v>
                </c:pt>
                <c:pt idx="38">
                  <c:v>1719.45</c:v>
                </c:pt>
                <c:pt idx="39">
                  <c:v>1711.6</c:v>
                </c:pt>
                <c:pt idx="40">
                  <c:v>1719.45</c:v>
                </c:pt>
                <c:pt idx="41">
                  <c:v>1751.85</c:v>
                </c:pt>
                <c:pt idx="42">
                  <c:v>1753.25</c:v>
                </c:pt>
                <c:pt idx="43">
                  <c:v>1806.65</c:v>
                </c:pt>
                <c:pt idx="44">
                  <c:v>1790.45</c:v>
                </c:pt>
                <c:pt idx="45">
                  <c:v>1785.25</c:v>
                </c:pt>
                <c:pt idx="46">
                  <c:v>1790.55</c:v>
                </c:pt>
                <c:pt idx="47">
                  <c:v>1756.1</c:v>
                </c:pt>
                <c:pt idx="48">
                  <c:v>1746.75</c:v>
                </c:pt>
                <c:pt idx="49">
                  <c:v>1779.1</c:v>
                </c:pt>
                <c:pt idx="50">
                  <c:v>1778.75</c:v>
                </c:pt>
                <c:pt idx="51">
                  <c:v>1807.6</c:v>
                </c:pt>
                <c:pt idx="52">
                  <c:v>1812.8</c:v>
                </c:pt>
                <c:pt idx="53">
                  <c:v>1811.85</c:v>
                </c:pt>
                <c:pt idx="54">
                  <c:v>1813.75</c:v>
                </c:pt>
                <c:pt idx="55">
                  <c:v>1756.5</c:v>
                </c:pt>
                <c:pt idx="56">
                  <c:v>1736.5</c:v>
                </c:pt>
                <c:pt idx="57">
                  <c:v>1760.05</c:v>
                </c:pt>
                <c:pt idx="58">
                  <c:v>1752.8</c:v>
                </c:pt>
                <c:pt idx="59">
                  <c:v>1775.6</c:v>
                </c:pt>
                <c:pt idx="60">
                  <c:v>1782.4</c:v>
                </c:pt>
                <c:pt idx="61">
                  <c:v>1783.85</c:v>
                </c:pt>
                <c:pt idx="62">
                  <c:v>1808.4</c:v>
                </c:pt>
                <c:pt idx="63">
                  <c:v>1796.1</c:v>
                </c:pt>
                <c:pt idx="64">
                  <c:v>1816.5</c:v>
                </c:pt>
                <c:pt idx="65">
                  <c:v>1778.55</c:v>
                </c:pt>
                <c:pt idx="66">
                  <c:v>1776.6</c:v>
                </c:pt>
                <c:pt idx="67">
                  <c:v>1776.95</c:v>
                </c:pt>
                <c:pt idx="68">
                  <c:v>1789.45</c:v>
                </c:pt>
                <c:pt idx="69">
                  <c:v>1809.7</c:v>
                </c:pt>
                <c:pt idx="70">
                  <c:v>1808.65</c:v>
                </c:pt>
                <c:pt idx="71">
                  <c:v>1839.65</c:v>
                </c:pt>
                <c:pt idx="72">
                  <c:v>1855.9</c:v>
                </c:pt>
                <c:pt idx="73">
                  <c:v>1870.1</c:v>
                </c:pt>
                <c:pt idx="74">
                  <c:v>1865.25</c:v>
                </c:pt>
                <c:pt idx="75">
                  <c:v>1867.8</c:v>
                </c:pt>
                <c:pt idx="76">
                  <c:v>1857.7</c:v>
                </c:pt>
                <c:pt idx="77">
                  <c:v>1843.6</c:v>
                </c:pt>
                <c:pt idx="78">
                  <c:v>1822.75</c:v>
                </c:pt>
                <c:pt idx="79">
                  <c:v>1845.75</c:v>
                </c:pt>
                <c:pt idx="80">
                  <c:v>1844.9</c:v>
                </c:pt>
                <c:pt idx="81">
                  <c:v>1852.35</c:v>
                </c:pt>
                <c:pt idx="82">
                  <c:v>1871.75</c:v>
                </c:pt>
                <c:pt idx="83">
                  <c:v>1871.75</c:v>
                </c:pt>
                <c:pt idx="84">
                  <c:v>1838.8</c:v>
                </c:pt>
                <c:pt idx="85">
                  <c:v>1766.05</c:v>
                </c:pt>
                <c:pt idx="86">
                  <c:v>1757.4</c:v>
                </c:pt>
                <c:pt idx="87">
                  <c:v>1762.95</c:v>
                </c:pt>
                <c:pt idx="88">
                  <c:v>1773.55</c:v>
                </c:pt>
                <c:pt idx="89">
                  <c:v>1838.4</c:v>
                </c:pt>
                <c:pt idx="90">
                  <c:v>1831.95</c:v>
                </c:pt>
                <c:pt idx="91">
                  <c:v>1837.5</c:v>
                </c:pt>
                <c:pt idx="92">
                  <c:v>1867.3</c:v>
                </c:pt>
                <c:pt idx="93">
                  <c:v>1872.85</c:v>
                </c:pt>
                <c:pt idx="94">
                  <c:v>1864.75</c:v>
                </c:pt>
                <c:pt idx="95">
                  <c:v>1858.95</c:v>
                </c:pt>
                <c:pt idx="96">
                  <c:v>1835</c:v>
                </c:pt>
                <c:pt idx="97">
                  <c:v>1820.55</c:v>
                </c:pt>
                <c:pt idx="98">
                  <c:v>1836.35</c:v>
                </c:pt>
                <c:pt idx="99">
                  <c:v>1898.4</c:v>
                </c:pt>
                <c:pt idx="100">
                  <c:v>1891.7</c:v>
                </c:pt>
                <c:pt idx="101">
                  <c:v>1899.55</c:v>
                </c:pt>
                <c:pt idx="102">
                  <c:v>1891.05</c:v>
                </c:pt>
                <c:pt idx="103">
                  <c:v>1840.9</c:v>
                </c:pt>
                <c:pt idx="104">
                  <c:v>1848.05</c:v>
                </c:pt>
                <c:pt idx="105">
                  <c:v>1871.5</c:v>
                </c:pt>
                <c:pt idx="106">
                  <c:v>1890.75</c:v>
                </c:pt>
                <c:pt idx="107">
                  <c:v>1897.65</c:v>
                </c:pt>
                <c:pt idx="108">
                  <c:v>1924</c:v>
                </c:pt>
                <c:pt idx="109">
                  <c:v>1922.7</c:v>
                </c:pt>
                <c:pt idx="110">
                  <c:v>1909.9</c:v>
                </c:pt>
                <c:pt idx="111">
                  <c:v>1936.35</c:v>
                </c:pt>
                <c:pt idx="112">
                  <c:v>1930.9</c:v>
                </c:pt>
                <c:pt idx="113">
                  <c:v>1936.2</c:v>
                </c:pt>
                <c:pt idx="114">
                  <c:v>1968.8</c:v>
                </c:pt>
                <c:pt idx="115">
                  <c:v>1954.4</c:v>
                </c:pt>
                <c:pt idx="116">
                  <c:v>1950.6</c:v>
                </c:pt>
                <c:pt idx="117">
                  <c:v>1960.35</c:v>
                </c:pt>
                <c:pt idx="118">
                  <c:v>1934.25</c:v>
                </c:pt>
                <c:pt idx="119">
                  <c:v>1911.35</c:v>
                </c:pt>
                <c:pt idx="120">
                  <c:v>1903</c:v>
                </c:pt>
                <c:pt idx="121">
                  <c:v>1896.95</c:v>
                </c:pt>
                <c:pt idx="122">
                  <c:v>1900.75</c:v>
                </c:pt>
                <c:pt idx="123">
                  <c:v>1892</c:v>
                </c:pt>
                <c:pt idx="124">
                  <c:v>1928.95</c:v>
                </c:pt>
                <c:pt idx="125">
                  <c:v>1917.4</c:v>
                </c:pt>
                <c:pt idx="126">
                  <c:v>1911.95</c:v>
                </c:pt>
                <c:pt idx="127">
                  <c:v>1972.2</c:v>
                </c:pt>
                <c:pt idx="128">
                  <c:v>1946.65</c:v>
                </c:pt>
                <c:pt idx="129">
                  <c:v>1953.05</c:v>
                </c:pt>
                <c:pt idx="130">
                  <c:v>1915.9</c:v>
                </c:pt>
                <c:pt idx="131">
                  <c:v>1932.25</c:v>
                </c:pt>
                <c:pt idx="132">
                  <c:v>1934.8</c:v>
                </c:pt>
                <c:pt idx="133">
                  <c:v>1995.1</c:v>
                </c:pt>
                <c:pt idx="134">
                  <c:v>1989.4</c:v>
                </c:pt>
                <c:pt idx="135">
                  <c:v>1813.55</c:v>
                </c:pt>
                <c:pt idx="136">
                  <c:v>1825.7</c:v>
                </c:pt>
                <c:pt idx="137">
                  <c:v>1792.25</c:v>
                </c:pt>
                <c:pt idx="138">
                  <c:v>1788.9</c:v>
                </c:pt>
                <c:pt idx="139">
                  <c:v>1796.2</c:v>
                </c:pt>
                <c:pt idx="140">
                  <c:v>1802.4</c:v>
                </c:pt>
                <c:pt idx="141">
                  <c:v>1827.7</c:v>
                </c:pt>
                <c:pt idx="142">
                  <c:v>1807</c:v>
                </c:pt>
                <c:pt idx="143">
                  <c:v>1792.85</c:v>
                </c:pt>
                <c:pt idx="144">
                  <c:v>1711.95</c:v>
                </c:pt>
                <c:pt idx="145">
                  <c:v>1693.25</c:v>
                </c:pt>
                <c:pt idx="146">
                  <c:v>1719</c:v>
                </c:pt>
                <c:pt idx="147">
                  <c:v>1713.1</c:v>
                </c:pt>
                <c:pt idx="148">
                  <c:v>1725.45</c:v>
                </c:pt>
                <c:pt idx="149">
                  <c:v>1694</c:v>
                </c:pt>
                <c:pt idx="150">
                  <c:v>1692</c:v>
                </c:pt>
                <c:pt idx="151">
                  <c:v>1732.55</c:v>
                </c:pt>
                <c:pt idx="152">
                  <c:v>1712.85</c:v>
                </c:pt>
                <c:pt idx="153">
                  <c:v>1723.5</c:v>
                </c:pt>
                <c:pt idx="154">
                  <c:v>1725.65</c:v>
                </c:pt>
                <c:pt idx="155">
                  <c:v>1733.85</c:v>
                </c:pt>
                <c:pt idx="156">
                  <c:v>1723.2</c:v>
                </c:pt>
                <c:pt idx="157">
                  <c:v>1717.3</c:v>
                </c:pt>
                <c:pt idx="158">
                  <c:v>1703.1</c:v>
                </c:pt>
                <c:pt idx="159">
                  <c:v>1711.25</c:v>
                </c:pt>
                <c:pt idx="160">
                  <c:v>1709.9</c:v>
                </c:pt>
                <c:pt idx="161">
                  <c:v>1725.5</c:v>
                </c:pt>
                <c:pt idx="162">
                  <c:v>1712.3</c:v>
                </c:pt>
                <c:pt idx="163">
                  <c:v>1687.55</c:v>
                </c:pt>
                <c:pt idx="164">
                  <c:v>1700.7</c:v>
                </c:pt>
                <c:pt idx="165">
                  <c:v>1644.05</c:v>
                </c:pt>
                <c:pt idx="166">
                  <c:v>1636.1</c:v>
                </c:pt>
                <c:pt idx="167">
                  <c:v>1629.2</c:v>
                </c:pt>
                <c:pt idx="168">
                  <c:v>1575.05</c:v>
                </c:pt>
                <c:pt idx="169">
                  <c:v>1572.4</c:v>
                </c:pt>
                <c:pt idx="170">
                  <c:v>1535.5</c:v>
                </c:pt>
                <c:pt idx="171">
                  <c:v>1572.95</c:v>
                </c:pt>
                <c:pt idx="172">
                  <c:v>1585.45</c:v>
                </c:pt>
                <c:pt idx="173">
                  <c:v>1557.95</c:v>
                </c:pt>
                <c:pt idx="174">
                  <c:v>1549.3</c:v>
                </c:pt>
                <c:pt idx="175">
                  <c:v>1567.85</c:v>
                </c:pt>
                <c:pt idx="176">
                  <c:v>1540.6</c:v>
                </c:pt>
                <c:pt idx="177">
                  <c:v>1534.75</c:v>
                </c:pt>
                <c:pt idx="178">
                  <c:v>1545.15</c:v>
                </c:pt>
                <c:pt idx="179">
                  <c:v>1558.2</c:v>
                </c:pt>
                <c:pt idx="180">
                  <c:v>1544.45</c:v>
                </c:pt>
                <c:pt idx="181">
                  <c:v>1562</c:v>
                </c:pt>
                <c:pt idx="182">
                  <c:v>1566.7</c:v>
                </c:pt>
                <c:pt idx="183">
                  <c:v>1604.15</c:v>
                </c:pt>
                <c:pt idx="184">
                  <c:v>1624.9</c:v>
                </c:pt>
                <c:pt idx="185">
                  <c:v>1633.4</c:v>
                </c:pt>
                <c:pt idx="186">
                  <c:v>1630.15</c:v>
                </c:pt>
                <c:pt idx="187">
                  <c:v>1592.5</c:v>
                </c:pt>
                <c:pt idx="188">
                  <c:v>1530.35</c:v>
                </c:pt>
                <c:pt idx="189">
                  <c:v>1527.55</c:v>
                </c:pt>
                <c:pt idx="190">
                  <c:v>1470.1</c:v>
                </c:pt>
                <c:pt idx="191">
                  <c:v>1422.1</c:v>
                </c:pt>
                <c:pt idx="192">
                  <c:v>1374.1</c:v>
                </c:pt>
                <c:pt idx="193">
                  <c:v>1403.35</c:v>
                </c:pt>
                <c:pt idx="194">
                  <c:v>1380</c:v>
                </c:pt>
                <c:pt idx="195">
                  <c:v>1390.55</c:v>
                </c:pt>
                <c:pt idx="196">
                  <c:v>1426.5</c:v>
                </c:pt>
                <c:pt idx="197">
                  <c:v>1431.7</c:v>
                </c:pt>
                <c:pt idx="198">
                  <c:v>1438</c:v>
                </c:pt>
                <c:pt idx="199">
                  <c:v>1482</c:v>
                </c:pt>
                <c:pt idx="200">
                  <c:v>1479.9</c:v>
                </c:pt>
                <c:pt idx="201">
                  <c:v>1594</c:v>
                </c:pt>
                <c:pt idx="202">
                  <c:v>1586.7</c:v>
                </c:pt>
                <c:pt idx="203">
                  <c:v>1578.2</c:v>
                </c:pt>
                <c:pt idx="204">
                  <c:v>1549.3</c:v>
                </c:pt>
                <c:pt idx="205">
                  <c:v>1569</c:v>
                </c:pt>
                <c:pt idx="206">
                  <c:v>1567.5</c:v>
                </c:pt>
                <c:pt idx="207">
                  <c:v>1576.5</c:v>
                </c:pt>
                <c:pt idx="208">
                  <c:v>1568.6</c:v>
                </c:pt>
                <c:pt idx="209">
                  <c:v>1579.1</c:v>
                </c:pt>
                <c:pt idx="210">
                  <c:v>1563.3</c:v>
                </c:pt>
                <c:pt idx="211">
                  <c:v>1580.7</c:v>
                </c:pt>
                <c:pt idx="212">
                  <c:v>1569.4</c:v>
                </c:pt>
                <c:pt idx="213">
                  <c:v>1670.3</c:v>
                </c:pt>
                <c:pt idx="214">
                  <c:v>1619.6</c:v>
                </c:pt>
                <c:pt idx="215">
                  <c:v>1637.7</c:v>
                </c:pt>
                <c:pt idx="216">
                  <c:v>1696</c:v>
                </c:pt>
                <c:pt idx="217">
                  <c:v>1659.9</c:v>
                </c:pt>
                <c:pt idx="218">
                  <c:v>1649.6</c:v>
                </c:pt>
                <c:pt idx="219">
                  <c:v>1638.3</c:v>
                </c:pt>
                <c:pt idx="220">
                  <c:v>1652</c:v>
                </c:pt>
                <c:pt idx="221">
                  <c:v>1633</c:v>
                </c:pt>
                <c:pt idx="222">
                  <c:v>1648.2</c:v>
                </c:pt>
                <c:pt idx="223">
                  <c:v>1673.6</c:v>
                </c:pt>
                <c:pt idx="224">
                  <c:v>1652.1</c:v>
                </c:pt>
                <c:pt idx="225">
                  <c:v>1657.3</c:v>
                </c:pt>
                <c:pt idx="226">
                  <c:v>1664.7</c:v>
                </c:pt>
                <c:pt idx="227">
                  <c:v>1636.6</c:v>
                </c:pt>
                <c:pt idx="228">
                  <c:v>1631.5</c:v>
                </c:pt>
                <c:pt idx="229">
                  <c:v>1630.4</c:v>
                </c:pt>
                <c:pt idx="230">
                  <c:v>1626.1</c:v>
                </c:pt>
                <c:pt idx="231">
                  <c:v>1632.4</c:v>
                </c:pt>
                <c:pt idx="232">
                  <c:v>1637.7</c:v>
                </c:pt>
                <c:pt idx="233">
                  <c:v>1648.3</c:v>
                </c:pt>
                <c:pt idx="234">
                  <c:v>1668.1</c:v>
                </c:pt>
                <c:pt idx="235">
                  <c:v>1721.9</c:v>
                </c:pt>
                <c:pt idx="236">
                  <c:v>1701.2</c:v>
                </c:pt>
                <c:pt idx="237">
                  <c:v>1695.3</c:v>
                </c:pt>
                <c:pt idx="238">
                  <c:v>1723</c:v>
                </c:pt>
                <c:pt idx="239">
                  <c:v>1729.6</c:v>
                </c:pt>
                <c:pt idx="240">
                  <c:v>1715.9</c:v>
                </c:pt>
                <c:pt idx="241">
                  <c:v>1713.9</c:v>
                </c:pt>
                <c:pt idx="242">
                  <c:v>1739.9</c:v>
                </c:pt>
                <c:pt idx="243">
                  <c:v>1703.2</c:v>
                </c:pt>
                <c:pt idx="244">
                  <c:v>1691.8</c:v>
                </c:pt>
                <c:pt idx="245">
                  <c:v>1717.1</c:v>
                </c:pt>
                <c:pt idx="246">
                  <c:v>1724.1</c:v>
                </c:pt>
                <c:pt idx="247">
                  <c:v>1723.3</c:v>
                </c:pt>
                <c:pt idx="248">
                  <c:v>1728.6</c:v>
                </c:pt>
                <c:pt idx="249">
                  <c:v>1718.3</c:v>
                </c:pt>
                <c:pt idx="250">
                  <c:v>1718.6</c:v>
                </c:pt>
                <c:pt idx="251">
                  <c:v>1711.9</c:v>
                </c:pt>
                <c:pt idx="252">
                  <c:v>1725.9</c:v>
                </c:pt>
                <c:pt idx="253">
                  <c:v>1710.4</c:v>
                </c:pt>
                <c:pt idx="254">
                  <c:v>1708.1</c:v>
                </c:pt>
                <c:pt idx="255">
                  <c:v>1674</c:v>
                </c:pt>
                <c:pt idx="256">
                  <c:v>1663.7</c:v>
                </c:pt>
                <c:pt idx="257">
                  <c:v>1638.3</c:v>
                </c:pt>
                <c:pt idx="258">
                  <c:v>1619.8</c:v>
                </c:pt>
                <c:pt idx="259">
                  <c:v>1566.4</c:v>
                </c:pt>
                <c:pt idx="260">
                  <c:v>1562.8</c:v>
                </c:pt>
                <c:pt idx="261">
                  <c:v>1543.9</c:v>
                </c:pt>
                <c:pt idx="262">
                  <c:v>1548.8</c:v>
                </c:pt>
                <c:pt idx="263">
                  <c:v>1530.4</c:v>
                </c:pt>
                <c:pt idx="264">
                  <c:v>1520.1</c:v>
                </c:pt>
                <c:pt idx="265">
                  <c:v>1529.8</c:v>
                </c:pt>
                <c:pt idx="266">
                  <c:v>1507.2</c:v>
                </c:pt>
                <c:pt idx="267">
                  <c:v>1490.1</c:v>
                </c:pt>
                <c:pt idx="268">
                  <c:v>1466.1</c:v>
                </c:pt>
                <c:pt idx="269">
                  <c:v>1472.4</c:v>
                </c:pt>
                <c:pt idx="270">
                  <c:v>1476.5</c:v>
                </c:pt>
                <c:pt idx="271">
                  <c:v>1467.9</c:v>
                </c:pt>
                <c:pt idx="272">
                  <c:v>1452.1</c:v>
                </c:pt>
                <c:pt idx="273">
                  <c:v>1474.4</c:v>
                </c:pt>
                <c:pt idx="274">
                  <c:v>1482.7</c:v>
                </c:pt>
                <c:pt idx="275">
                  <c:v>1463.2</c:v>
                </c:pt>
                <c:pt idx="276">
                  <c:v>1475.5</c:v>
                </c:pt>
                <c:pt idx="277">
                  <c:v>1475.7</c:v>
                </c:pt>
                <c:pt idx="278">
                  <c:v>1488</c:v>
                </c:pt>
                <c:pt idx="279">
                  <c:v>1499.1</c:v>
                </c:pt>
                <c:pt idx="280">
                  <c:v>1501.1</c:v>
                </c:pt>
                <c:pt idx="281">
                  <c:v>1489.8</c:v>
                </c:pt>
                <c:pt idx="282">
                  <c:v>1485</c:v>
                </c:pt>
                <c:pt idx="283">
                  <c:v>1476.1</c:v>
                </c:pt>
                <c:pt idx="284">
                  <c:v>1496</c:v>
                </c:pt>
                <c:pt idx="285">
                  <c:v>1493.5</c:v>
                </c:pt>
                <c:pt idx="286">
                  <c:v>1466.3</c:v>
                </c:pt>
                <c:pt idx="287">
                  <c:v>1504.2</c:v>
                </c:pt>
                <c:pt idx="288">
                  <c:v>1492.8</c:v>
                </c:pt>
                <c:pt idx="289">
                  <c:v>1449.8</c:v>
                </c:pt>
                <c:pt idx="290">
                  <c:v>1454.8</c:v>
                </c:pt>
                <c:pt idx="291">
                  <c:v>1468.4</c:v>
                </c:pt>
                <c:pt idx="292">
                  <c:v>1465.7</c:v>
                </c:pt>
                <c:pt idx="293">
                  <c:v>1466.1</c:v>
                </c:pt>
                <c:pt idx="294">
                  <c:v>1443.3</c:v>
                </c:pt>
                <c:pt idx="295">
                  <c:v>1419</c:v>
                </c:pt>
                <c:pt idx="296">
                  <c:v>1403</c:v>
                </c:pt>
                <c:pt idx="297">
                  <c:v>1427.1</c:v>
                </c:pt>
                <c:pt idx="298">
                  <c:v>1463.9</c:v>
                </c:pt>
                <c:pt idx="299">
                  <c:v>1467.7</c:v>
                </c:pt>
                <c:pt idx="300">
                  <c:v>1467.2</c:v>
                </c:pt>
                <c:pt idx="301">
                  <c:v>1466.5</c:v>
                </c:pt>
                <c:pt idx="302">
                  <c:v>1483.1</c:v>
                </c:pt>
                <c:pt idx="303">
                  <c:v>1481.5</c:v>
                </c:pt>
                <c:pt idx="304">
                  <c:v>1493.8</c:v>
                </c:pt>
                <c:pt idx="305">
                  <c:v>1467.4</c:v>
                </c:pt>
                <c:pt idx="306">
                  <c:v>1439.9</c:v>
                </c:pt>
                <c:pt idx="307">
                  <c:v>1429.8</c:v>
                </c:pt>
                <c:pt idx="308">
                  <c:v>1442.3</c:v>
                </c:pt>
                <c:pt idx="309">
                  <c:v>1423.8</c:v>
                </c:pt>
                <c:pt idx="310">
                  <c:v>1395.3</c:v>
                </c:pt>
                <c:pt idx="311">
                  <c:v>1387.4</c:v>
                </c:pt>
                <c:pt idx="312">
                  <c:v>1385.1</c:v>
                </c:pt>
                <c:pt idx="313">
                  <c:v>1389.5</c:v>
                </c:pt>
                <c:pt idx="314">
                  <c:v>1393.5</c:v>
                </c:pt>
                <c:pt idx="315">
                  <c:v>1417.7</c:v>
                </c:pt>
                <c:pt idx="316">
                  <c:v>1433.4</c:v>
                </c:pt>
                <c:pt idx="317">
                  <c:v>1453.2</c:v>
                </c:pt>
                <c:pt idx="318">
                  <c:v>1486.5</c:v>
                </c:pt>
                <c:pt idx="319">
                  <c:v>1495.5</c:v>
                </c:pt>
                <c:pt idx="320">
                  <c:v>1494.7</c:v>
                </c:pt>
                <c:pt idx="321">
                  <c:v>1495.4</c:v>
                </c:pt>
                <c:pt idx="322">
                  <c:v>1495.7</c:v>
                </c:pt>
                <c:pt idx="323">
                  <c:v>1515</c:v>
                </c:pt>
                <c:pt idx="324">
                  <c:v>1486.2</c:v>
                </c:pt>
                <c:pt idx="325">
                  <c:v>1495.4</c:v>
                </c:pt>
                <c:pt idx="326">
                  <c:v>1486</c:v>
                </c:pt>
                <c:pt idx="327">
                  <c:v>1523.9</c:v>
                </c:pt>
                <c:pt idx="328">
                  <c:v>1523.8</c:v>
                </c:pt>
                <c:pt idx="329">
                  <c:v>1533.5</c:v>
                </c:pt>
                <c:pt idx="330">
                  <c:v>1522.1</c:v>
                </c:pt>
                <c:pt idx="331">
                  <c:v>1557.3</c:v>
                </c:pt>
                <c:pt idx="332">
                  <c:v>1549.8</c:v>
                </c:pt>
                <c:pt idx="333">
                  <c:v>1541.5</c:v>
                </c:pt>
                <c:pt idx="334">
                  <c:v>1543.5</c:v>
                </c:pt>
                <c:pt idx="335">
                  <c:v>1529.1</c:v>
                </c:pt>
                <c:pt idx="336">
                  <c:v>1526.4</c:v>
                </c:pt>
                <c:pt idx="337">
                  <c:v>1512.4</c:v>
                </c:pt>
                <c:pt idx="338">
                  <c:v>1540.5</c:v>
                </c:pt>
                <c:pt idx="339">
                  <c:v>1570</c:v>
                </c:pt>
                <c:pt idx="340">
                  <c:v>1594</c:v>
                </c:pt>
                <c:pt idx="341">
                  <c:v>1598.5</c:v>
                </c:pt>
                <c:pt idx="342">
                  <c:v>1594.6</c:v>
                </c:pt>
                <c:pt idx="343">
                  <c:v>1606.4</c:v>
                </c:pt>
                <c:pt idx="344">
                  <c:v>1595.2</c:v>
                </c:pt>
                <c:pt idx="345">
                  <c:v>1662.6</c:v>
                </c:pt>
                <c:pt idx="346">
                  <c:v>1645.4</c:v>
                </c:pt>
                <c:pt idx="347">
                  <c:v>1608</c:v>
                </c:pt>
                <c:pt idx="348">
                  <c:v>1610.4</c:v>
                </c:pt>
                <c:pt idx="349">
                  <c:v>1601.1</c:v>
                </c:pt>
                <c:pt idx="350">
                  <c:v>1617.9</c:v>
                </c:pt>
                <c:pt idx="351">
                  <c:v>1629</c:v>
                </c:pt>
                <c:pt idx="352">
                  <c:v>1624.2</c:v>
                </c:pt>
                <c:pt idx="353">
                  <c:v>1642.9</c:v>
                </c:pt>
                <c:pt idx="354">
                  <c:v>1635.5</c:v>
                </c:pt>
                <c:pt idx="355">
                  <c:v>1640.5</c:v>
                </c:pt>
                <c:pt idx="356">
                  <c:v>1654.6</c:v>
                </c:pt>
                <c:pt idx="357">
                  <c:v>1683</c:v>
                </c:pt>
                <c:pt idx="358">
                  <c:v>1688.6</c:v>
                </c:pt>
                <c:pt idx="359">
                  <c:v>1657.6</c:v>
                </c:pt>
                <c:pt idx="360">
                  <c:v>1666</c:v>
                </c:pt>
                <c:pt idx="361">
                  <c:v>1672.4</c:v>
                </c:pt>
                <c:pt idx="362">
                  <c:v>1673.2</c:v>
                </c:pt>
                <c:pt idx="363">
                  <c:v>1684</c:v>
                </c:pt>
                <c:pt idx="364">
                  <c:v>1651.7</c:v>
                </c:pt>
                <c:pt idx="365">
                  <c:v>1655</c:v>
                </c:pt>
                <c:pt idx="366">
                  <c:v>1661.4</c:v>
                </c:pt>
                <c:pt idx="367">
                  <c:v>1642.4</c:v>
                </c:pt>
                <c:pt idx="368">
                  <c:v>1670.3</c:v>
                </c:pt>
                <c:pt idx="369">
                  <c:v>1679.9</c:v>
                </c:pt>
                <c:pt idx="370">
                  <c:v>1674.7</c:v>
                </c:pt>
                <c:pt idx="371">
                  <c:v>1660.9</c:v>
                </c:pt>
                <c:pt idx="372">
                  <c:v>1630.8</c:v>
                </c:pt>
                <c:pt idx="373">
                  <c:v>1615.2</c:v>
                </c:pt>
                <c:pt idx="374">
                  <c:v>1623.3</c:v>
                </c:pt>
                <c:pt idx="375">
                  <c:v>1634.5</c:v>
                </c:pt>
                <c:pt idx="376">
                  <c:v>1640.2</c:v>
                </c:pt>
                <c:pt idx="377">
                  <c:v>1607.6</c:v>
                </c:pt>
                <c:pt idx="378">
                  <c:v>1616.3</c:v>
                </c:pt>
                <c:pt idx="379">
                  <c:v>1647.7</c:v>
                </c:pt>
                <c:pt idx="380">
                  <c:v>1646.7</c:v>
                </c:pt>
                <c:pt idx="381">
                  <c:v>1661.4</c:v>
                </c:pt>
                <c:pt idx="382">
                  <c:v>1667.6</c:v>
                </c:pt>
                <c:pt idx="383">
                  <c:v>1665</c:v>
                </c:pt>
                <c:pt idx="384">
                  <c:v>1668.5</c:v>
                </c:pt>
                <c:pt idx="385">
                  <c:v>1698</c:v>
                </c:pt>
                <c:pt idx="386">
                  <c:v>1716.8</c:v>
                </c:pt>
                <c:pt idx="387">
                  <c:v>1687.3</c:v>
                </c:pt>
                <c:pt idx="388">
                  <c:v>1682.5</c:v>
                </c:pt>
                <c:pt idx="389">
                  <c:v>1703.1</c:v>
                </c:pt>
                <c:pt idx="390">
                  <c:v>1707</c:v>
                </c:pt>
                <c:pt idx="391">
                  <c:v>1720.2</c:v>
                </c:pt>
                <c:pt idx="392">
                  <c:v>1729.6</c:v>
                </c:pt>
                <c:pt idx="393">
                  <c:v>1721.6</c:v>
                </c:pt>
                <c:pt idx="394">
                  <c:v>1695.6</c:v>
                </c:pt>
                <c:pt idx="395">
                  <c:v>1666.2</c:v>
                </c:pt>
                <c:pt idx="396">
                  <c:v>1676.8</c:v>
                </c:pt>
                <c:pt idx="397">
                  <c:v>1695.3</c:v>
                </c:pt>
                <c:pt idx="398">
                  <c:v>1621.8</c:v>
                </c:pt>
                <c:pt idx="399">
                  <c:v>1610</c:v>
                </c:pt>
                <c:pt idx="400">
                  <c:v>1593.7</c:v>
                </c:pt>
                <c:pt idx="401">
                  <c:v>1602</c:v>
                </c:pt>
                <c:pt idx="402">
                  <c:v>1573.1</c:v>
                </c:pt>
                <c:pt idx="403">
                  <c:v>1551.6</c:v>
                </c:pt>
                <c:pt idx="404">
                  <c:v>1476.1</c:v>
                </c:pt>
                <c:pt idx="405">
                  <c:v>1455.2</c:v>
                </c:pt>
                <c:pt idx="406">
                  <c:v>1461.8</c:v>
                </c:pt>
                <c:pt idx="407">
                  <c:v>1482.6</c:v>
                </c:pt>
                <c:pt idx="408">
                  <c:v>1467.2</c:v>
                </c:pt>
                <c:pt idx="409">
                  <c:v>1450.4</c:v>
                </c:pt>
                <c:pt idx="410">
                  <c:v>1436.5</c:v>
                </c:pt>
                <c:pt idx="411">
                  <c:v>1426.2</c:v>
                </c:pt>
                <c:pt idx="412">
                  <c:v>1339.2</c:v>
                </c:pt>
                <c:pt idx="413">
                  <c:v>1378.2</c:v>
                </c:pt>
                <c:pt idx="414">
                  <c:v>1373.5</c:v>
                </c:pt>
                <c:pt idx="415">
                  <c:v>1389.1</c:v>
                </c:pt>
                <c:pt idx="416">
                  <c:v>1371</c:v>
                </c:pt>
                <c:pt idx="417">
                  <c:v>1364</c:v>
                </c:pt>
                <c:pt idx="418">
                  <c:v>1354.1</c:v>
                </c:pt>
                <c:pt idx="419">
                  <c:v>1356.7</c:v>
                </c:pt>
                <c:pt idx="420">
                  <c:v>1358.6</c:v>
                </c:pt>
                <c:pt idx="421">
                  <c:v>1361.5</c:v>
                </c:pt>
                <c:pt idx="422">
                  <c:v>1350.3</c:v>
                </c:pt>
                <c:pt idx="423">
                  <c:v>1358.1</c:v>
                </c:pt>
                <c:pt idx="424">
                  <c:v>1325.4</c:v>
                </c:pt>
                <c:pt idx="425">
                  <c:v>1328.6</c:v>
                </c:pt>
                <c:pt idx="426">
                  <c:v>1321.1</c:v>
                </c:pt>
                <c:pt idx="427">
                  <c:v>1357.2</c:v>
                </c:pt>
                <c:pt idx="428">
                  <c:v>1311.8</c:v>
                </c:pt>
                <c:pt idx="429">
                  <c:v>1333.7</c:v>
                </c:pt>
                <c:pt idx="430">
                  <c:v>1358.6</c:v>
                </c:pt>
                <c:pt idx="431">
                  <c:v>1373.3</c:v>
                </c:pt>
                <c:pt idx="432">
                  <c:v>1381.3</c:v>
                </c:pt>
                <c:pt idx="433">
                  <c:v>1364.4</c:v>
                </c:pt>
                <c:pt idx="434">
                  <c:v>1341.6</c:v>
                </c:pt>
                <c:pt idx="435">
                  <c:v>1354.4</c:v>
                </c:pt>
                <c:pt idx="436">
                  <c:v>1402.2</c:v>
                </c:pt>
                <c:pt idx="437">
                  <c:v>1403.3</c:v>
                </c:pt>
                <c:pt idx="438">
                  <c:v>1441.6</c:v>
                </c:pt>
                <c:pt idx="439">
                  <c:v>1461</c:v>
                </c:pt>
                <c:pt idx="440">
                  <c:v>1464.9</c:v>
                </c:pt>
                <c:pt idx="441">
                  <c:v>1451.2</c:v>
                </c:pt>
                <c:pt idx="442">
                  <c:v>1429.4</c:v>
                </c:pt>
                <c:pt idx="443">
                  <c:v>1451.3</c:v>
                </c:pt>
                <c:pt idx="444">
                  <c:v>1450.2</c:v>
                </c:pt>
                <c:pt idx="445">
                  <c:v>1442.3</c:v>
                </c:pt>
                <c:pt idx="446">
                  <c:v>1428.3</c:v>
                </c:pt>
                <c:pt idx="447">
                  <c:v>1441.2</c:v>
                </c:pt>
                <c:pt idx="448">
                  <c:v>1285.3</c:v>
                </c:pt>
                <c:pt idx="449">
                  <c:v>1277.5999999999999</c:v>
                </c:pt>
                <c:pt idx="450">
                  <c:v>1203.2</c:v>
                </c:pt>
                <c:pt idx="451">
                  <c:v>1228.2</c:v>
                </c:pt>
                <c:pt idx="452">
                  <c:v>1196</c:v>
                </c:pt>
                <c:pt idx="453">
                  <c:v>1200.2</c:v>
                </c:pt>
                <c:pt idx="454">
                  <c:v>1199.0999999999999</c:v>
                </c:pt>
                <c:pt idx="455">
                  <c:v>1200.5</c:v>
                </c:pt>
                <c:pt idx="456">
                  <c:v>1200.2</c:v>
                </c:pt>
                <c:pt idx="457">
                  <c:v>1189.0999999999999</c:v>
                </c:pt>
                <c:pt idx="458">
                  <c:v>1183.4000000000001</c:v>
                </c:pt>
                <c:pt idx="459">
                  <c:v>1198.4000000000001</c:v>
                </c:pt>
                <c:pt idx="460">
                  <c:v>1194.9000000000001</c:v>
                </c:pt>
                <c:pt idx="461">
                  <c:v>1145.8</c:v>
                </c:pt>
                <c:pt idx="462">
                  <c:v>1143.2</c:v>
                </c:pt>
                <c:pt idx="463">
                  <c:v>1124</c:v>
                </c:pt>
                <c:pt idx="464">
                  <c:v>1132.5999999999999</c:v>
                </c:pt>
                <c:pt idx="465">
                  <c:v>1146.5999999999999</c:v>
                </c:pt>
                <c:pt idx="466">
                  <c:v>1179.4000000000001</c:v>
                </c:pt>
                <c:pt idx="467">
                  <c:v>1169.8</c:v>
                </c:pt>
                <c:pt idx="468">
                  <c:v>1168.2</c:v>
                </c:pt>
                <c:pt idx="469">
                  <c:v>1164</c:v>
                </c:pt>
                <c:pt idx="470">
                  <c:v>1165.7</c:v>
                </c:pt>
                <c:pt idx="471">
                  <c:v>1161.9000000000001</c:v>
                </c:pt>
                <c:pt idx="472">
                  <c:v>1165.2</c:v>
                </c:pt>
                <c:pt idx="473">
                  <c:v>1183.8</c:v>
                </c:pt>
                <c:pt idx="474">
                  <c:v>1195.0999999999999</c:v>
                </c:pt>
                <c:pt idx="475">
                  <c:v>1243.5</c:v>
                </c:pt>
                <c:pt idx="476">
                  <c:v>1179</c:v>
                </c:pt>
                <c:pt idx="477">
                  <c:v>1168.3</c:v>
                </c:pt>
                <c:pt idx="478">
                  <c:v>1154.7</c:v>
                </c:pt>
                <c:pt idx="479">
                  <c:v>1151.3</c:v>
                </c:pt>
                <c:pt idx="480">
                  <c:v>1146.3</c:v>
                </c:pt>
                <c:pt idx="481">
                  <c:v>1132.0999999999999</c:v>
                </c:pt>
                <c:pt idx="482">
                  <c:v>1110.2</c:v>
                </c:pt>
                <c:pt idx="483">
                  <c:v>1109.5999999999999</c:v>
                </c:pt>
                <c:pt idx="484">
                  <c:v>1119.3</c:v>
                </c:pt>
                <c:pt idx="485">
                  <c:v>1159</c:v>
                </c:pt>
                <c:pt idx="486">
                  <c:v>1166.8</c:v>
                </c:pt>
                <c:pt idx="487">
                  <c:v>1161.8</c:v>
                </c:pt>
                <c:pt idx="488">
                  <c:v>1131.7</c:v>
                </c:pt>
                <c:pt idx="489">
                  <c:v>1130.5</c:v>
                </c:pt>
                <c:pt idx="490">
                  <c:v>1109.5</c:v>
                </c:pt>
                <c:pt idx="491">
                  <c:v>1113.9000000000001</c:v>
                </c:pt>
                <c:pt idx="492">
                  <c:v>1100.7</c:v>
                </c:pt>
                <c:pt idx="493">
                  <c:v>1102.4000000000001</c:v>
                </c:pt>
                <c:pt idx="494">
                  <c:v>1071.8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81-4807-81FF-CC2CD9D1C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8552216"/>
        <c:axId val="17035796"/>
      </c:lineChart>
      <c:dateAx>
        <c:axId val="3932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031416"/>
        <c:crosses val="autoZero"/>
        <c:auto val="1"/>
        <c:lblOffset val="100"/>
        <c:baseTimeUnit val="days"/>
      </c:dateAx>
      <c:valAx>
        <c:axId val="7003141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3213"/>
        <c:crosses val="autoZero"/>
        <c:crossBetween val="between"/>
      </c:valAx>
      <c:dateAx>
        <c:axId val="285522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035796"/>
        <c:crosses val="autoZero"/>
        <c:auto val="1"/>
        <c:lblOffset val="100"/>
        <c:baseTimeUnit val="days"/>
      </c:dateAx>
      <c:valAx>
        <c:axId val="1703579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Close Price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55221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ITC: Price vs Volume (2Y Daily)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ITC!$L$1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ITC!$A$2:$A$496</c:f>
              <c:numCache>
                <c:formatCode>d\-mmm\-yy</c:formatCode>
                <c:ptCount val="495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45614</c:v>
                </c:pt>
                <c:pt idx="97">
                  <c:v>45615</c:v>
                </c:pt>
                <c:pt idx="98">
                  <c:v>45617</c:v>
                </c:pt>
                <c:pt idx="99">
                  <c:v>45618</c:v>
                </c:pt>
                <c:pt idx="100">
                  <c:v>45621</c:v>
                </c:pt>
                <c:pt idx="101">
                  <c:v>45622</c:v>
                </c:pt>
                <c:pt idx="102">
                  <c:v>45623</c:v>
                </c:pt>
                <c:pt idx="103">
                  <c:v>45624</c:v>
                </c:pt>
                <c:pt idx="104">
                  <c:v>45625</c:v>
                </c:pt>
                <c:pt idx="105">
                  <c:v>45628</c:v>
                </c:pt>
                <c:pt idx="106">
                  <c:v>45629</c:v>
                </c:pt>
                <c:pt idx="107">
                  <c:v>45630</c:v>
                </c:pt>
                <c:pt idx="108">
                  <c:v>45631</c:v>
                </c:pt>
                <c:pt idx="109">
                  <c:v>45632</c:v>
                </c:pt>
                <c:pt idx="110">
                  <c:v>45635</c:v>
                </c:pt>
                <c:pt idx="111">
                  <c:v>45636</c:v>
                </c:pt>
                <c:pt idx="112">
                  <c:v>45637</c:v>
                </c:pt>
                <c:pt idx="113">
                  <c:v>45638</c:v>
                </c:pt>
                <c:pt idx="114">
                  <c:v>45639</c:v>
                </c:pt>
                <c:pt idx="115">
                  <c:v>45642</c:v>
                </c:pt>
                <c:pt idx="116">
                  <c:v>45643</c:v>
                </c:pt>
                <c:pt idx="117">
                  <c:v>45644</c:v>
                </c:pt>
                <c:pt idx="118">
                  <c:v>45645</c:v>
                </c:pt>
                <c:pt idx="119">
                  <c:v>45646</c:v>
                </c:pt>
                <c:pt idx="120">
                  <c:v>45649</c:v>
                </c:pt>
                <c:pt idx="121">
                  <c:v>45650</c:v>
                </c:pt>
                <c:pt idx="122">
                  <c:v>45652</c:v>
                </c:pt>
                <c:pt idx="123">
                  <c:v>45653</c:v>
                </c:pt>
                <c:pt idx="124">
                  <c:v>45656</c:v>
                </c:pt>
                <c:pt idx="125">
                  <c:v>45657</c:v>
                </c:pt>
                <c:pt idx="126">
                  <c:v>45658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45666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45677</c:v>
                </c:pt>
                <c:pt idx="140">
                  <c:v>45678</c:v>
                </c:pt>
                <c:pt idx="141">
                  <c:v>45679</c:v>
                </c:pt>
                <c:pt idx="142">
                  <c:v>45680</c:v>
                </c:pt>
                <c:pt idx="143">
                  <c:v>45681</c:v>
                </c:pt>
                <c:pt idx="144">
                  <c:v>45684</c:v>
                </c:pt>
                <c:pt idx="145">
                  <c:v>45685</c:v>
                </c:pt>
                <c:pt idx="146">
                  <c:v>45686</c:v>
                </c:pt>
                <c:pt idx="147">
                  <c:v>45687</c:v>
                </c:pt>
                <c:pt idx="148">
                  <c:v>45688</c:v>
                </c:pt>
                <c:pt idx="149">
                  <c:v>45689</c:v>
                </c:pt>
                <c:pt idx="150">
                  <c:v>45691</c:v>
                </c:pt>
                <c:pt idx="151">
                  <c:v>45692</c:v>
                </c:pt>
                <c:pt idx="152">
                  <c:v>45693</c:v>
                </c:pt>
                <c:pt idx="153">
                  <c:v>45694</c:v>
                </c:pt>
                <c:pt idx="154">
                  <c:v>45695</c:v>
                </c:pt>
                <c:pt idx="155">
                  <c:v>45698</c:v>
                </c:pt>
                <c:pt idx="156">
                  <c:v>45699</c:v>
                </c:pt>
                <c:pt idx="157">
                  <c:v>45700</c:v>
                </c:pt>
                <c:pt idx="158">
                  <c:v>45701</c:v>
                </c:pt>
                <c:pt idx="159">
                  <c:v>45702</c:v>
                </c:pt>
                <c:pt idx="160">
                  <c:v>45705</c:v>
                </c:pt>
                <c:pt idx="161">
                  <c:v>45706</c:v>
                </c:pt>
                <c:pt idx="162">
                  <c:v>45707</c:v>
                </c:pt>
                <c:pt idx="163">
                  <c:v>45708</c:v>
                </c:pt>
                <c:pt idx="164">
                  <c:v>45709</c:v>
                </c:pt>
                <c:pt idx="165">
                  <c:v>45712</c:v>
                </c:pt>
                <c:pt idx="166">
                  <c:v>45713</c:v>
                </c:pt>
                <c:pt idx="167">
                  <c:v>45715</c:v>
                </c:pt>
                <c:pt idx="168">
                  <c:v>45716</c:v>
                </c:pt>
                <c:pt idx="169">
                  <c:v>45719</c:v>
                </c:pt>
                <c:pt idx="170">
                  <c:v>45720</c:v>
                </c:pt>
                <c:pt idx="171">
                  <c:v>45721</c:v>
                </c:pt>
                <c:pt idx="172">
                  <c:v>45722</c:v>
                </c:pt>
                <c:pt idx="173">
                  <c:v>45723</c:v>
                </c:pt>
                <c:pt idx="174">
                  <c:v>45726</c:v>
                </c:pt>
                <c:pt idx="175">
                  <c:v>45727</c:v>
                </c:pt>
                <c:pt idx="176">
                  <c:v>45728</c:v>
                </c:pt>
                <c:pt idx="177">
                  <c:v>45729</c:v>
                </c:pt>
                <c:pt idx="178">
                  <c:v>45733</c:v>
                </c:pt>
                <c:pt idx="179">
                  <c:v>45734</c:v>
                </c:pt>
                <c:pt idx="180">
                  <c:v>45735</c:v>
                </c:pt>
                <c:pt idx="181">
                  <c:v>45736</c:v>
                </c:pt>
                <c:pt idx="182">
                  <c:v>45737</c:v>
                </c:pt>
                <c:pt idx="183">
                  <c:v>45740</c:v>
                </c:pt>
                <c:pt idx="184">
                  <c:v>45741</c:v>
                </c:pt>
                <c:pt idx="185">
                  <c:v>45742</c:v>
                </c:pt>
                <c:pt idx="186">
                  <c:v>45743</c:v>
                </c:pt>
                <c:pt idx="187">
                  <c:v>45744</c:v>
                </c:pt>
                <c:pt idx="188">
                  <c:v>45748</c:v>
                </c:pt>
                <c:pt idx="189">
                  <c:v>45749</c:v>
                </c:pt>
                <c:pt idx="190">
                  <c:v>45750</c:v>
                </c:pt>
                <c:pt idx="191">
                  <c:v>45751</c:v>
                </c:pt>
                <c:pt idx="192">
                  <c:v>45754</c:v>
                </c:pt>
                <c:pt idx="193">
                  <c:v>45755</c:v>
                </c:pt>
                <c:pt idx="194">
                  <c:v>45756</c:v>
                </c:pt>
                <c:pt idx="195">
                  <c:v>45758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45798</c:v>
                </c:pt>
                <c:pt idx="221">
                  <c:v>45799</c:v>
                </c:pt>
                <c:pt idx="222">
                  <c:v>45800</c:v>
                </c:pt>
                <c:pt idx="223">
                  <c:v>45803</c:v>
                </c:pt>
                <c:pt idx="224">
                  <c:v>45804</c:v>
                </c:pt>
                <c:pt idx="225">
                  <c:v>45805</c:v>
                </c:pt>
                <c:pt idx="226">
                  <c:v>45806</c:v>
                </c:pt>
                <c:pt idx="227">
                  <c:v>45807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45817</c:v>
                </c:pt>
                <c:pt idx="234">
                  <c:v>45818</c:v>
                </c:pt>
                <c:pt idx="235">
                  <c:v>45819</c:v>
                </c:pt>
                <c:pt idx="236">
                  <c:v>45820</c:v>
                </c:pt>
                <c:pt idx="237">
                  <c:v>45821</c:v>
                </c:pt>
                <c:pt idx="238">
                  <c:v>45824</c:v>
                </c:pt>
                <c:pt idx="239">
                  <c:v>45825</c:v>
                </c:pt>
                <c:pt idx="240">
                  <c:v>45826</c:v>
                </c:pt>
                <c:pt idx="241">
                  <c:v>45827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45842</c:v>
                </c:pt>
                <c:pt idx="253">
                  <c:v>45845</c:v>
                </c:pt>
                <c:pt idx="254">
                  <c:v>45846</c:v>
                </c:pt>
                <c:pt idx="255">
                  <c:v>45847</c:v>
                </c:pt>
                <c:pt idx="256">
                  <c:v>45848</c:v>
                </c:pt>
                <c:pt idx="257">
                  <c:v>45849</c:v>
                </c:pt>
                <c:pt idx="258">
                  <c:v>45852</c:v>
                </c:pt>
                <c:pt idx="259">
                  <c:v>45853</c:v>
                </c:pt>
                <c:pt idx="260">
                  <c:v>45854</c:v>
                </c:pt>
                <c:pt idx="261">
                  <c:v>45855</c:v>
                </c:pt>
                <c:pt idx="262">
                  <c:v>45856</c:v>
                </c:pt>
                <c:pt idx="263">
                  <c:v>45859</c:v>
                </c:pt>
                <c:pt idx="264">
                  <c:v>45860</c:v>
                </c:pt>
                <c:pt idx="265">
                  <c:v>45861</c:v>
                </c:pt>
                <c:pt idx="266">
                  <c:v>45862</c:v>
                </c:pt>
                <c:pt idx="267">
                  <c:v>45863</c:v>
                </c:pt>
                <c:pt idx="268">
                  <c:v>45866</c:v>
                </c:pt>
                <c:pt idx="269">
                  <c:v>45867</c:v>
                </c:pt>
                <c:pt idx="270">
                  <c:v>45868</c:v>
                </c:pt>
                <c:pt idx="271">
                  <c:v>45869</c:v>
                </c:pt>
                <c:pt idx="272">
                  <c:v>45870</c:v>
                </c:pt>
                <c:pt idx="273">
                  <c:v>45873</c:v>
                </c:pt>
                <c:pt idx="274">
                  <c:v>45874</c:v>
                </c:pt>
                <c:pt idx="275">
                  <c:v>45875</c:v>
                </c:pt>
                <c:pt idx="276">
                  <c:v>45876</c:v>
                </c:pt>
                <c:pt idx="277">
                  <c:v>45877</c:v>
                </c:pt>
                <c:pt idx="278">
                  <c:v>45880</c:v>
                </c:pt>
                <c:pt idx="279">
                  <c:v>45881</c:v>
                </c:pt>
                <c:pt idx="280">
                  <c:v>45882</c:v>
                </c:pt>
                <c:pt idx="281">
                  <c:v>45883</c:v>
                </c:pt>
                <c:pt idx="282">
                  <c:v>45887</c:v>
                </c:pt>
                <c:pt idx="283">
                  <c:v>45888</c:v>
                </c:pt>
                <c:pt idx="284">
                  <c:v>45889</c:v>
                </c:pt>
                <c:pt idx="285">
                  <c:v>45890</c:v>
                </c:pt>
                <c:pt idx="286">
                  <c:v>45891</c:v>
                </c:pt>
                <c:pt idx="287">
                  <c:v>45894</c:v>
                </c:pt>
                <c:pt idx="288">
                  <c:v>45895</c:v>
                </c:pt>
                <c:pt idx="289">
                  <c:v>45897</c:v>
                </c:pt>
                <c:pt idx="290">
                  <c:v>45898</c:v>
                </c:pt>
                <c:pt idx="291">
                  <c:v>45901</c:v>
                </c:pt>
                <c:pt idx="292">
                  <c:v>45902</c:v>
                </c:pt>
                <c:pt idx="293">
                  <c:v>45903</c:v>
                </c:pt>
                <c:pt idx="294">
                  <c:v>45904</c:v>
                </c:pt>
                <c:pt idx="295">
                  <c:v>45905</c:v>
                </c:pt>
                <c:pt idx="296">
                  <c:v>45908</c:v>
                </c:pt>
                <c:pt idx="297">
                  <c:v>45909</c:v>
                </c:pt>
                <c:pt idx="298">
                  <c:v>45910</c:v>
                </c:pt>
                <c:pt idx="299">
                  <c:v>45911</c:v>
                </c:pt>
                <c:pt idx="300">
                  <c:v>45912</c:v>
                </c:pt>
                <c:pt idx="301">
                  <c:v>45915</c:v>
                </c:pt>
                <c:pt idx="302">
                  <c:v>45916</c:v>
                </c:pt>
                <c:pt idx="303">
                  <c:v>45917</c:v>
                </c:pt>
                <c:pt idx="304">
                  <c:v>45918</c:v>
                </c:pt>
                <c:pt idx="305">
                  <c:v>45919</c:v>
                </c:pt>
                <c:pt idx="306">
                  <c:v>45922</c:v>
                </c:pt>
                <c:pt idx="307">
                  <c:v>45923</c:v>
                </c:pt>
                <c:pt idx="308">
                  <c:v>45924</c:v>
                </c:pt>
                <c:pt idx="309">
                  <c:v>45925</c:v>
                </c:pt>
                <c:pt idx="310">
                  <c:v>45926</c:v>
                </c:pt>
                <c:pt idx="311">
                  <c:v>45929</c:v>
                </c:pt>
                <c:pt idx="312">
                  <c:v>45930</c:v>
                </c:pt>
                <c:pt idx="313">
                  <c:v>45931</c:v>
                </c:pt>
                <c:pt idx="314">
                  <c:v>45933</c:v>
                </c:pt>
                <c:pt idx="315">
                  <c:v>45936</c:v>
                </c:pt>
                <c:pt idx="316">
                  <c:v>45937</c:v>
                </c:pt>
                <c:pt idx="317">
                  <c:v>45938</c:v>
                </c:pt>
                <c:pt idx="318">
                  <c:v>45939</c:v>
                </c:pt>
                <c:pt idx="319">
                  <c:v>45940</c:v>
                </c:pt>
                <c:pt idx="320">
                  <c:v>45943</c:v>
                </c:pt>
                <c:pt idx="321">
                  <c:v>45944</c:v>
                </c:pt>
                <c:pt idx="322">
                  <c:v>45945</c:v>
                </c:pt>
                <c:pt idx="323">
                  <c:v>45946</c:v>
                </c:pt>
                <c:pt idx="324">
                  <c:v>45947</c:v>
                </c:pt>
                <c:pt idx="325">
                  <c:v>45950</c:v>
                </c:pt>
                <c:pt idx="326">
                  <c:v>45951</c:v>
                </c:pt>
                <c:pt idx="327">
                  <c:v>45953</c:v>
                </c:pt>
                <c:pt idx="328">
                  <c:v>45954</c:v>
                </c:pt>
                <c:pt idx="329">
                  <c:v>45957</c:v>
                </c:pt>
                <c:pt idx="330">
                  <c:v>45958</c:v>
                </c:pt>
                <c:pt idx="331">
                  <c:v>45959</c:v>
                </c:pt>
                <c:pt idx="332">
                  <c:v>45960</c:v>
                </c:pt>
                <c:pt idx="333">
                  <c:v>45961</c:v>
                </c:pt>
                <c:pt idx="334">
                  <c:v>45964</c:v>
                </c:pt>
                <c:pt idx="335">
                  <c:v>45965</c:v>
                </c:pt>
                <c:pt idx="336">
                  <c:v>45967</c:v>
                </c:pt>
                <c:pt idx="337">
                  <c:v>45968</c:v>
                </c:pt>
                <c:pt idx="338">
                  <c:v>45971</c:v>
                </c:pt>
                <c:pt idx="339">
                  <c:v>45972</c:v>
                </c:pt>
                <c:pt idx="340">
                  <c:v>45973</c:v>
                </c:pt>
                <c:pt idx="341">
                  <c:v>45974</c:v>
                </c:pt>
                <c:pt idx="342">
                  <c:v>45975</c:v>
                </c:pt>
                <c:pt idx="343">
                  <c:v>45978</c:v>
                </c:pt>
                <c:pt idx="344">
                  <c:v>45979</c:v>
                </c:pt>
                <c:pt idx="345">
                  <c:v>45980</c:v>
                </c:pt>
                <c:pt idx="346">
                  <c:v>45981</c:v>
                </c:pt>
                <c:pt idx="347">
                  <c:v>45982</c:v>
                </c:pt>
                <c:pt idx="348">
                  <c:v>45985</c:v>
                </c:pt>
                <c:pt idx="349">
                  <c:v>45986</c:v>
                </c:pt>
                <c:pt idx="350">
                  <c:v>45987</c:v>
                </c:pt>
                <c:pt idx="351">
                  <c:v>45988</c:v>
                </c:pt>
                <c:pt idx="352">
                  <c:v>45989</c:v>
                </c:pt>
                <c:pt idx="353">
                  <c:v>45992</c:v>
                </c:pt>
                <c:pt idx="354">
                  <c:v>45993</c:v>
                </c:pt>
                <c:pt idx="355">
                  <c:v>45994</c:v>
                </c:pt>
                <c:pt idx="356">
                  <c:v>45995</c:v>
                </c:pt>
                <c:pt idx="357">
                  <c:v>45996</c:v>
                </c:pt>
                <c:pt idx="358">
                  <c:v>45999</c:v>
                </c:pt>
                <c:pt idx="359">
                  <c:v>46000</c:v>
                </c:pt>
                <c:pt idx="360">
                  <c:v>46001</c:v>
                </c:pt>
                <c:pt idx="361">
                  <c:v>46002</c:v>
                </c:pt>
                <c:pt idx="362">
                  <c:v>46003</c:v>
                </c:pt>
                <c:pt idx="363">
                  <c:v>46006</c:v>
                </c:pt>
                <c:pt idx="364">
                  <c:v>46007</c:v>
                </c:pt>
                <c:pt idx="365">
                  <c:v>46008</c:v>
                </c:pt>
                <c:pt idx="366">
                  <c:v>46009</c:v>
                </c:pt>
                <c:pt idx="367">
                  <c:v>46010</c:v>
                </c:pt>
                <c:pt idx="368">
                  <c:v>46013</c:v>
                </c:pt>
                <c:pt idx="369">
                  <c:v>46014</c:v>
                </c:pt>
                <c:pt idx="370">
                  <c:v>46015</c:v>
                </c:pt>
                <c:pt idx="371">
                  <c:v>46017</c:v>
                </c:pt>
                <c:pt idx="372">
                  <c:v>46020</c:v>
                </c:pt>
                <c:pt idx="373">
                  <c:v>46021</c:v>
                </c:pt>
                <c:pt idx="374">
                  <c:v>46022</c:v>
                </c:pt>
                <c:pt idx="375">
                  <c:v>46023</c:v>
                </c:pt>
                <c:pt idx="376">
                  <c:v>46024</c:v>
                </c:pt>
                <c:pt idx="377">
                  <c:v>46027</c:v>
                </c:pt>
                <c:pt idx="378">
                  <c:v>46028</c:v>
                </c:pt>
                <c:pt idx="379">
                  <c:v>46029</c:v>
                </c:pt>
                <c:pt idx="380">
                  <c:v>46030</c:v>
                </c:pt>
                <c:pt idx="381">
                  <c:v>46031</c:v>
                </c:pt>
                <c:pt idx="382">
                  <c:v>46034</c:v>
                </c:pt>
                <c:pt idx="383">
                  <c:v>46035</c:v>
                </c:pt>
                <c:pt idx="384">
                  <c:v>46036</c:v>
                </c:pt>
                <c:pt idx="385">
                  <c:v>46038</c:v>
                </c:pt>
                <c:pt idx="386">
                  <c:v>46041</c:v>
                </c:pt>
                <c:pt idx="387">
                  <c:v>46042</c:v>
                </c:pt>
                <c:pt idx="388">
                  <c:v>46043</c:v>
                </c:pt>
                <c:pt idx="389">
                  <c:v>46044</c:v>
                </c:pt>
                <c:pt idx="390">
                  <c:v>46045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46062</c:v>
                </c:pt>
                <c:pt idx="402">
                  <c:v>46063</c:v>
                </c:pt>
                <c:pt idx="403">
                  <c:v>46064</c:v>
                </c:pt>
                <c:pt idx="404">
                  <c:v>46065</c:v>
                </c:pt>
                <c:pt idx="405">
                  <c:v>46066</c:v>
                </c:pt>
                <c:pt idx="406">
                  <c:v>46069</c:v>
                </c:pt>
                <c:pt idx="407">
                  <c:v>46070</c:v>
                </c:pt>
                <c:pt idx="408">
                  <c:v>46071</c:v>
                </c:pt>
                <c:pt idx="409">
                  <c:v>46072</c:v>
                </c:pt>
                <c:pt idx="410">
                  <c:v>46073</c:v>
                </c:pt>
                <c:pt idx="411">
                  <c:v>46076</c:v>
                </c:pt>
                <c:pt idx="412">
                  <c:v>46077</c:v>
                </c:pt>
                <c:pt idx="413">
                  <c:v>46078</c:v>
                </c:pt>
                <c:pt idx="414">
                  <c:v>46079</c:v>
                </c:pt>
                <c:pt idx="415">
                  <c:v>46080</c:v>
                </c:pt>
                <c:pt idx="416">
                  <c:v>46083</c:v>
                </c:pt>
                <c:pt idx="417">
                  <c:v>46085</c:v>
                </c:pt>
                <c:pt idx="418">
                  <c:v>46086</c:v>
                </c:pt>
                <c:pt idx="419">
                  <c:v>46087</c:v>
                </c:pt>
                <c:pt idx="420">
                  <c:v>46090</c:v>
                </c:pt>
                <c:pt idx="421">
                  <c:v>46091</c:v>
                </c:pt>
                <c:pt idx="422">
                  <c:v>46092</c:v>
                </c:pt>
                <c:pt idx="423">
                  <c:v>46093</c:v>
                </c:pt>
                <c:pt idx="424">
                  <c:v>46094</c:v>
                </c:pt>
                <c:pt idx="425">
                  <c:v>46097</c:v>
                </c:pt>
                <c:pt idx="426">
                  <c:v>46098</c:v>
                </c:pt>
                <c:pt idx="427">
                  <c:v>46099</c:v>
                </c:pt>
                <c:pt idx="428">
                  <c:v>46100</c:v>
                </c:pt>
                <c:pt idx="429">
                  <c:v>46101</c:v>
                </c:pt>
                <c:pt idx="430">
                  <c:v>46104</c:v>
                </c:pt>
                <c:pt idx="431">
                  <c:v>46105</c:v>
                </c:pt>
                <c:pt idx="432">
                  <c:v>46106</c:v>
                </c:pt>
                <c:pt idx="433">
                  <c:v>46108</c:v>
                </c:pt>
                <c:pt idx="434">
                  <c:v>46111</c:v>
                </c:pt>
                <c:pt idx="435">
                  <c:v>46113</c:v>
                </c:pt>
                <c:pt idx="436">
                  <c:v>46114</c:v>
                </c:pt>
                <c:pt idx="437">
                  <c:v>46118</c:v>
                </c:pt>
                <c:pt idx="438">
                  <c:v>46119</c:v>
                </c:pt>
                <c:pt idx="439">
                  <c:v>46120</c:v>
                </c:pt>
                <c:pt idx="440">
                  <c:v>46121</c:v>
                </c:pt>
                <c:pt idx="441">
                  <c:v>46122</c:v>
                </c:pt>
                <c:pt idx="442">
                  <c:v>46125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46132</c:v>
                </c:pt>
                <c:pt idx="447">
                  <c:v>46133</c:v>
                </c:pt>
                <c:pt idx="448">
                  <c:v>46134</c:v>
                </c:pt>
                <c:pt idx="449">
                  <c:v>46135</c:v>
                </c:pt>
                <c:pt idx="450">
                  <c:v>46136</c:v>
                </c:pt>
                <c:pt idx="451">
                  <c:v>46139</c:v>
                </c:pt>
                <c:pt idx="452">
                  <c:v>46140</c:v>
                </c:pt>
                <c:pt idx="453">
                  <c:v>46141</c:v>
                </c:pt>
                <c:pt idx="454">
                  <c:v>46142</c:v>
                </c:pt>
                <c:pt idx="455">
                  <c:v>46146</c:v>
                </c:pt>
                <c:pt idx="456">
                  <c:v>46147</c:v>
                </c:pt>
                <c:pt idx="457">
                  <c:v>46148</c:v>
                </c:pt>
                <c:pt idx="458">
                  <c:v>46149</c:v>
                </c:pt>
                <c:pt idx="459">
                  <c:v>46150</c:v>
                </c:pt>
                <c:pt idx="460">
                  <c:v>46153</c:v>
                </c:pt>
                <c:pt idx="461">
                  <c:v>46154</c:v>
                </c:pt>
                <c:pt idx="462">
                  <c:v>46155</c:v>
                </c:pt>
                <c:pt idx="463">
                  <c:v>46156</c:v>
                </c:pt>
                <c:pt idx="464">
                  <c:v>46157</c:v>
                </c:pt>
                <c:pt idx="465">
                  <c:v>46160</c:v>
                </c:pt>
                <c:pt idx="466">
                  <c:v>46161</c:v>
                </c:pt>
                <c:pt idx="467">
                  <c:v>46162</c:v>
                </c:pt>
                <c:pt idx="468">
                  <c:v>46163</c:v>
                </c:pt>
                <c:pt idx="469">
                  <c:v>46164</c:v>
                </c:pt>
                <c:pt idx="470">
                  <c:v>46167</c:v>
                </c:pt>
                <c:pt idx="471">
                  <c:v>46168</c:v>
                </c:pt>
                <c:pt idx="472">
                  <c:v>46169</c:v>
                </c:pt>
                <c:pt idx="473">
                  <c:v>46171</c:v>
                </c:pt>
                <c:pt idx="474">
                  <c:v>46174</c:v>
                </c:pt>
                <c:pt idx="475">
                  <c:v>46175</c:v>
                </c:pt>
                <c:pt idx="476">
                  <c:v>46176</c:v>
                </c:pt>
                <c:pt idx="477">
                  <c:v>46177</c:v>
                </c:pt>
                <c:pt idx="478">
                  <c:v>46178</c:v>
                </c:pt>
                <c:pt idx="479">
                  <c:v>46181</c:v>
                </c:pt>
                <c:pt idx="480">
                  <c:v>46182</c:v>
                </c:pt>
                <c:pt idx="481">
                  <c:v>46183</c:v>
                </c:pt>
                <c:pt idx="482">
                  <c:v>46184</c:v>
                </c:pt>
                <c:pt idx="483">
                  <c:v>46185</c:v>
                </c:pt>
                <c:pt idx="484">
                  <c:v>46188</c:v>
                </c:pt>
                <c:pt idx="485">
                  <c:v>46189</c:v>
                </c:pt>
                <c:pt idx="486">
                  <c:v>46190</c:v>
                </c:pt>
                <c:pt idx="487">
                  <c:v>46191</c:v>
                </c:pt>
                <c:pt idx="488">
                  <c:v>46192</c:v>
                </c:pt>
                <c:pt idx="489">
                  <c:v>46195</c:v>
                </c:pt>
                <c:pt idx="490">
                  <c:v>46196</c:v>
                </c:pt>
                <c:pt idx="491">
                  <c:v>46197</c:v>
                </c:pt>
                <c:pt idx="492">
                  <c:v>46198</c:v>
                </c:pt>
                <c:pt idx="493">
                  <c:v>46202</c:v>
                </c:pt>
                <c:pt idx="494">
                  <c:v>46203</c:v>
                </c:pt>
              </c:numCache>
            </c:numRef>
          </c:cat>
          <c:val>
            <c:numRef>
              <c:f>ITC!$L$2:$L$496</c:f>
              <c:numCache>
                <c:formatCode>#,##0</c:formatCode>
                <c:ptCount val="495"/>
                <c:pt idx="0">
                  <c:v>12894747</c:v>
                </c:pt>
                <c:pt idx="1">
                  <c:v>10763335</c:v>
                </c:pt>
                <c:pt idx="2">
                  <c:v>7159756</c:v>
                </c:pt>
                <c:pt idx="3">
                  <c:v>9127340</c:v>
                </c:pt>
                <c:pt idx="4">
                  <c:v>12929586</c:v>
                </c:pt>
                <c:pt idx="5">
                  <c:v>20521107</c:v>
                </c:pt>
                <c:pt idx="6">
                  <c:v>26470260</c:v>
                </c:pt>
                <c:pt idx="7">
                  <c:v>11618210</c:v>
                </c:pt>
                <c:pt idx="8">
                  <c:v>18831345</c:v>
                </c:pt>
                <c:pt idx="9">
                  <c:v>18962800</c:v>
                </c:pt>
                <c:pt idx="10">
                  <c:v>16251032</c:v>
                </c:pt>
                <c:pt idx="11">
                  <c:v>12996711</c:v>
                </c:pt>
                <c:pt idx="12">
                  <c:v>21094737</c:v>
                </c:pt>
                <c:pt idx="13">
                  <c:v>24977373</c:v>
                </c:pt>
                <c:pt idx="14">
                  <c:v>18066586</c:v>
                </c:pt>
                <c:pt idx="15">
                  <c:v>54044423</c:v>
                </c:pt>
                <c:pt idx="16">
                  <c:v>42073323</c:v>
                </c:pt>
                <c:pt idx="17">
                  <c:v>17878994</c:v>
                </c:pt>
                <c:pt idx="18">
                  <c:v>20736094</c:v>
                </c:pt>
                <c:pt idx="19">
                  <c:v>12496895</c:v>
                </c:pt>
                <c:pt idx="20">
                  <c:v>13375906</c:v>
                </c:pt>
                <c:pt idx="21">
                  <c:v>11538215</c:v>
                </c:pt>
                <c:pt idx="22">
                  <c:v>11665529</c:v>
                </c:pt>
                <c:pt idx="23">
                  <c:v>21320064</c:v>
                </c:pt>
                <c:pt idx="24">
                  <c:v>24094139</c:v>
                </c:pt>
                <c:pt idx="25">
                  <c:v>13722855</c:v>
                </c:pt>
                <c:pt idx="26">
                  <c:v>10900585</c:v>
                </c:pt>
                <c:pt idx="27">
                  <c:v>20558134</c:v>
                </c:pt>
                <c:pt idx="28">
                  <c:v>9201793</c:v>
                </c:pt>
                <c:pt idx="29">
                  <c:v>9076097</c:v>
                </c:pt>
                <c:pt idx="30">
                  <c:v>7757706</c:v>
                </c:pt>
                <c:pt idx="31">
                  <c:v>9253598</c:v>
                </c:pt>
                <c:pt idx="32">
                  <c:v>13137392</c:v>
                </c:pt>
                <c:pt idx="33">
                  <c:v>10198725</c:v>
                </c:pt>
                <c:pt idx="34">
                  <c:v>6633171</c:v>
                </c:pt>
                <c:pt idx="35">
                  <c:v>8474830</c:v>
                </c:pt>
                <c:pt idx="36">
                  <c:v>8364290</c:v>
                </c:pt>
                <c:pt idx="37">
                  <c:v>7891446</c:v>
                </c:pt>
                <c:pt idx="38">
                  <c:v>7825037</c:v>
                </c:pt>
                <c:pt idx="39">
                  <c:v>7954114</c:v>
                </c:pt>
                <c:pt idx="40">
                  <c:v>7782216</c:v>
                </c:pt>
                <c:pt idx="41">
                  <c:v>18670632</c:v>
                </c:pt>
                <c:pt idx="42">
                  <c:v>14947670</c:v>
                </c:pt>
                <c:pt idx="43">
                  <c:v>15885469</c:v>
                </c:pt>
                <c:pt idx="44">
                  <c:v>12018677</c:v>
                </c:pt>
                <c:pt idx="45">
                  <c:v>8414967</c:v>
                </c:pt>
                <c:pt idx="46">
                  <c:v>10898888</c:v>
                </c:pt>
                <c:pt idx="47">
                  <c:v>13716752</c:v>
                </c:pt>
                <c:pt idx="48">
                  <c:v>13736044</c:v>
                </c:pt>
                <c:pt idx="49">
                  <c:v>10911995</c:v>
                </c:pt>
                <c:pt idx="50">
                  <c:v>14922832</c:v>
                </c:pt>
                <c:pt idx="51">
                  <c:v>18377550</c:v>
                </c:pt>
                <c:pt idx="52">
                  <c:v>8825193</c:v>
                </c:pt>
                <c:pt idx="53">
                  <c:v>7531604</c:v>
                </c:pt>
                <c:pt idx="54">
                  <c:v>10486015</c:v>
                </c:pt>
                <c:pt idx="55">
                  <c:v>5429619</c:v>
                </c:pt>
                <c:pt idx="56">
                  <c:v>13925311</c:v>
                </c:pt>
                <c:pt idx="57">
                  <c:v>23808194</c:v>
                </c:pt>
                <c:pt idx="58">
                  <c:v>7804918</c:v>
                </c:pt>
                <c:pt idx="59">
                  <c:v>6755320</c:v>
                </c:pt>
                <c:pt idx="60">
                  <c:v>8476223</c:v>
                </c:pt>
                <c:pt idx="61">
                  <c:v>15489991</c:v>
                </c:pt>
                <c:pt idx="62">
                  <c:v>17251962</c:v>
                </c:pt>
                <c:pt idx="63">
                  <c:v>10531347</c:v>
                </c:pt>
                <c:pt idx="64">
                  <c:v>5089315</c:v>
                </c:pt>
                <c:pt idx="65">
                  <c:v>15870147</c:v>
                </c:pt>
                <c:pt idx="66">
                  <c:v>18228912</c:v>
                </c:pt>
                <c:pt idx="67">
                  <c:v>16479772</c:v>
                </c:pt>
                <c:pt idx="68">
                  <c:v>9502367</c:v>
                </c:pt>
                <c:pt idx="69">
                  <c:v>23952459</c:v>
                </c:pt>
                <c:pt idx="70">
                  <c:v>12799333</c:v>
                </c:pt>
                <c:pt idx="71">
                  <c:v>14394986</c:v>
                </c:pt>
                <c:pt idx="72">
                  <c:v>6712103</c:v>
                </c:pt>
                <c:pt idx="73">
                  <c:v>8037662</c:v>
                </c:pt>
                <c:pt idx="74">
                  <c:v>6682083</c:v>
                </c:pt>
                <c:pt idx="75">
                  <c:v>7385299</c:v>
                </c:pt>
                <c:pt idx="76">
                  <c:v>21778099</c:v>
                </c:pt>
                <c:pt idx="77">
                  <c:v>7395274</c:v>
                </c:pt>
                <c:pt idx="78">
                  <c:v>12299288</c:v>
                </c:pt>
                <c:pt idx="79">
                  <c:v>10162570</c:v>
                </c:pt>
                <c:pt idx="80">
                  <c:v>13092399</c:v>
                </c:pt>
                <c:pt idx="81">
                  <c:v>30961625</c:v>
                </c:pt>
                <c:pt idx="82">
                  <c:v>8614446</c:v>
                </c:pt>
                <c:pt idx="83">
                  <c:v>6866704</c:v>
                </c:pt>
                <c:pt idx="84">
                  <c:v>6393835</c:v>
                </c:pt>
                <c:pt idx="85">
                  <c:v>7810874</c:v>
                </c:pt>
                <c:pt idx="86">
                  <c:v>1461602</c:v>
                </c:pt>
                <c:pt idx="87">
                  <c:v>8429731</c:v>
                </c:pt>
                <c:pt idx="88">
                  <c:v>7327830</c:v>
                </c:pt>
                <c:pt idx="89">
                  <c:v>11313985</c:v>
                </c:pt>
                <c:pt idx="90">
                  <c:v>8924280</c:v>
                </c:pt>
                <c:pt idx="91">
                  <c:v>6090462</c:v>
                </c:pt>
                <c:pt idx="92">
                  <c:v>5488948</c:v>
                </c:pt>
                <c:pt idx="93">
                  <c:v>5041916</c:v>
                </c:pt>
                <c:pt idx="94">
                  <c:v>11120381</c:v>
                </c:pt>
                <c:pt idx="95">
                  <c:v>11639562</c:v>
                </c:pt>
                <c:pt idx="96">
                  <c:v>8135260</c:v>
                </c:pt>
                <c:pt idx="97">
                  <c:v>6857374</c:v>
                </c:pt>
                <c:pt idx="98">
                  <c:v>19559847</c:v>
                </c:pt>
                <c:pt idx="99">
                  <c:v>19464568</c:v>
                </c:pt>
                <c:pt idx="100">
                  <c:v>13891991</c:v>
                </c:pt>
                <c:pt idx="101">
                  <c:v>6539846</c:v>
                </c:pt>
                <c:pt idx="102">
                  <c:v>7067013</c:v>
                </c:pt>
                <c:pt idx="103">
                  <c:v>14412539</c:v>
                </c:pt>
                <c:pt idx="104">
                  <c:v>8346687</c:v>
                </c:pt>
                <c:pt idx="105">
                  <c:v>5478598</c:v>
                </c:pt>
                <c:pt idx="106">
                  <c:v>22218251</c:v>
                </c:pt>
                <c:pt idx="107">
                  <c:v>13439484</c:v>
                </c:pt>
                <c:pt idx="108">
                  <c:v>26415053</c:v>
                </c:pt>
                <c:pt idx="109">
                  <c:v>7551407</c:v>
                </c:pt>
                <c:pt idx="110">
                  <c:v>11703384</c:v>
                </c:pt>
                <c:pt idx="111">
                  <c:v>8823805</c:v>
                </c:pt>
                <c:pt idx="112">
                  <c:v>6745816</c:v>
                </c:pt>
                <c:pt idx="113">
                  <c:v>12884401</c:v>
                </c:pt>
                <c:pt idx="114">
                  <c:v>31753858</c:v>
                </c:pt>
                <c:pt idx="115">
                  <c:v>9007264</c:v>
                </c:pt>
                <c:pt idx="116">
                  <c:v>19844152</c:v>
                </c:pt>
                <c:pt idx="117">
                  <c:v>12365167</c:v>
                </c:pt>
                <c:pt idx="118">
                  <c:v>14599270</c:v>
                </c:pt>
                <c:pt idx="119">
                  <c:v>19481288</c:v>
                </c:pt>
                <c:pt idx="120">
                  <c:v>18837469</c:v>
                </c:pt>
                <c:pt idx="121">
                  <c:v>11564497</c:v>
                </c:pt>
                <c:pt idx="122">
                  <c:v>8848065</c:v>
                </c:pt>
                <c:pt idx="123">
                  <c:v>16279450</c:v>
                </c:pt>
                <c:pt idx="124">
                  <c:v>13074810</c:v>
                </c:pt>
                <c:pt idx="125">
                  <c:v>13276195</c:v>
                </c:pt>
                <c:pt idx="126">
                  <c:v>18229128</c:v>
                </c:pt>
                <c:pt idx="127">
                  <c:v>26124980</c:v>
                </c:pt>
                <c:pt idx="128">
                  <c:v>37072992</c:v>
                </c:pt>
                <c:pt idx="129">
                  <c:v>22009958</c:v>
                </c:pt>
                <c:pt idx="130">
                  <c:v>14294780</c:v>
                </c:pt>
                <c:pt idx="131">
                  <c:v>13482926</c:v>
                </c:pt>
                <c:pt idx="132">
                  <c:v>19732649</c:v>
                </c:pt>
                <c:pt idx="133">
                  <c:v>9145729</c:v>
                </c:pt>
                <c:pt idx="134">
                  <c:v>17799607</c:v>
                </c:pt>
                <c:pt idx="135">
                  <c:v>18048459</c:v>
                </c:pt>
                <c:pt idx="136">
                  <c:v>9786805</c:v>
                </c:pt>
                <c:pt idx="137">
                  <c:v>15774070</c:v>
                </c:pt>
                <c:pt idx="138">
                  <c:v>11270061</c:v>
                </c:pt>
                <c:pt idx="139">
                  <c:v>8742771</c:v>
                </c:pt>
                <c:pt idx="140">
                  <c:v>15686500</c:v>
                </c:pt>
                <c:pt idx="141">
                  <c:v>9619648</c:v>
                </c:pt>
                <c:pt idx="142">
                  <c:v>8888248</c:v>
                </c:pt>
                <c:pt idx="143">
                  <c:v>9665384</c:v>
                </c:pt>
                <c:pt idx="144">
                  <c:v>10480203</c:v>
                </c:pt>
                <c:pt idx="145">
                  <c:v>20813072</c:v>
                </c:pt>
                <c:pt idx="146">
                  <c:v>15158510</c:v>
                </c:pt>
                <c:pt idx="147">
                  <c:v>22496695</c:v>
                </c:pt>
                <c:pt idx="148">
                  <c:v>13546181</c:v>
                </c:pt>
                <c:pt idx="149">
                  <c:v>30393007</c:v>
                </c:pt>
                <c:pt idx="150">
                  <c:v>16991730</c:v>
                </c:pt>
                <c:pt idx="151">
                  <c:v>18923681</c:v>
                </c:pt>
                <c:pt idx="152">
                  <c:v>12836283</c:v>
                </c:pt>
                <c:pt idx="153">
                  <c:v>17469129</c:v>
                </c:pt>
                <c:pt idx="154">
                  <c:v>18875982</c:v>
                </c:pt>
                <c:pt idx="155">
                  <c:v>12227140</c:v>
                </c:pt>
                <c:pt idx="156">
                  <c:v>14288751</c:v>
                </c:pt>
                <c:pt idx="157">
                  <c:v>13884574</c:v>
                </c:pt>
                <c:pt idx="158">
                  <c:v>12989029</c:v>
                </c:pt>
                <c:pt idx="159">
                  <c:v>14124236</c:v>
                </c:pt>
                <c:pt idx="160">
                  <c:v>11975265</c:v>
                </c:pt>
                <c:pt idx="161">
                  <c:v>12998403</c:v>
                </c:pt>
                <c:pt idx="162">
                  <c:v>7079032</c:v>
                </c:pt>
                <c:pt idx="163">
                  <c:v>15355585</c:v>
                </c:pt>
                <c:pt idx="164">
                  <c:v>8240986</c:v>
                </c:pt>
                <c:pt idx="165">
                  <c:v>7037625</c:v>
                </c:pt>
                <c:pt idx="166">
                  <c:v>15760891</c:v>
                </c:pt>
                <c:pt idx="167">
                  <c:v>19051003</c:v>
                </c:pt>
                <c:pt idx="168">
                  <c:v>31954776</c:v>
                </c:pt>
                <c:pt idx="169">
                  <c:v>10702826</c:v>
                </c:pt>
                <c:pt idx="170">
                  <c:v>13404774</c:v>
                </c:pt>
                <c:pt idx="171">
                  <c:v>15665018</c:v>
                </c:pt>
                <c:pt idx="172">
                  <c:v>17869996</c:v>
                </c:pt>
                <c:pt idx="173">
                  <c:v>11180761</c:v>
                </c:pt>
                <c:pt idx="174">
                  <c:v>9785018</c:v>
                </c:pt>
                <c:pt idx="175">
                  <c:v>11099475</c:v>
                </c:pt>
                <c:pt idx="176">
                  <c:v>13844306</c:v>
                </c:pt>
                <c:pt idx="177">
                  <c:v>8196569</c:v>
                </c:pt>
                <c:pt idx="178">
                  <c:v>5257859</c:v>
                </c:pt>
                <c:pt idx="179">
                  <c:v>13861897</c:v>
                </c:pt>
                <c:pt idx="180">
                  <c:v>12830387</c:v>
                </c:pt>
                <c:pt idx="181">
                  <c:v>16994037</c:v>
                </c:pt>
                <c:pt idx="182">
                  <c:v>25302035</c:v>
                </c:pt>
                <c:pt idx="183">
                  <c:v>14362572</c:v>
                </c:pt>
                <c:pt idx="184">
                  <c:v>20338110</c:v>
                </c:pt>
                <c:pt idx="185">
                  <c:v>13891436</c:v>
                </c:pt>
                <c:pt idx="186">
                  <c:v>18642328</c:v>
                </c:pt>
                <c:pt idx="187">
                  <c:v>12981873</c:v>
                </c:pt>
                <c:pt idx="188">
                  <c:v>15206240</c:v>
                </c:pt>
                <c:pt idx="189">
                  <c:v>8001323</c:v>
                </c:pt>
                <c:pt idx="190">
                  <c:v>7059566</c:v>
                </c:pt>
                <c:pt idx="191">
                  <c:v>18627592</c:v>
                </c:pt>
                <c:pt idx="192">
                  <c:v>26762866</c:v>
                </c:pt>
                <c:pt idx="193">
                  <c:v>18600796</c:v>
                </c:pt>
                <c:pt idx="194">
                  <c:v>21785572</c:v>
                </c:pt>
                <c:pt idx="195">
                  <c:v>8939356</c:v>
                </c:pt>
                <c:pt idx="196">
                  <c:v>11685880</c:v>
                </c:pt>
                <c:pt idx="197">
                  <c:v>13034594</c:v>
                </c:pt>
                <c:pt idx="198">
                  <c:v>22410217</c:v>
                </c:pt>
                <c:pt idx="199">
                  <c:v>27388236</c:v>
                </c:pt>
                <c:pt idx="200">
                  <c:v>32031936</c:v>
                </c:pt>
                <c:pt idx="201">
                  <c:v>19566317</c:v>
                </c:pt>
                <c:pt idx="202">
                  <c:v>26064089</c:v>
                </c:pt>
                <c:pt idx="203">
                  <c:v>22944377</c:v>
                </c:pt>
                <c:pt idx="204">
                  <c:v>6287095</c:v>
                </c:pt>
                <c:pt idx="205">
                  <c:v>11189930</c:v>
                </c:pt>
                <c:pt idx="206">
                  <c:v>10026546</c:v>
                </c:pt>
                <c:pt idx="207">
                  <c:v>12769461</c:v>
                </c:pt>
                <c:pt idx="208">
                  <c:v>11525305</c:v>
                </c:pt>
                <c:pt idx="209">
                  <c:v>15026568</c:v>
                </c:pt>
                <c:pt idx="210">
                  <c:v>9710361</c:v>
                </c:pt>
                <c:pt idx="211">
                  <c:v>19937960</c:v>
                </c:pt>
                <c:pt idx="212">
                  <c:v>8226512</c:v>
                </c:pt>
                <c:pt idx="213">
                  <c:v>8031891</c:v>
                </c:pt>
                <c:pt idx="214">
                  <c:v>14976369</c:v>
                </c:pt>
                <c:pt idx="215">
                  <c:v>9557309</c:v>
                </c:pt>
                <c:pt idx="216">
                  <c:v>24263510</c:v>
                </c:pt>
                <c:pt idx="217">
                  <c:v>16402035</c:v>
                </c:pt>
                <c:pt idx="218">
                  <c:v>7543854</c:v>
                </c:pt>
                <c:pt idx="219">
                  <c:v>9868414</c:v>
                </c:pt>
                <c:pt idx="220">
                  <c:v>5776672</c:v>
                </c:pt>
                <c:pt idx="221">
                  <c:v>19451749</c:v>
                </c:pt>
                <c:pt idx="222">
                  <c:v>18536884</c:v>
                </c:pt>
                <c:pt idx="223">
                  <c:v>13107662</c:v>
                </c:pt>
                <c:pt idx="224">
                  <c:v>26986022</c:v>
                </c:pt>
                <c:pt idx="225">
                  <c:v>431851622</c:v>
                </c:pt>
                <c:pt idx="226">
                  <c:v>21478547</c:v>
                </c:pt>
                <c:pt idx="227">
                  <c:v>30656239</c:v>
                </c:pt>
                <c:pt idx="228">
                  <c:v>14973380</c:v>
                </c:pt>
                <c:pt idx="229">
                  <c:v>13216486</c:v>
                </c:pt>
                <c:pt idx="230">
                  <c:v>12598933</c:v>
                </c:pt>
                <c:pt idx="231">
                  <c:v>13212523</c:v>
                </c:pt>
                <c:pt idx="232">
                  <c:v>8774988</c:v>
                </c:pt>
                <c:pt idx="233">
                  <c:v>10473123</c:v>
                </c:pt>
                <c:pt idx="234">
                  <c:v>13041075</c:v>
                </c:pt>
                <c:pt idx="235">
                  <c:v>20789182</c:v>
                </c:pt>
                <c:pt idx="236">
                  <c:v>18508835</c:v>
                </c:pt>
                <c:pt idx="237">
                  <c:v>17873926</c:v>
                </c:pt>
                <c:pt idx="238">
                  <c:v>7006629</c:v>
                </c:pt>
                <c:pt idx="239">
                  <c:v>9028406</c:v>
                </c:pt>
                <c:pt idx="240">
                  <c:v>8036215</c:v>
                </c:pt>
                <c:pt idx="241">
                  <c:v>12601006</c:v>
                </c:pt>
                <c:pt idx="242">
                  <c:v>13203184</c:v>
                </c:pt>
                <c:pt idx="243">
                  <c:v>14839890</c:v>
                </c:pt>
                <c:pt idx="244">
                  <c:v>16690068</c:v>
                </c:pt>
                <c:pt idx="245">
                  <c:v>9946718</c:v>
                </c:pt>
                <c:pt idx="246">
                  <c:v>13703918</c:v>
                </c:pt>
                <c:pt idx="247">
                  <c:v>21409935</c:v>
                </c:pt>
                <c:pt idx="248">
                  <c:v>12317124</c:v>
                </c:pt>
                <c:pt idx="249">
                  <c:v>13670465</c:v>
                </c:pt>
                <c:pt idx="250">
                  <c:v>15990899</c:v>
                </c:pt>
                <c:pt idx="251">
                  <c:v>14185298</c:v>
                </c:pt>
                <c:pt idx="252">
                  <c:v>8256733</c:v>
                </c:pt>
                <c:pt idx="253">
                  <c:v>6845218</c:v>
                </c:pt>
                <c:pt idx="254">
                  <c:v>6807192</c:v>
                </c:pt>
                <c:pt idx="255">
                  <c:v>9930533</c:v>
                </c:pt>
                <c:pt idx="256">
                  <c:v>6220360</c:v>
                </c:pt>
                <c:pt idx="257">
                  <c:v>8578844</c:v>
                </c:pt>
                <c:pt idx="258">
                  <c:v>6896989</c:v>
                </c:pt>
                <c:pt idx="259">
                  <c:v>8532755</c:v>
                </c:pt>
                <c:pt idx="260">
                  <c:v>9780773</c:v>
                </c:pt>
                <c:pt idx="261">
                  <c:v>7240795</c:v>
                </c:pt>
                <c:pt idx="262">
                  <c:v>6730256</c:v>
                </c:pt>
                <c:pt idx="263">
                  <c:v>4822343</c:v>
                </c:pt>
                <c:pt idx="264">
                  <c:v>9869507</c:v>
                </c:pt>
                <c:pt idx="265">
                  <c:v>12196187</c:v>
                </c:pt>
                <c:pt idx="266">
                  <c:v>9005157</c:v>
                </c:pt>
                <c:pt idx="267">
                  <c:v>5824089</c:v>
                </c:pt>
                <c:pt idx="268">
                  <c:v>8123337</c:v>
                </c:pt>
                <c:pt idx="269">
                  <c:v>6811772</c:v>
                </c:pt>
                <c:pt idx="270">
                  <c:v>10915863</c:v>
                </c:pt>
                <c:pt idx="271">
                  <c:v>19364174</c:v>
                </c:pt>
                <c:pt idx="272">
                  <c:v>14324065</c:v>
                </c:pt>
                <c:pt idx="273">
                  <c:v>18352458</c:v>
                </c:pt>
                <c:pt idx="274">
                  <c:v>8495104</c:v>
                </c:pt>
                <c:pt idx="275">
                  <c:v>9080543</c:v>
                </c:pt>
                <c:pt idx="276">
                  <c:v>11514878</c:v>
                </c:pt>
                <c:pt idx="277">
                  <c:v>9814361</c:v>
                </c:pt>
                <c:pt idx="278">
                  <c:v>8514272</c:v>
                </c:pt>
                <c:pt idx="279">
                  <c:v>13635738</c:v>
                </c:pt>
                <c:pt idx="280">
                  <c:v>10874910</c:v>
                </c:pt>
                <c:pt idx="281">
                  <c:v>9580361</c:v>
                </c:pt>
                <c:pt idx="282">
                  <c:v>30950814</c:v>
                </c:pt>
                <c:pt idx="283">
                  <c:v>16681331</c:v>
                </c:pt>
                <c:pt idx="284">
                  <c:v>18188129</c:v>
                </c:pt>
                <c:pt idx="285">
                  <c:v>15028966</c:v>
                </c:pt>
                <c:pt idx="286">
                  <c:v>13087624</c:v>
                </c:pt>
                <c:pt idx="287">
                  <c:v>10440286</c:v>
                </c:pt>
                <c:pt idx="288">
                  <c:v>13715752</c:v>
                </c:pt>
                <c:pt idx="289">
                  <c:v>12471719</c:v>
                </c:pt>
                <c:pt idx="290">
                  <c:v>25255050</c:v>
                </c:pt>
                <c:pt idx="291">
                  <c:v>12268090</c:v>
                </c:pt>
                <c:pt idx="292">
                  <c:v>19808255</c:v>
                </c:pt>
                <c:pt idx="293">
                  <c:v>12936588</c:v>
                </c:pt>
                <c:pt idx="294">
                  <c:v>27274123</c:v>
                </c:pt>
                <c:pt idx="295">
                  <c:v>16000675</c:v>
                </c:pt>
                <c:pt idx="296">
                  <c:v>7419022</c:v>
                </c:pt>
                <c:pt idx="297">
                  <c:v>8825896</c:v>
                </c:pt>
                <c:pt idx="298">
                  <c:v>9252397</c:v>
                </c:pt>
                <c:pt idx="299">
                  <c:v>8274406</c:v>
                </c:pt>
                <c:pt idx="300">
                  <c:v>7803379</c:v>
                </c:pt>
                <c:pt idx="301">
                  <c:v>5707331</c:v>
                </c:pt>
                <c:pt idx="302">
                  <c:v>8239087</c:v>
                </c:pt>
                <c:pt idx="303">
                  <c:v>14113882</c:v>
                </c:pt>
                <c:pt idx="304">
                  <c:v>15647808</c:v>
                </c:pt>
                <c:pt idx="305">
                  <c:v>19505321</c:v>
                </c:pt>
                <c:pt idx="306">
                  <c:v>8930779</c:v>
                </c:pt>
                <c:pt idx="307">
                  <c:v>14936357</c:v>
                </c:pt>
                <c:pt idx="308">
                  <c:v>12380865</c:v>
                </c:pt>
                <c:pt idx="309">
                  <c:v>22006368</c:v>
                </c:pt>
                <c:pt idx="310">
                  <c:v>14414044</c:v>
                </c:pt>
                <c:pt idx="311">
                  <c:v>19717660</c:v>
                </c:pt>
                <c:pt idx="312">
                  <c:v>9465490</c:v>
                </c:pt>
                <c:pt idx="313">
                  <c:v>17643039</c:v>
                </c:pt>
                <c:pt idx="314">
                  <c:v>16987141</c:v>
                </c:pt>
                <c:pt idx="315">
                  <c:v>13989077</c:v>
                </c:pt>
                <c:pt idx="316">
                  <c:v>12298968</c:v>
                </c:pt>
                <c:pt idx="317">
                  <c:v>8402463</c:v>
                </c:pt>
                <c:pt idx="318">
                  <c:v>15656267</c:v>
                </c:pt>
                <c:pt idx="319">
                  <c:v>15085738</c:v>
                </c:pt>
                <c:pt idx="320">
                  <c:v>9508594</c:v>
                </c:pt>
                <c:pt idx="321">
                  <c:v>10291102</c:v>
                </c:pt>
                <c:pt idx="322">
                  <c:v>16043867</c:v>
                </c:pt>
                <c:pt idx="323">
                  <c:v>22962049</c:v>
                </c:pt>
                <c:pt idx="324">
                  <c:v>21071344</c:v>
                </c:pt>
                <c:pt idx="325">
                  <c:v>13083621</c:v>
                </c:pt>
                <c:pt idx="326">
                  <c:v>1142130</c:v>
                </c:pt>
                <c:pt idx="327">
                  <c:v>24305990</c:v>
                </c:pt>
                <c:pt idx="328">
                  <c:v>14935678</c:v>
                </c:pt>
                <c:pt idx="329">
                  <c:v>11603679</c:v>
                </c:pt>
                <c:pt idx="330">
                  <c:v>17163147</c:v>
                </c:pt>
                <c:pt idx="331">
                  <c:v>11470661</c:v>
                </c:pt>
                <c:pt idx="332">
                  <c:v>12938674</c:v>
                </c:pt>
                <c:pt idx="333">
                  <c:v>18599864</c:v>
                </c:pt>
                <c:pt idx="334">
                  <c:v>7635440</c:v>
                </c:pt>
                <c:pt idx="335">
                  <c:v>10085404</c:v>
                </c:pt>
                <c:pt idx="336">
                  <c:v>10095563</c:v>
                </c:pt>
                <c:pt idx="337">
                  <c:v>8411611</c:v>
                </c:pt>
                <c:pt idx="338">
                  <c:v>6650003</c:v>
                </c:pt>
                <c:pt idx="339">
                  <c:v>12005318</c:v>
                </c:pt>
                <c:pt idx="340">
                  <c:v>7987236</c:v>
                </c:pt>
                <c:pt idx="341">
                  <c:v>6617185</c:v>
                </c:pt>
                <c:pt idx="342">
                  <c:v>64020258</c:v>
                </c:pt>
                <c:pt idx="343">
                  <c:v>7855399</c:v>
                </c:pt>
                <c:pt idx="344">
                  <c:v>7661681</c:v>
                </c:pt>
                <c:pt idx="345">
                  <c:v>7882450</c:v>
                </c:pt>
                <c:pt idx="346">
                  <c:v>6693410</c:v>
                </c:pt>
                <c:pt idx="347">
                  <c:v>5808131</c:v>
                </c:pt>
                <c:pt idx="348">
                  <c:v>11037491</c:v>
                </c:pt>
                <c:pt idx="349">
                  <c:v>8199785</c:v>
                </c:pt>
                <c:pt idx="350">
                  <c:v>11443953</c:v>
                </c:pt>
                <c:pt idx="351">
                  <c:v>8679529</c:v>
                </c:pt>
                <c:pt idx="352">
                  <c:v>6883500</c:v>
                </c:pt>
                <c:pt idx="353">
                  <c:v>13442658</c:v>
                </c:pt>
                <c:pt idx="354">
                  <c:v>8093808</c:v>
                </c:pt>
                <c:pt idx="355">
                  <c:v>10772192</c:v>
                </c:pt>
                <c:pt idx="356">
                  <c:v>8057989</c:v>
                </c:pt>
                <c:pt idx="357">
                  <c:v>4419747</c:v>
                </c:pt>
                <c:pt idx="358">
                  <c:v>6056866</c:v>
                </c:pt>
                <c:pt idx="359">
                  <c:v>9426717</c:v>
                </c:pt>
                <c:pt idx="360">
                  <c:v>6969146</c:v>
                </c:pt>
                <c:pt idx="361">
                  <c:v>6980147</c:v>
                </c:pt>
                <c:pt idx="362">
                  <c:v>12407516</c:v>
                </c:pt>
                <c:pt idx="363">
                  <c:v>7756564</c:v>
                </c:pt>
                <c:pt idx="364">
                  <c:v>12347384</c:v>
                </c:pt>
                <c:pt idx="365">
                  <c:v>8087490</c:v>
                </c:pt>
                <c:pt idx="366">
                  <c:v>7227668</c:v>
                </c:pt>
                <c:pt idx="367">
                  <c:v>10654835</c:v>
                </c:pt>
                <c:pt idx="368">
                  <c:v>6847871</c:v>
                </c:pt>
                <c:pt idx="369">
                  <c:v>10081997</c:v>
                </c:pt>
                <c:pt idx="370">
                  <c:v>5777430</c:v>
                </c:pt>
                <c:pt idx="371">
                  <c:v>3152453</c:v>
                </c:pt>
                <c:pt idx="372">
                  <c:v>6647710</c:v>
                </c:pt>
                <c:pt idx="373">
                  <c:v>12340527</c:v>
                </c:pt>
                <c:pt idx="374">
                  <c:v>9945109</c:v>
                </c:pt>
                <c:pt idx="375">
                  <c:v>282626710</c:v>
                </c:pt>
                <c:pt idx="376">
                  <c:v>118790358</c:v>
                </c:pt>
                <c:pt idx="377">
                  <c:v>48358124</c:v>
                </c:pt>
                <c:pt idx="378">
                  <c:v>72582738</c:v>
                </c:pt>
                <c:pt idx="379">
                  <c:v>29440734</c:v>
                </c:pt>
                <c:pt idx="380">
                  <c:v>36706319</c:v>
                </c:pt>
                <c:pt idx="381">
                  <c:v>35193201</c:v>
                </c:pt>
                <c:pt idx="382">
                  <c:v>16156143</c:v>
                </c:pt>
                <c:pt idx="383">
                  <c:v>24922339</c:v>
                </c:pt>
                <c:pt idx="384">
                  <c:v>14913422</c:v>
                </c:pt>
                <c:pt idx="385">
                  <c:v>30526898</c:v>
                </c:pt>
                <c:pt idx="386">
                  <c:v>15507440</c:v>
                </c:pt>
                <c:pt idx="387">
                  <c:v>18771011</c:v>
                </c:pt>
                <c:pt idx="388">
                  <c:v>14177965</c:v>
                </c:pt>
                <c:pt idx="389">
                  <c:v>18622852</c:v>
                </c:pt>
                <c:pt idx="390">
                  <c:v>11950089</c:v>
                </c:pt>
                <c:pt idx="391">
                  <c:v>47847784</c:v>
                </c:pt>
                <c:pt idx="392">
                  <c:v>28400238</c:v>
                </c:pt>
                <c:pt idx="393">
                  <c:v>17719420</c:v>
                </c:pt>
                <c:pt idx="394">
                  <c:v>41975824</c:v>
                </c:pt>
                <c:pt idx="395">
                  <c:v>33278995</c:v>
                </c:pt>
                <c:pt idx="396">
                  <c:v>35227572</c:v>
                </c:pt>
                <c:pt idx="397">
                  <c:v>33168353</c:v>
                </c:pt>
                <c:pt idx="398">
                  <c:v>11196759</c:v>
                </c:pt>
                <c:pt idx="399">
                  <c:v>15816704</c:v>
                </c:pt>
                <c:pt idx="400">
                  <c:v>68057745</c:v>
                </c:pt>
                <c:pt idx="401">
                  <c:v>20059198</c:v>
                </c:pt>
                <c:pt idx="402">
                  <c:v>11489090</c:v>
                </c:pt>
                <c:pt idx="403">
                  <c:v>24843366</c:v>
                </c:pt>
                <c:pt idx="404">
                  <c:v>13294561</c:v>
                </c:pt>
                <c:pt idx="405">
                  <c:v>8730618</c:v>
                </c:pt>
                <c:pt idx="406">
                  <c:v>11693763</c:v>
                </c:pt>
                <c:pt idx="407">
                  <c:v>39360672</c:v>
                </c:pt>
                <c:pt idx="408">
                  <c:v>35473203</c:v>
                </c:pt>
                <c:pt idx="409">
                  <c:v>19911747</c:v>
                </c:pt>
                <c:pt idx="410">
                  <c:v>11282027</c:v>
                </c:pt>
                <c:pt idx="411">
                  <c:v>13486092</c:v>
                </c:pt>
                <c:pt idx="412">
                  <c:v>13135859</c:v>
                </c:pt>
                <c:pt idx="413">
                  <c:v>13492101</c:v>
                </c:pt>
                <c:pt idx="414">
                  <c:v>11270119</c:v>
                </c:pt>
                <c:pt idx="415">
                  <c:v>13892595</c:v>
                </c:pt>
                <c:pt idx="416">
                  <c:v>22194311</c:v>
                </c:pt>
                <c:pt idx="417">
                  <c:v>24165489</c:v>
                </c:pt>
                <c:pt idx="418">
                  <c:v>19938009</c:v>
                </c:pt>
                <c:pt idx="419">
                  <c:v>21288269</c:v>
                </c:pt>
                <c:pt idx="420">
                  <c:v>14084931</c:v>
                </c:pt>
                <c:pt idx="421">
                  <c:v>18352950</c:v>
                </c:pt>
                <c:pt idx="422">
                  <c:v>14842485</c:v>
                </c:pt>
                <c:pt idx="423">
                  <c:v>23319679</c:v>
                </c:pt>
                <c:pt idx="424">
                  <c:v>25659996</c:v>
                </c:pt>
                <c:pt idx="425">
                  <c:v>37472204</c:v>
                </c:pt>
                <c:pt idx="426">
                  <c:v>25649286</c:v>
                </c:pt>
                <c:pt idx="427">
                  <c:v>16702554</c:v>
                </c:pt>
                <c:pt idx="428">
                  <c:v>17851126</c:v>
                </c:pt>
                <c:pt idx="429">
                  <c:v>58679529</c:v>
                </c:pt>
                <c:pt idx="430">
                  <c:v>31788160</c:v>
                </c:pt>
                <c:pt idx="431">
                  <c:v>33335721</c:v>
                </c:pt>
                <c:pt idx="432">
                  <c:v>26184716</c:v>
                </c:pt>
                <c:pt idx="433">
                  <c:v>22179022</c:v>
                </c:pt>
                <c:pt idx="434">
                  <c:v>24586921</c:v>
                </c:pt>
                <c:pt idx="435">
                  <c:v>18604340</c:v>
                </c:pt>
                <c:pt idx="436">
                  <c:v>18082775</c:v>
                </c:pt>
                <c:pt idx="437">
                  <c:v>18047063</c:v>
                </c:pt>
                <c:pt idx="438">
                  <c:v>26963485</c:v>
                </c:pt>
                <c:pt idx="439">
                  <c:v>22310207</c:v>
                </c:pt>
                <c:pt idx="440">
                  <c:v>17691477</c:v>
                </c:pt>
                <c:pt idx="441">
                  <c:v>17744386</c:v>
                </c:pt>
                <c:pt idx="442">
                  <c:v>16522014</c:v>
                </c:pt>
                <c:pt idx="443">
                  <c:v>18701403</c:v>
                </c:pt>
                <c:pt idx="444">
                  <c:v>16512053</c:v>
                </c:pt>
                <c:pt idx="445">
                  <c:v>35111203</c:v>
                </c:pt>
                <c:pt idx="446">
                  <c:v>13540471</c:v>
                </c:pt>
                <c:pt idx="447">
                  <c:v>24411865</c:v>
                </c:pt>
                <c:pt idx="448">
                  <c:v>24500511</c:v>
                </c:pt>
                <c:pt idx="449">
                  <c:v>10701849</c:v>
                </c:pt>
                <c:pt idx="450">
                  <c:v>17011704</c:v>
                </c:pt>
                <c:pt idx="451">
                  <c:v>14382348</c:v>
                </c:pt>
                <c:pt idx="452">
                  <c:v>12907339</c:v>
                </c:pt>
                <c:pt idx="453">
                  <c:v>31199038</c:v>
                </c:pt>
                <c:pt idx="454">
                  <c:v>11541956</c:v>
                </c:pt>
                <c:pt idx="455">
                  <c:v>20245091</c:v>
                </c:pt>
                <c:pt idx="456">
                  <c:v>26795704</c:v>
                </c:pt>
                <c:pt idx="457">
                  <c:v>20287609</c:v>
                </c:pt>
                <c:pt idx="458">
                  <c:v>25718615</c:v>
                </c:pt>
                <c:pt idx="459">
                  <c:v>17739844</c:v>
                </c:pt>
                <c:pt idx="460">
                  <c:v>14968661</c:v>
                </c:pt>
                <c:pt idx="461">
                  <c:v>15968338</c:v>
                </c:pt>
                <c:pt idx="462">
                  <c:v>13024778</c:v>
                </c:pt>
                <c:pt idx="463">
                  <c:v>11113377</c:v>
                </c:pt>
                <c:pt idx="464">
                  <c:v>11954564</c:v>
                </c:pt>
                <c:pt idx="465">
                  <c:v>14422870</c:v>
                </c:pt>
                <c:pt idx="466">
                  <c:v>17519355</c:v>
                </c:pt>
                <c:pt idx="467">
                  <c:v>12127920</c:v>
                </c:pt>
                <c:pt idx="468">
                  <c:v>21868988</c:v>
                </c:pt>
                <c:pt idx="469">
                  <c:v>30751752</c:v>
                </c:pt>
                <c:pt idx="470">
                  <c:v>15734247</c:v>
                </c:pt>
                <c:pt idx="471">
                  <c:v>37560542</c:v>
                </c:pt>
                <c:pt idx="472">
                  <c:v>25446093</c:v>
                </c:pt>
                <c:pt idx="473">
                  <c:v>31930439</c:v>
                </c:pt>
                <c:pt idx="474">
                  <c:v>23477875</c:v>
                </c:pt>
                <c:pt idx="475">
                  <c:v>20206131</c:v>
                </c:pt>
                <c:pt idx="476">
                  <c:v>28001438</c:v>
                </c:pt>
                <c:pt idx="477">
                  <c:v>22017634</c:v>
                </c:pt>
                <c:pt idx="478">
                  <c:v>16065822</c:v>
                </c:pt>
                <c:pt idx="479">
                  <c:v>15779677</c:v>
                </c:pt>
                <c:pt idx="480">
                  <c:v>12302522</c:v>
                </c:pt>
                <c:pt idx="481">
                  <c:v>19823743</c:v>
                </c:pt>
                <c:pt idx="482">
                  <c:v>12603100</c:v>
                </c:pt>
                <c:pt idx="483">
                  <c:v>12893433</c:v>
                </c:pt>
                <c:pt idx="484">
                  <c:v>11194950</c:v>
                </c:pt>
                <c:pt idx="485">
                  <c:v>14467499</c:v>
                </c:pt>
                <c:pt idx="486">
                  <c:v>8626353</c:v>
                </c:pt>
                <c:pt idx="487">
                  <c:v>10409670</c:v>
                </c:pt>
                <c:pt idx="488">
                  <c:v>13874008</c:v>
                </c:pt>
                <c:pt idx="489">
                  <c:v>9947873</c:v>
                </c:pt>
                <c:pt idx="490">
                  <c:v>9410364</c:v>
                </c:pt>
                <c:pt idx="491">
                  <c:v>6218635</c:v>
                </c:pt>
                <c:pt idx="492">
                  <c:v>11230239</c:v>
                </c:pt>
                <c:pt idx="493">
                  <c:v>10110022</c:v>
                </c:pt>
                <c:pt idx="494">
                  <c:v>18180676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8-481F-A9F4-9D03874C4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471739"/>
        <c:axId val="28416108"/>
      </c:barChart>
      <c:lineChart>
        <c:grouping val="standard"/>
        <c:varyColors val="0"/>
        <c:ser>
          <c:idx val="1"/>
          <c:order val="1"/>
          <c:tx>
            <c:strRef>
              <c:f>ITC!$H$1</c:f>
              <c:strCache>
                <c:ptCount val="1"/>
                <c:pt idx="0">
                  <c:v>CLOSE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ITC!$A$2:$A$496</c:f>
              <c:numCache>
                <c:formatCode>d\-mmm\-yy</c:formatCode>
                <c:ptCount val="495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45614</c:v>
                </c:pt>
                <c:pt idx="97">
                  <c:v>45615</c:v>
                </c:pt>
                <c:pt idx="98">
                  <c:v>45617</c:v>
                </c:pt>
                <c:pt idx="99">
                  <c:v>45618</c:v>
                </c:pt>
                <c:pt idx="100">
                  <c:v>45621</c:v>
                </c:pt>
                <c:pt idx="101">
                  <c:v>45622</c:v>
                </c:pt>
                <c:pt idx="102">
                  <c:v>45623</c:v>
                </c:pt>
                <c:pt idx="103">
                  <c:v>45624</c:v>
                </c:pt>
                <c:pt idx="104">
                  <c:v>45625</c:v>
                </c:pt>
                <c:pt idx="105">
                  <c:v>45628</c:v>
                </c:pt>
                <c:pt idx="106">
                  <c:v>45629</c:v>
                </c:pt>
                <c:pt idx="107">
                  <c:v>45630</c:v>
                </c:pt>
                <c:pt idx="108">
                  <c:v>45631</c:v>
                </c:pt>
                <c:pt idx="109">
                  <c:v>45632</c:v>
                </c:pt>
                <c:pt idx="110">
                  <c:v>45635</c:v>
                </c:pt>
                <c:pt idx="111">
                  <c:v>45636</c:v>
                </c:pt>
                <c:pt idx="112">
                  <c:v>45637</c:v>
                </c:pt>
                <c:pt idx="113">
                  <c:v>45638</c:v>
                </c:pt>
                <c:pt idx="114">
                  <c:v>45639</c:v>
                </c:pt>
                <c:pt idx="115">
                  <c:v>45642</c:v>
                </c:pt>
                <c:pt idx="116">
                  <c:v>45643</c:v>
                </c:pt>
                <c:pt idx="117">
                  <c:v>45644</c:v>
                </c:pt>
                <c:pt idx="118">
                  <c:v>45645</c:v>
                </c:pt>
                <c:pt idx="119">
                  <c:v>45646</c:v>
                </c:pt>
                <c:pt idx="120">
                  <c:v>45649</c:v>
                </c:pt>
                <c:pt idx="121">
                  <c:v>45650</c:v>
                </c:pt>
                <c:pt idx="122">
                  <c:v>45652</c:v>
                </c:pt>
                <c:pt idx="123">
                  <c:v>45653</c:v>
                </c:pt>
                <c:pt idx="124">
                  <c:v>45656</c:v>
                </c:pt>
                <c:pt idx="125">
                  <c:v>45657</c:v>
                </c:pt>
                <c:pt idx="126">
                  <c:v>45658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45666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45677</c:v>
                </c:pt>
                <c:pt idx="140">
                  <c:v>45678</c:v>
                </c:pt>
                <c:pt idx="141">
                  <c:v>45679</c:v>
                </c:pt>
                <c:pt idx="142">
                  <c:v>45680</c:v>
                </c:pt>
                <c:pt idx="143">
                  <c:v>45681</c:v>
                </c:pt>
                <c:pt idx="144">
                  <c:v>45684</c:v>
                </c:pt>
                <c:pt idx="145">
                  <c:v>45685</c:v>
                </c:pt>
                <c:pt idx="146">
                  <c:v>45686</c:v>
                </c:pt>
                <c:pt idx="147">
                  <c:v>45687</c:v>
                </c:pt>
                <c:pt idx="148">
                  <c:v>45688</c:v>
                </c:pt>
                <c:pt idx="149">
                  <c:v>45689</c:v>
                </c:pt>
                <c:pt idx="150">
                  <c:v>45691</c:v>
                </c:pt>
                <c:pt idx="151">
                  <c:v>45692</c:v>
                </c:pt>
                <c:pt idx="152">
                  <c:v>45693</c:v>
                </c:pt>
                <c:pt idx="153">
                  <c:v>45694</c:v>
                </c:pt>
                <c:pt idx="154">
                  <c:v>45695</c:v>
                </c:pt>
                <c:pt idx="155">
                  <c:v>45698</c:v>
                </c:pt>
                <c:pt idx="156">
                  <c:v>45699</c:v>
                </c:pt>
                <c:pt idx="157">
                  <c:v>45700</c:v>
                </c:pt>
                <c:pt idx="158">
                  <c:v>45701</c:v>
                </c:pt>
                <c:pt idx="159">
                  <c:v>45702</c:v>
                </c:pt>
                <c:pt idx="160">
                  <c:v>45705</c:v>
                </c:pt>
                <c:pt idx="161">
                  <c:v>45706</c:v>
                </c:pt>
                <c:pt idx="162">
                  <c:v>45707</c:v>
                </c:pt>
                <c:pt idx="163">
                  <c:v>45708</c:v>
                </c:pt>
                <c:pt idx="164">
                  <c:v>45709</c:v>
                </c:pt>
                <c:pt idx="165">
                  <c:v>45712</c:v>
                </c:pt>
                <c:pt idx="166">
                  <c:v>45713</c:v>
                </c:pt>
                <c:pt idx="167">
                  <c:v>45715</c:v>
                </c:pt>
                <c:pt idx="168">
                  <c:v>45716</c:v>
                </c:pt>
                <c:pt idx="169">
                  <c:v>45719</c:v>
                </c:pt>
                <c:pt idx="170">
                  <c:v>45720</c:v>
                </c:pt>
                <c:pt idx="171">
                  <c:v>45721</c:v>
                </c:pt>
                <c:pt idx="172">
                  <c:v>45722</c:v>
                </c:pt>
                <c:pt idx="173">
                  <c:v>45723</c:v>
                </c:pt>
                <c:pt idx="174">
                  <c:v>45726</c:v>
                </c:pt>
                <c:pt idx="175">
                  <c:v>45727</c:v>
                </c:pt>
                <c:pt idx="176">
                  <c:v>45728</c:v>
                </c:pt>
                <c:pt idx="177">
                  <c:v>45729</c:v>
                </c:pt>
                <c:pt idx="178">
                  <c:v>45733</c:v>
                </c:pt>
                <c:pt idx="179">
                  <c:v>45734</c:v>
                </c:pt>
                <c:pt idx="180">
                  <c:v>45735</c:v>
                </c:pt>
                <c:pt idx="181">
                  <c:v>45736</c:v>
                </c:pt>
                <c:pt idx="182">
                  <c:v>45737</c:v>
                </c:pt>
                <c:pt idx="183">
                  <c:v>45740</c:v>
                </c:pt>
                <c:pt idx="184">
                  <c:v>45741</c:v>
                </c:pt>
                <c:pt idx="185">
                  <c:v>45742</c:v>
                </c:pt>
                <c:pt idx="186">
                  <c:v>45743</c:v>
                </c:pt>
                <c:pt idx="187">
                  <c:v>45744</c:v>
                </c:pt>
                <c:pt idx="188">
                  <c:v>45748</c:v>
                </c:pt>
                <c:pt idx="189">
                  <c:v>45749</c:v>
                </c:pt>
                <c:pt idx="190">
                  <c:v>45750</c:v>
                </c:pt>
                <c:pt idx="191">
                  <c:v>45751</c:v>
                </c:pt>
                <c:pt idx="192">
                  <c:v>45754</c:v>
                </c:pt>
                <c:pt idx="193">
                  <c:v>45755</c:v>
                </c:pt>
                <c:pt idx="194">
                  <c:v>45756</c:v>
                </c:pt>
                <c:pt idx="195">
                  <c:v>45758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45798</c:v>
                </c:pt>
                <c:pt idx="221">
                  <c:v>45799</c:v>
                </c:pt>
                <c:pt idx="222">
                  <c:v>45800</c:v>
                </c:pt>
                <c:pt idx="223">
                  <c:v>45803</c:v>
                </c:pt>
                <c:pt idx="224">
                  <c:v>45804</c:v>
                </c:pt>
                <c:pt idx="225">
                  <c:v>45805</c:v>
                </c:pt>
                <c:pt idx="226">
                  <c:v>45806</c:v>
                </c:pt>
                <c:pt idx="227">
                  <c:v>45807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45817</c:v>
                </c:pt>
                <c:pt idx="234">
                  <c:v>45818</c:v>
                </c:pt>
                <c:pt idx="235">
                  <c:v>45819</c:v>
                </c:pt>
                <c:pt idx="236">
                  <c:v>45820</c:v>
                </c:pt>
                <c:pt idx="237">
                  <c:v>45821</c:v>
                </c:pt>
                <c:pt idx="238">
                  <c:v>45824</c:v>
                </c:pt>
                <c:pt idx="239">
                  <c:v>45825</c:v>
                </c:pt>
                <c:pt idx="240">
                  <c:v>45826</c:v>
                </c:pt>
                <c:pt idx="241">
                  <c:v>45827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45842</c:v>
                </c:pt>
                <c:pt idx="253">
                  <c:v>45845</c:v>
                </c:pt>
                <c:pt idx="254">
                  <c:v>45846</c:v>
                </c:pt>
                <c:pt idx="255">
                  <c:v>45847</c:v>
                </c:pt>
                <c:pt idx="256">
                  <c:v>45848</c:v>
                </c:pt>
                <c:pt idx="257">
                  <c:v>45849</c:v>
                </c:pt>
                <c:pt idx="258">
                  <c:v>45852</c:v>
                </c:pt>
                <c:pt idx="259">
                  <c:v>45853</c:v>
                </c:pt>
                <c:pt idx="260">
                  <c:v>45854</c:v>
                </c:pt>
                <c:pt idx="261">
                  <c:v>45855</c:v>
                </c:pt>
                <c:pt idx="262">
                  <c:v>45856</c:v>
                </c:pt>
                <c:pt idx="263">
                  <c:v>45859</c:v>
                </c:pt>
                <c:pt idx="264">
                  <c:v>45860</c:v>
                </c:pt>
                <c:pt idx="265">
                  <c:v>45861</c:v>
                </c:pt>
                <c:pt idx="266">
                  <c:v>45862</c:v>
                </c:pt>
                <c:pt idx="267">
                  <c:v>45863</c:v>
                </c:pt>
                <c:pt idx="268">
                  <c:v>45866</c:v>
                </c:pt>
                <c:pt idx="269">
                  <c:v>45867</c:v>
                </c:pt>
                <c:pt idx="270">
                  <c:v>45868</c:v>
                </c:pt>
                <c:pt idx="271">
                  <c:v>45869</c:v>
                </c:pt>
                <c:pt idx="272">
                  <c:v>45870</c:v>
                </c:pt>
                <c:pt idx="273">
                  <c:v>45873</c:v>
                </c:pt>
                <c:pt idx="274">
                  <c:v>45874</c:v>
                </c:pt>
                <c:pt idx="275">
                  <c:v>45875</c:v>
                </c:pt>
                <c:pt idx="276">
                  <c:v>45876</c:v>
                </c:pt>
                <c:pt idx="277">
                  <c:v>45877</c:v>
                </c:pt>
                <c:pt idx="278">
                  <c:v>45880</c:v>
                </c:pt>
                <c:pt idx="279">
                  <c:v>45881</c:v>
                </c:pt>
                <c:pt idx="280">
                  <c:v>45882</c:v>
                </c:pt>
                <c:pt idx="281">
                  <c:v>45883</c:v>
                </c:pt>
                <c:pt idx="282">
                  <c:v>45887</c:v>
                </c:pt>
                <c:pt idx="283">
                  <c:v>45888</c:v>
                </c:pt>
                <c:pt idx="284">
                  <c:v>45889</c:v>
                </c:pt>
                <c:pt idx="285">
                  <c:v>45890</c:v>
                </c:pt>
                <c:pt idx="286">
                  <c:v>45891</c:v>
                </c:pt>
                <c:pt idx="287">
                  <c:v>45894</c:v>
                </c:pt>
                <c:pt idx="288">
                  <c:v>45895</c:v>
                </c:pt>
                <c:pt idx="289">
                  <c:v>45897</c:v>
                </c:pt>
                <c:pt idx="290">
                  <c:v>45898</c:v>
                </c:pt>
                <c:pt idx="291">
                  <c:v>45901</c:v>
                </c:pt>
                <c:pt idx="292">
                  <c:v>45902</c:v>
                </c:pt>
                <c:pt idx="293">
                  <c:v>45903</c:v>
                </c:pt>
                <c:pt idx="294">
                  <c:v>45904</c:v>
                </c:pt>
                <c:pt idx="295">
                  <c:v>45905</c:v>
                </c:pt>
                <c:pt idx="296">
                  <c:v>45908</c:v>
                </c:pt>
                <c:pt idx="297">
                  <c:v>45909</c:v>
                </c:pt>
                <c:pt idx="298">
                  <c:v>45910</c:v>
                </c:pt>
                <c:pt idx="299">
                  <c:v>45911</c:v>
                </c:pt>
                <c:pt idx="300">
                  <c:v>45912</c:v>
                </c:pt>
                <c:pt idx="301">
                  <c:v>45915</c:v>
                </c:pt>
                <c:pt idx="302">
                  <c:v>45916</c:v>
                </c:pt>
                <c:pt idx="303">
                  <c:v>45917</c:v>
                </c:pt>
                <c:pt idx="304">
                  <c:v>45918</c:v>
                </c:pt>
                <c:pt idx="305">
                  <c:v>45919</c:v>
                </c:pt>
                <c:pt idx="306">
                  <c:v>45922</c:v>
                </c:pt>
                <c:pt idx="307">
                  <c:v>45923</c:v>
                </c:pt>
                <c:pt idx="308">
                  <c:v>45924</c:v>
                </c:pt>
                <c:pt idx="309">
                  <c:v>45925</c:v>
                </c:pt>
                <c:pt idx="310">
                  <c:v>45926</c:v>
                </c:pt>
                <c:pt idx="311">
                  <c:v>45929</c:v>
                </c:pt>
                <c:pt idx="312">
                  <c:v>45930</c:v>
                </c:pt>
                <c:pt idx="313">
                  <c:v>45931</c:v>
                </c:pt>
                <c:pt idx="314">
                  <c:v>45933</c:v>
                </c:pt>
                <c:pt idx="315">
                  <c:v>45936</c:v>
                </c:pt>
                <c:pt idx="316">
                  <c:v>45937</c:v>
                </c:pt>
                <c:pt idx="317">
                  <c:v>45938</c:v>
                </c:pt>
                <c:pt idx="318">
                  <c:v>45939</c:v>
                </c:pt>
                <c:pt idx="319">
                  <c:v>45940</c:v>
                </c:pt>
                <c:pt idx="320">
                  <c:v>45943</c:v>
                </c:pt>
                <c:pt idx="321">
                  <c:v>45944</c:v>
                </c:pt>
                <c:pt idx="322">
                  <c:v>45945</c:v>
                </c:pt>
                <c:pt idx="323">
                  <c:v>45946</c:v>
                </c:pt>
                <c:pt idx="324">
                  <c:v>45947</c:v>
                </c:pt>
                <c:pt idx="325">
                  <c:v>45950</c:v>
                </c:pt>
                <c:pt idx="326">
                  <c:v>45951</c:v>
                </c:pt>
                <c:pt idx="327">
                  <c:v>45953</c:v>
                </c:pt>
                <c:pt idx="328">
                  <c:v>45954</c:v>
                </c:pt>
                <c:pt idx="329">
                  <c:v>45957</c:v>
                </c:pt>
                <c:pt idx="330">
                  <c:v>45958</c:v>
                </c:pt>
                <c:pt idx="331">
                  <c:v>45959</c:v>
                </c:pt>
                <c:pt idx="332">
                  <c:v>45960</c:v>
                </c:pt>
                <c:pt idx="333">
                  <c:v>45961</c:v>
                </c:pt>
                <c:pt idx="334">
                  <c:v>45964</c:v>
                </c:pt>
                <c:pt idx="335">
                  <c:v>45965</c:v>
                </c:pt>
                <c:pt idx="336">
                  <c:v>45967</c:v>
                </c:pt>
                <c:pt idx="337">
                  <c:v>45968</c:v>
                </c:pt>
                <c:pt idx="338">
                  <c:v>45971</c:v>
                </c:pt>
                <c:pt idx="339">
                  <c:v>45972</c:v>
                </c:pt>
                <c:pt idx="340">
                  <c:v>45973</c:v>
                </c:pt>
                <c:pt idx="341">
                  <c:v>45974</c:v>
                </c:pt>
                <c:pt idx="342">
                  <c:v>45975</c:v>
                </c:pt>
                <c:pt idx="343">
                  <c:v>45978</c:v>
                </c:pt>
                <c:pt idx="344">
                  <c:v>45979</c:v>
                </c:pt>
                <c:pt idx="345">
                  <c:v>45980</c:v>
                </c:pt>
                <c:pt idx="346">
                  <c:v>45981</c:v>
                </c:pt>
                <c:pt idx="347">
                  <c:v>45982</c:v>
                </c:pt>
                <c:pt idx="348">
                  <c:v>45985</c:v>
                </c:pt>
                <c:pt idx="349">
                  <c:v>45986</c:v>
                </c:pt>
                <c:pt idx="350">
                  <c:v>45987</c:v>
                </c:pt>
                <c:pt idx="351">
                  <c:v>45988</c:v>
                </c:pt>
                <c:pt idx="352">
                  <c:v>45989</c:v>
                </c:pt>
                <c:pt idx="353">
                  <c:v>45992</c:v>
                </c:pt>
                <c:pt idx="354">
                  <c:v>45993</c:v>
                </c:pt>
                <c:pt idx="355">
                  <c:v>45994</c:v>
                </c:pt>
                <c:pt idx="356">
                  <c:v>45995</c:v>
                </c:pt>
                <c:pt idx="357">
                  <c:v>45996</c:v>
                </c:pt>
                <c:pt idx="358">
                  <c:v>45999</c:v>
                </c:pt>
                <c:pt idx="359">
                  <c:v>46000</c:v>
                </c:pt>
                <c:pt idx="360">
                  <c:v>46001</c:v>
                </c:pt>
                <c:pt idx="361">
                  <c:v>46002</c:v>
                </c:pt>
                <c:pt idx="362">
                  <c:v>46003</c:v>
                </c:pt>
                <c:pt idx="363">
                  <c:v>46006</c:v>
                </c:pt>
                <c:pt idx="364">
                  <c:v>46007</c:v>
                </c:pt>
                <c:pt idx="365">
                  <c:v>46008</c:v>
                </c:pt>
                <c:pt idx="366">
                  <c:v>46009</c:v>
                </c:pt>
                <c:pt idx="367">
                  <c:v>46010</c:v>
                </c:pt>
                <c:pt idx="368">
                  <c:v>46013</c:v>
                </c:pt>
                <c:pt idx="369">
                  <c:v>46014</c:v>
                </c:pt>
                <c:pt idx="370">
                  <c:v>46015</c:v>
                </c:pt>
                <c:pt idx="371">
                  <c:v>46017</c:v>
                </c:pt>
                <c:pt idx="372">
                  <c:v>46020</c:v>
                </c:pt>
                <c:pt idx="373">
                  <c:v>46021</c:v>
                </c:pt>
                <c:pt idx="374">
                  <c:v>46022</c:v>
                </c:pt>
                <c:pt idx="375">
                  <c:v>46023</c:v>
                </c:pt>
                <c:pt idx="376">
                  <c:v>46024</c:v>
                </c:pt>
                <c:pt idx="377">
                  <c:v>46027</c:v>
                </c:pt>
                <c:pt idx="378">
                  <c:v>46028</c:v>
                </c:pt>
                <c:pt idx="379">
                  <c:v>46029</c:v>
                </c:pt>
                <c:pt idx="380">
                  <c:v>46030</c:v>
                </c:pt>
                <c:pt idx="381">
                  <c:v>46031</c:v>
                </c:pt>
                <c:pt idx="382">
                  <c:v>46034</c:v>
                </c:pt>
                <c:pt idx="383">
                  <c:v>46035</c:v>
                </c:pt>
                <c:pt idx="384">
                  <c:v>46036</c:v>
                </c:pt>
                <c:pt idx="385">
                  <c:v>46038</c:v>
                </c:pt>
                <c:pt idx="386">
                  <c:v>46041</c:v>
                </c:pt>
                <c:pt idx="387">
                  <c:v>46042</c:v>
                </c:pt>
                <c:pt idx="388">
                  <c:v>46043</c:v>
                </c:pt>
                <c:pt idx="389">
                  <c:v>46044</c:v>
                </c:pt>
                <c:pt idx="390">
                  <c:v>46045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46062</c:v>
                </c:pt>
                <c:pt idx="402">
                  <c:v>46063</c:v>
                </c:pt>
                <c:pt idx="403">
                  <c:v>46064</c:v>
                </c:pt>
                <c:pt idx="404">
                  <c:v>46065</c:v>
                </c:pt>
                <c:pt idx="405">
                  <c:v>46066</c:v>
                </c:pt>
                <c:pt idx="406">
                  <c:v>46069</c:v>
                </c:pt>
                <c:pt idx="407">
                  <c:v>46070</c:v>
                </c:pt>
                <c:pt idx="408">
                  <c:v>46071</c:v>
                </c:pt>
                <c:pt idx="409">
                  <c:v>46072</c:v>
                </c:pt>
                <c:pt idx="410">
                  <c:v>46073</c:v>
                </c:pt>
                <c:pt idx="411">
                  <c:v>46076</c:v>
                </c:pt>
                <c:pt idx="412">
                  <c:v>46077</c:v>
                </c:pt>
                <c:pt idx="413">
                  <c:v>46078</c:v>
                </c:pt>
                <c:pt idx="414">
                  <c:v>46079</c:v>
                </c:pt>
                <c:pt idx="415">
                  <c:v>46080</c:v>
                </c:pt>
                <c:pt idx="416">
                  <c:v>46083</c:v>
                </c:pt>
                <c:pt idx="417">
                  <c:v>46085</c:v>
                </c:pt>
                <c:pt idx="418">
                  <c:v>46086</c:v>
                </c:pt>
                <c:pt idx="419">
                  <c:v>46087</c:v>
                </c:pt>
                <c:pt idx="420">
                  <c:v>46090</c:v>
                </c:pt>
                <c:pt idx="421">
                  <c:v>46091</c:v>
                </c:pt>
                <c:pt idx="422">
                  <c:v>46092</c:v>
                </c:pt>
                <c:pt idx="423">
                  <c:v>46093</c:v>
                </c:pt>
                <c:pt idx="424">
                  <c:v>46094</c:v>
                </c:pt>
                <c:pt idx="425">
                  <c:v>46097</c:v>
                </c:pt>
                <c:pt idx="426">
                  <c:v>46098</c:v>
                </c:pt>
                <c:pt idx="427">
                  <c:v>46099</c:v>
                </c:pt>
                <c:pt idx="428">
                  <c:v>46100</c:v>
                </c:pt>
                <c:pt idx="429">
                  <c:v>46101</c:v>
                </c:pt>
                <c:pt idx="430">
                  <c:v>46104</c:v>
                </c:pt>
                <c:pt idx="431">
                  <c:v>46105</c:v>
                </c:pt>
                <c:pt idx="432">
                  <c:v>46106</c:v>
                </c:pt>
                <c:pt idx="433">
                  <c:v>46108</c:v>
                </c:pt>
                <c:pt idx="434">
                  <c:v>46111</c:v>
                </c:pt>
                <c:pt idx="435">
                  <c:v>46113</c:v>
                </c:pt>
                <c:pt idx="436">
                  <c:v>46114</c:v>
                </c:pt>
                <c:pt idx="437">
                  <c:v>46118</c:v>
                </c:pt>
                <c:pt idx="438">
                  <c:v>46119</c:v>
                </c:pt>
                <c:pt idx="439">
                  <c:v>46120</c:v>
                </c:pt>
                <c:pt idx="440">
                  <c:v>46121</c:v>
                </c:pt>
                <c:pt idx="441">
                  <c:v>46122</c:v>
                </c:pt>
                <c:pt idx="442">
                  <c:v>46125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46132</c:v>
                </c:pt>
                <c:pt idx="447">
                  <c:v>46133</c:v>
                </c:pt>
                <c:pt idx="448">
                  <c:v>46134</c:v>
                </c:pt>
                <c:pt idx="449">
                  <c:v>46135</c:v>
                </c:pt>
                <c:pt idx="450">
                  <c:v>46136</c:v>
                </c:pt>
                <c:pt idx="451">
                  <c:v>46139</c:v>
                </c:pt>
                <c:pt idx="452">
                  <c:v>46140</c:v>
                </c:pt>
                <c:pt idx="453">
                  <c:v>46141</c:v>
                </c:pt>
                <c:pt idx="454">
                  <c:v>46142</c:v>
                </c:pt>
                <c:pt idx="455">
                  <c:v>46146</c:v>
                </c:pt>
                <c:pt idx="456">
                  <c:v>46147</c:v>
                </c:pt>
                <c:pt idx="457">
                  <c:v>46148</c:v>
                </c:pt>
                <c:pt idx="458">
                  <c:v>46149</c:v>
                </c:pt>
                <c:pt idx="459">
                  <c:v>46150</c:v>
                </c:pt>
                <c:pt idx="460">
                  <c:v>46153</c:v>
                </c:pt>
                <c:pt idx="461">
                  <c:v>46154</c:v>
                </c:pt>
                <c:pt idx="462">
                  <c:v>46155</c:v>
                </c:pt>
                <c:pt idx="463">
                  <c:v>46156</c:v>
                </c:pt>
                <c:pt idx="464">
                  <c:v>46157</c:v>
                </c:pt>
                <c:pt idx="465">
                  <c:v>46160</c:v>
                </c:pt>
                <c:pt idx="466">
                  <c:v>46161</c:v>
                </c:pt>
                <c:pt idx="467">
                  <c:v>46162</c:v>
                </c:pt>
                <c:pt idx="468">
                  <c:v>46163</c:v>
                </c:pt>
                <c:pt idx="469">
                  <c:v>46164</c:v>
                </c:pt>
                <c:pt idx="470">
                  <c:v>46167</c:v>
                </c:pt>
                <c:pt idx="471">
                  <c:v>46168</c:v>
                </c:pt>
                <c:pt idx="472">
                  <c:v>46169</c:v>
                </c:pt>
                <c:pt idx="473">
                  <c:v>46171</c:v>
                </c:pt>
                <c:pt idx="474">
                  <c:v>46174</c:v>
                </c:pt>
                <c:pt idx="475">
                  <c:v>46175</c:v>
                </c:pt>
                <c:pt idx="476">
                  <c:v>46176</c:v>
                </c:pt>
                <c:pt idx="477">
                  <c:v>46177</c:v>
                </c:pt>
                <c:pt idx="478">
                  <c:v>46178</c:v>
                </c:pt>
                <c:pt idx="479">
                  <c:v>46181</c:v>
                </c:pt>
                <c:pt idx="480">
                  <c:v>46182</c:v>
                </c:pt>
                <c:pt idx="481">
                  <c:v>46183</c:v>
                </c:pt>
                <c:pt idx="482">
                  <c:v>46184</c:v>
                </c:pt>
                <c:pt idx="483">
                  <c:v>46185</c:v>
                </c:pt>
                <c:pt idx="484">
                  <c:v>46188</c:v>
                </c:pt>
                <c:pt idx="485">
                  <c:v>46189</c:v>
                </c:pt>
                <c:pt idx="486">
                  <c:v>46190</c:v>
                </c:pt>
                <c:pt idx="487">
                  <c:v>46191</c:v>
                </c:pt>
                <c:pt idx="488">
                  <c:v>46192</c:v>
                </c:pt>
                <c:pt idx="489">
                  <c:v>46195</c:v>
                </c:pt>
                <c:pt idx="490">
                  <c:v>46196</c:v>
                </c:pt>
                <c:pt idx="491">
                  <c:v>46197</c:v>
                </c:pt>
                <c:pt idx="492">
                  <c:v>46198</c:v>
                </c:pt>
                <c:pt idx="493">
                  <c:v>46202</c:v>
                </c:pt>
                <c:pt idx="494">
                  <c:v>46203</c:v>
                </c:pt>
              </c:numCache>
            </c:numRef>
          </c:cat>
          <c:val>
            <c:numRef>
              <c:f>ITC!$H$2:$H$496</c:f>
              <c:numCache>
                <c:formatCode>General</c:formatCode>
                <c:ptCount val="495"/>
                <c:pt idx="0">
                  <c:v>429.05</c:v>
                </c:pt>
                <c:pt idx="1">
                  <c:v>425.5</c:v>
                </c:pt>
                <c:pt idx="2">
                  <c:v>428.3</c:v>
                </c:pt>
                <c:pt idx="3">
                  <c:v>429.05</c:v>
                </c:pt>
                <c:pt idx="4">
                  <c:v>433.65</c:v>
                </c:pt>
                <c:pt idx="5">
                  <c:v>443.6</c:v>
                </c:pt>
                <c:pt idx="6">
                  <c:v>452.6</c:v>
                </c:pt>
                <c:pt idx="7">
                  <c:v>451.45</c:v>
                </c:pt>
                <c:pt idx="8">
                  <c:v>458.65</c:v>
                </c:pt>
                <c:pt idx="9">
                  <c:v>459.05</c:v>
                </c:pt>
                <c:pt idx="10">
                  <c:v>463.4</c:v>
                </c:pt>
                <c:pt idx="11">
                  <c:v>465.55</c:v>
                </c:pt>
                <c:pt idx="12">
                  <c:v>470.25</c:v>
                </c:pt>
                <c:pt idx="13">
                  <c:v>474.55</c:v>
                </c:pt>
                <c:pt idx="14">
                  <c:v>466.55</c:v>
                </c:pt>
                <c:pt idx="15">
                  <c:v>492.2</c:v>
                </c:pt>
                <c:pt idx="16">
                  <c:v>494.05</c:v>
                </c:pt>
                <c:pt idx="17">
                  <c:v>489.95</c:v>
                </c:pt>
                <c:pt idx="18">
                  <c:v>502.2</c:v>
                </c:pt>
                <c:pt idx="19">
                  <c:v>496.05</c:v>
                </c:pt>
                <c:pt idx="20">
                  <c:v>489.9</c:v>
                </c:pt>
                <c:pt idx="21">
                  <c:v>495.35</c:v>
                </c:pt>
                <c:pt idx="22">
                  <c:v>493.7</c:v>
                </c:pt>
                <c:pt idx="23">
                  <c:v>489.1</c:v>
                </c:pt>
                <c:pt idx="24">
                  <c:v>486</c:v>
                </c:pt>
                <c:pt idx="25">
                  <c:v>486.3</c:v>
                </c:pt>
                <c:pt idx="26">
                  <c:v>492.65</c:v>
                </c:pt>
                <c:pt idx="27">
                  <c:v>494.75</c:v>
                </c:pt>
                <c:pt idx="28">
                  <c:v>495.9</c:v>
                </c:pt>
                <c:pt idx="29">
                  <c:v>494.6</c:v>
                </c:pt>
                <c:pt idx="30">
                  <c:v>490</c:v>
                </c:pt>
                <c:pt idx="31">
                  <c:v>492.2</c:v>
                </c:pt>
                <c:pt idx="32">
                  <c:v>502.65</c:v>
                </c:pt>
                <c:pt idx="33">
                  <c:v>501.45</c:v>
                </c:pt>
                <c:pt idx="34">
                  <c:v>498.8</c:v>
                </c:pt>
                <c:pt idx="35">
                  <c:v>505.4</c:v>
                </c:pt>
                <c:pt idx="36">
                  <c:v>504.55</c:v>
                </c:pt>
                <c:pt idx="37">
                  <c:v>505.8</c:v>
                </c:pt>
                <c:pt idx="38">
                  <c:v>505.7</c:v>
                </c:pt>
                <c:pt idx="39">
                  <c:v>500.6</c:v>
                </c:pt>
                <c:pt idx="40">
                  <c:v>497.3</c:v>
                </c:pt>
                <c:pt idx="41">
                  <c:v>505.1</c:v>
                </c:pt>
                <c:pt idx="42">
                  <c:v>501.9</c:v>
                </c:pt>
                <c:pt idx="43">
                  <c:v>510.05</c:v>
                </c:pt>
                <c:pt idx="44">
                  <c:v>509.4</c:v>
                </c:pt>
                <c:pt idx="45">
                  <c:v>506.35</c:v>
                </c:pt>
                <c:pt idx="46">
                  <c:v>511.2</c:v>
                </c:pt>
                <c:pt idx="47">
                  <c:v>501.7</c:v>
                </c:pt>
                <c:pt idx="48">
                  <c:v>511.75</c:v>
                </c:pt>
                <c:pt idx="49">
                  <c:v>513.6</c:v>
                </c:pt>
                <c:pt idx="50">
                  <c:v>514.35</c:v>
                </c:pt>
                <c:pt idx="51">
                  <c:v>519.5</c:v>
                </c:pt>
                <c:pt idx="52">
                  <c:v>513.85</c:v>
                </c:pt>
                <c:pt idx="53">
                  <c:v>511.1</c:v>
                </c:pt>
                <c:pt idx="54">
                  <c:v>507.75</c:v>
                </c:pt>
                <c:pt idx="55">
                  <c:v>507.35</c:v>
                </c:pt>
                <c:pt idx="56">
                  <c:v>508.25</c:v>
                </c:pt>
                <c:pt idx="57">
                  <c:v>514.4</c:v>
                </c:pt>
                <c:pt idx="58">
                  <c:v>516.95000000000005</c:v>
                </c:pt>
                <c:pt idx="59">
                  <c:v>515.25</c:v>
                </c:pt>
                <c:pt idx="60">
                  <c:v>517.54999999999995</c:v>
                </c:pt>
                <c:pt idx="61">
                  <c:v>522.75</c:v>
                </c:pt>
                <c:pt idx="62">
                  <c:v>522.70000000000005</c:v>
                </c:pt>
                <c:pt idx="63">
                  <c:v>518.15</c:v>
                </c:pt>
                <c:pt idx="64">
                  <c:v>516.20000000000005</c:v>
                </c:pt>
                <c:pt idx="65">
                  <c:v>512.75</c:v>
                </c:pt>
                <c:pt idx="66">
                  <c:v>503.55</c:v>
                </c:pt>
                <c:pt idx="67">
                  <c:v>510.2</c:v>
                </c:pt>
                <c:pt idx="68">
                  <c:v>507.95</c:v>
                </c:pt>
                <c:pt idx="69">
                  <c:v>491.7</c:v>
                </c:pt>
                <c:pt idx="70">
                  <c:v>492.05</c:v>
                </c:pt>
                <c:pt idx="71">
                  <c:v>488.2</c:v>
                </c:pt>
                <c:pt idx="72">
                  <c:v>496.95</c:v>
                </c:pt>
                <c:pt idx="73">
                  <c:v>498.55</c:v>
                </c:pt>
                <c:pt idx="74">
                  <c:v>493.2</c:v>
                </c:pt>
                <c:pt idx="75">
                  <c:v>488.9</c:v>
                </c:pt>
                <c:pt idx="76">
                  <c:v>486.7</c:v>
                </c:pt>
                <c:pt idx="77">
                  <c:v>483.65</c:v>
                </c:pt>
                <c:pt idx="78">
                  <c:v>481.8</c:v>
                </c:pt>
                <c:pt idx="79">
                  <c:v>480.35</c:v>
                </c:pt>
                <c:pt idx="80">
                  <c:v>471.7</c:v>
                </c:pt>
                <c:pt idx="81">
                  <c:v>482.3</c:v>
                </c:pt>
                <c:pt idx="82">
                  <c:v>484.15</c:v>
                </c:pt>
                <c:pt idx="83">
                  <c:v>487.95</c:v>
                </c:pt>
                <c:pt idx="84">
                  <c:v>491.55</c:v>
                </c:pt>
                <c:pt idx="85">
                  <c:v>488.8</c:v>
                </c:pt>
                <c:pt idx="86">
                  <c:v>490.3</c:v>
                </c:pt>
                <c:pt idx="87">
                  <c:v>484.6</c:v>
                </c:pt>
                <c:pt idx="88">
                  <c:v>480.2</c:v>
                </c:pt>
                <c:pt idx="89">
                  <c:v>481.1</c:v>
                </c:pt>
                <c:pt idx="90">
                  <c:v>477.9</c:v>
                </c:pt>
                <c:pt idx="91">
                  <c:v>478.05</c:v>
                </c:pt>
                <c:pt idx="92">
                  <c:v>476.95</c:v>
                </c:pt>
                <c:pt idx="93">
                  <c:v>472.85</c:v>
                </c:pt>
                <c:pt idx="94">
                  <c:v>472.2</c:v>
                </c:pt>
                <c:pt idx="95">
                  <c:v>465.95</c:v>
                </c:pt>
                <c:pt idx="96">
                  <c:v>466.55</c:v>
                </c:pt>
                <c:pt idx="97">
                  <c:v>467.35</c:v>
                </c:pt>
                <c:pt idx="98">
                  <c:v>457.15</c:v>
                </c:pt>
                <c:pt idx="99">
                  <c:v>474.65</c:v>
                </c:pt>
                <c:pt idx="100">
                  <c:v>476.8</c:v>
                </c:pt>
                <c:pt idx="101">
                  <c:v>477</c:v>
                </c:pt>
                <c:pt idx="102">
                  <c:v>476.95</c:v>
                </c:pt>
                <c:pt idx="103">
                  <c:v>474.9</c:v>
                </c:pt>
                <c:pt idx="104">
                  <c:v>476.75</c:v>
                </c:pt>
                <c:pt idx="105">
                  <c:v>477.2</c:v>
                </c:pt>
                <c:pt idx="106">
                  <c:v>472.55</c:v>
                </c:pt>
                <c:pt idx="107">
                  <c:v>467.1</c:v>
                </c:pt>
                <c:pt idx="108">
                  <c:v>467.5</c:v>
                </c:pt>
                <c:pt idx="109">
                  <c:v>471.15</c:v>
                </c:pt>
                <c:pt idx="110">
                  <c:v>464.95</c:v>
                </c:pt>
                <c:pt idx="111">
                  <c:v>465.45</c:v>
                </c:pt>
                <c:pt idx="112">
                  <c:v>465.25</c:v>
                </c:pt>
                <c:pt idx="113">
                  <c:v>460.6</c:v>
                </c:pt>
                <c:pt idx="114">
                  <c:v>470</c:v>
                </c:pt>
                <c:pt idx="115">
                  <c:v>470.1</c:v>
                </c:pt>
                <c:pt idx="116">
                  <c:v>469.55</c:v>
                </c:pt>
                <c:pt idx="117">
                  <c:v>470.5</c:v>
                </c:pt>
                <c:pt idx="118">
                  <c:v>466.55</c:v>
                </c:pt>
                <c:pt idx="119">
                  <c:v>464.65</c:v>
                </c:pt>
                <c:pt idx="120">
                  <c:v>474.25</c:v>
                </c:pt>
                <c:pt idx="121">
                  <c:v>478.45</c:v>
                </c:pt>
                <c:pt idx="122">
                  <c:v>476.95</c:v>
                </c:pt>
                <c:pt idx="123">
                  <c:v>478.6</c:v>
                </c:pt>
                <c:pt idx="124">
                  <c:v>477</c:v>
                </c:pt>
                <c:pt idx="125">
                  <c:v>483.65</c:v>
                </c:pt>
                <c:pt idx="126">
                  <c:v>483.95</c:v>
                </c:pt>
                <c:pt idx="127">
                  <c:v>489.05</c:v>
                </c:pt>
                <c:pt idx="128">
                  <c:v>481.6</c:v>
                </c:pt>
                <c:pt idx="129">
                  <c:v>442.65</c:v>
                </c:pt>
                <c:pt idx="130">
                  <c:v>441.1</c:v>
                </c:pt>
                <c:pt idx="131">
                  <c:v>449.55</c:v>
                </c:pt>
                <c:pt idx="132">
                  <c:v>450.1</c:v>
                </c:pt>
                <c:pt idx="133">
                  <c:v>444.9</c:v>
                </c:pt>
                <c:pt idx="134">
                  <c:v>439.05</c:v>
                </c:pt>
                <c:pt idx="135">
                  <c:v>436.6</c:v>
                </c:pt>
                <c:pt idx="136">
                  <c:v>437.35</c:v>
                </c:pt>
                <c:pt idx="137">
                  <c:v>432.85</c:v>
                </c:pt>
                <c:pt idx="138">
                  <c:v>440.2</c:v>
                </c:pt>
                <c:pt idx="139">
                  <c:v>437.7</c:v>
                </c:pt>
                <c:pt idx="140">
                  <c:v>437.55</c:v>
                </c:pt>
                <c:pt idx="141">
                  <c:v>437</c:v>
                </c:pt>
                <c:pt idx="142">
                  <c:v>440.2</c:v>
                </c:pt>
                <c:pt idx="143">
                  <c:v>441.6</c:v>
                </c:pt>
                <c:pt idx="144">
                  <c:v>440.1</c:v>
                </c:pt>
                <c:pt idx="145">
                  <c:v>435.45</c:v>
                </c:pt>
                <c:pt idx="146">
                  <c:v>433.35</c:v>
                </c:pt>
                <c:pt idx="147">
                  <c:v>436.2</c:v>
                </c:pt>
                <c:pt idx="148">
                  <c:v>447.5</c:v>
                </c:pt>
                <c:pt idx="149">
                  <c:v>462.55</c:v>
                </c:pt>
                <c:pt idx="150">
                  <c:v>454.35</c:v>
                </c:pt>
                <c:pt idx="151">
                  <c:v>455.15</c:v>
                </c:pt>
                <c:pt idx="152">
                  <c:v>448.15</c:v>
                </c:pt>
                <c:pt idx="153">
                  <c:v>441.1</c:v>
                </c:pt>
                <c:pt idx="154">
                  <c:v>430.85</c:v>
                </c:pt>
                <c:pt idx="155">
                  <c:v>427.2</c:v>
                </c:pt>
                <c:pt idx="156">
                  <c:v>418.3</c:v>
                </c:pt>
                <c:pt idx="157">
                  <c:v>409.9</c:v>
                </c:pt>
                <c:pt idx="158">
                  <c:v>409.7</c:v>
                </c:pt>
                <c:pt idx="159">
                  <c:v>410.25</c:v>
                </c:pt>
                <c:pt idx="160">
                  <c:v>408.6</c:v>
                </c:pt>
                <c:pt idx="161">
                  <c:v>405.25</c:v>
                </c:pt>
                <c:pt idx="162">
                  <c:v>406.4</c:v>
                </c:pt>
                <c:pt idx="163">
                  <c:v>402.05</c:v>
                </c:pt>
                <c:pt idx="164">
                  <c:v>400.9</c:v>
                </c:pt>
                <c:pt idx="165">
                  <c:v>401.9</c:v>
                </c:pt>
                <c:pt idx="166">
                  <c:v>404.85</c:v>
                </c:pt>
                <c:pt idx="167">
                  <c:v>401.6</c:v>
                </c:pt>
                <c:pt idx="168">
                  <c:v>395</c:v>
                </c:pt>
                <c:pt idx="169">
                  <c:v>397.45</c:v>
                </c:pt>
                <c:pt idx="170">
                  <c:v>394.85</c:v>
                </c:pt>
                <c:pt idx="171">
                  <c:v>405.05</c:v>
                </c:pt>
                <c:pt idx="172">
                  <c:v>405.7</c:v>
                </c:pt>
                <c:pt idx="173">
                  <c:v>403.9</c:v>
                </c:pt>
                <c:pt idx="174">
                  <c:v>405</c:v>
                </c:pt>
                <c:pt idx="175">
                  <c:v>406.2</c:v>
                </c:pt>
                <c:pt idx="176">
                  <c:v>412.4</c:v>
                </c:pt>
                <c:pt idx="177">
                  <c:v>412.05</c:v>
                </c:pt>
                <c:pt idx="178">
                  <c:v>407.95</c:v>
                </c:pt>
                <c:pt idx="179">
                  <c:v>409.1</c:v>
                </c:pt>
                <c:pt idx="180">
                  <c:v>403.05</c:v>
                </c:pt>
                <c:pt idx="181">
                  <c:v>403.95</c:v>
                </c:pt>
                <c:pt idx="182">
                  <c:v>405.55</c:v>
                </c:pt>
                <c:pt idx="183">
                  <c:v>410.9</c:v>
                </c:pt>
                <c:pt idx="184">
                  <c:v>409.8</c:v>
                </c:pt>
                <c:pt idx="185">
                  <c:v>407.35</c:v>
                </c:pt>
                <c:pt idx="186">
                  <c:v>409.45</c:v>
                </c:pt>
                <c:pt idx="187">
                  <c:v>409.75</c:v>
                </c:pt>
                <c:pt idx="188">
                  <c:v>406.65</c:v>
                </c:pt>
                <c:pt idx="189">
                  <c:v>409.05</c:v>
                </c:pt>
                <c:pt idx="190">
                  <c:v>409.4</c:v>
                </c:pt>
                <c:pt idx="191">
                  <c:v>409.7</c:v>
                </c:pt>
                <c:pt idx="192">
                  <c:v>406.05</c:v>
                </c:pt>
                <c:pt idx="193">
                  <c:v>412.55</c:v>
                </c:pt>
                <c:pt idx="194">
                  <c:v>416.3</c:v>
                </c:pt>
                <c:pt idx="195">
                  <c:v>421.55</c:v>
                </c:pt>
                <c:pt idx="196">
                  <c:v>420.4</c:v>
                </c:pt>
                <c:pt idx="197">
                  <c:v>424.45</c:v>
                </c:pt>
                <c:pt idx="198">
                  <c:v>427.25</c:v>
                </c:pt>
                <c:pt idx="199">
                  <c:v>422.85</c:v>
                </c:pt>
                <c:pt idx="200">
                  <c:v>433.6</c:v>
                </c:pt>
                <c:pt idx="201">
                  <c:v>430.85</c:v>
                </c:pt>
                <c:pt idx="202">
                  <c:v>430.05</c:v>
                </c:pt>
                <c:pt idx="203">
                  <c:v>427.8</c:v>
                </c:pt>
                <c:pt idx="204">
                  <c:v>428.8</c:v>
                </c:pt>
                <c:pt idx="205">
                  <c:v>426</c:v>
                </c:pt>
                <c:pt idx="206">
                  <c:v>425.8</c:v>
                </c:pt>
                <c:pt idx="207">
                  <c:v>430.25</c:v>
                </c:pt>
                <c:pt idx="208">
                  <c:v>436.95</c:v>
                </c:pt>
                <c:pt idx="209">
                  <c:v>435.55</c:v>
                </c:pt>
                <c:pt idx="210">
                  <c:v>431.15</c:v>
                </c:pt>
                <c:pt idx="211">
                  <c:v>430.6</c:v>
                </c:pt>
                <c:pt idx="212">
                  <c:v>423.55</c:v>
                </c:pt>
                <c:pt idx="213">
                  <c:v>435.5</c:v>
                </c:pt>
                <c:pt idx="214">
                  <c:v>427.9</c:v>
                </c:pt>
                <c:pt idx="215">
                  <c:v>429.1</c:v>
                </c:pt>
                <c:pt idx="216">
                  <c:v>432.65</c:v>
                </c:pt>
                <c:pt idx="217">
                  <c:v>435.7</c:v>
                </c:pt>
                <c:pt idx="218">
                  <c:v>435.35</c:v>
                </c:pt>
                <c:pt idx="219">
                  <c:v>434.9</c:v>
                </c:pt>
                <c:pt idx="220">
                  <c:v>433</c:v>
                </c:pt>
                <c:pt idx="221">
                  <c:v>426.1</c:v>
                </c:pt>
                <c:pt idx="222">
                  <c:v>436.3</c:v>
                </c:pt>
                <c:pt idx="223">
                  <c:v>442.9</c:v>
                </c:pt>
                <c:pt idx="224">
                  <c:v>433.9</c:v>
                </c:pt>
                <c:pt idx="225">
                  <c:v>420.2</c:v>
                </c:pt>
                <c:pt idx="226">
                  <c:v>418.75</c:v>
                </c:pt>
                <c:pt idx="227">
                  <c:v>418.05</c:v>
                </c:pt>
                <c:pt idx="228">
                  <c:v>419.3</c:v>
                </c:pt>
                <c:pt idx="229">
                  <c:v>416.95</c:v>
                </c:pt>
                <c:pt idx="230">
                  <c:v>417</c:v>
                </c:pt>
                <c:pt idx="231">
                  <c:v>419.1</c:v>
                </c:pt>
                <c:pt idx="232">
                  <c:v>421.05</c:v>
                </c:pt>
                <c:pt idx="233">
                  <c:v>423.05</c:v>
                </c:pt>
                <c:pt idx="234">
                  <c:v>427</c:v>
                </c:pt>
                <c:pt idx="235">
                  <c:v>426.15</c:v>
                </c:pt>
                <c:pt idx="236">
                  <c:v>421</c:v>
                </c:pt>
                <c:pt idx="237">
                  <c:v>413.9</c:v>
                </c:pt>
                <c:pt idx="238">
                  <c:v>418.2</c:v>
                </c:pt>
                <c:pt idx="239">
                  <c:v>417.4</c:v>
                </c:pt>
                <c:pt idx="240">
                  <c:v>415.9</c:v>
                </c:pt>
                <c:pt idx="241">
                  <c:v>416</c:v>
                </c:pt>
                <c:pt idx="242">
                  <c:v>418.55</c:v>
                </c:pt>
                <c:pt idx="243">
                  <c:v>413.9</c:v>
                </c:pt>
                <c:pt idx="244">
                  <c:v>414.35</c:v>
                </c:pt>
                <c:pt idx="245">
                  <c:v>416.35</c:v>
                </c:pt>
                <c:pt idx="246">
                  <c:v>420.3</c:v>
                </c:pt>
                <c:pt idx="247">
                  <c:v>418.65</c:v>
                </c:pt>
                <c:pt idx="248">
                  <c:v>416.45</c:v>
                </c:pt>
                <c:pt idx="249">
                  <c:v>415.1</c:v>
                </c:pt>
                <c:pt idx="250">
                  <c:v>412.95</c:v>
                </c:pt>
                <c:pt idx="251">
                  <c:v>413.35</c:v>
                </c:pt>
                <c:pt idx="252">
                  <c:v>412.55</c:v>
                </c:pt>
                <c:pt idx="253">
                  <c:v>416.15</c:v>
                </c:pt>
                <c:pt idx="254">
                  <c:v>417.2</c:v>
                </c:pt>
                <c:pt idx="255">
                  <c:v>419.45</c:v>
                </c:pt>
                <c:pt idx="256">
                  <c:v>416.85</c:v>
                </c:pt>
                <c:pt idx="257">
                  <c:v>416.8</c:v>
                </c:pt>
                <c:pt idx="258">
                  <c:v>419.4</c:v>
                </c:pt>
                <c:pt idx="259">
                  <c:v>422.1</c:v>
                </c:pt>
                <c:pt idx="260">
                  <c:v>424.6</c:v>
                </c:pt>
                <c:pt idx="261">
                  <c:v>423.95</c:v>
                </c:pt>
                <c:pt idx="262">
                  <c:v>422.75</c:v>
                </c:pt>
                <c:pt idx="263">
                  <c:v>420.1</c:v>
                </c:pt>
                <c:pt idx="264">
                  <c:v>416</c:v>
                </c:pt>
                <c:pt idx="265">
                  <c:v>414.95</c:v>
                </c:pt>
                <c:pt idx="266">
                  <c:v>409.95</c:v>
                </c:pt>
                <c:pt idx="267">
                  <c:v>409.4</c:v>
                </c:pt>
                <c:pt idx="268">
                  <c:v>409.9</c:v>
                </c:pt>
                <c:pt idx="269">
                  <c:v>408.45</c:v>
                </c:pt>
                <c:pt idx="270">
                  <c:v>407.6</c:v>
                </c:pt>
                <c:pt idx="271">
                  <c:v>411.95</c:v>
                </c:pt>
                <c:pt idx="272">
                  <c:v>416.45</c:v>
                </c:pt>
                <c:pt idx="273">
                  <c:v>416.85</c:v>
                </c:pt>
                <c:pt idx="274">
                  <c:v>414.15</c:v>
                </c:pt>
                <c:pt idx="275">
                  <c:v>412</c:v>
                </c:pt>
                <c:pt idx="276">
                  <c:v>413.6</c:v>
                </c:pt>
                <c:pt idx="277">
                  <c:v>414.5</c:v>
                </c:pt>
                <c:pt idx="278">
                  <c:v>416.85</c:v>
                </c:pt>
                <c:pt idx="279">
                  <c:v>416.35</c:v>
                </c:pt>
                <c:pt idx="280">
                  <c:v>414.1</c:v>
                </c:pt>
                <c:pt idx="281">
                  <c:v>411.45</c:v>
                </c:pt>
                <c:pt idx="282">
                  <c:v>406.3</c:v>
                </c:pt>
                <c:pt idx="283">
                  <c:v>409.1</c:v>
                </c:pt>
                <c:pt idx="284">
                  <c:v>406.05</c:v>
                </c:pt>
                <c:pt idx="285">
                  <c:v>405.55</c:v>
                </c:pt>
                <c:pt idx="286">
                  <c:v>398.3</c:v>
                </c:pt>
                <c:pt idx="287">
                  <c:v>399.35</c:v>
                </c:pt>
                <c:pt idx="288">
                  <c:v>403.35</c:v>
                </c:pt>
                <c:pt idx="289">
                  <c:v>400.9</c:v>
                </c:pt>
                <c:pt idx="290">
                  <c:v>409.75</c:v>
                </c:pt>
                <c:pt idx="291">
                  <c:v>405.85</c:v>
                </c:pt>
                <c:pt idx="292">
                  <c:v>406.75</c:v>
                </c:pt>
                <c:pt idx="293">
                  <c:v>411.75</c:v>
                </c:pt>
                <c:pt idx="294">
                  <c:v>415.9</c:v>
                </c:pt>
                <c:pt idx="295">
                  <c:v>407.35</c:v>
                </c:pt>
                <c:pt idx="296">
                  <c:v>407.55</c:v>
                </c:pt>
                <c:pt idx="297">
                  <c:v>410.05</c:v>
                </c:pt>
                <c:pt idx="298">
                  <c:v>413.05</c:v>
                </c:pt>
                <c:pt idx="299">
                  <c:v>415.05</c:v>
                </c:pt>
                <c:pt idx="300">
                  <c:v>413.75</c:v>
                </c:pt>
                <c:pt idx="301">
                  <c:v>412.65</c:v>
                </c:pt>
                <c:pt idx="302">
                  <c:v>413.1</c:v>
                </c:pt>
                <c:pt idx="303">
                  <c:v>409.3</c:v>
                </c:pt>
                <c:pt idx="304">
                  <c:v>411.55</c:v>
                </c:pt>
                <c:pt idx="305">
                  <c:v>410.65</c:v>
                </c:pt>
                <c:pt idx="306">
                  <c:v>406.95</c:v>
                </c:pt>
                <c:pt idx="307">
                  <c:v>403.2</c:v>
                </c:pt>
                <c:pt idx="308">
                  <c:v>401</c:v>
                </c:pt>
                <c:pt idx="309">
                  <c:v>400.1</c:v>
                </c:pt>
                <c:pt idx="310">
                  <c:v>405.1</c:v>
                </c:pt>
                <c:pt idx="311">
                  <c:v>407.25</c:v>
                </c:pt>
                <c:pt idx="312">
                  <c:v>401.55</c:v>
                </c:pt>
                <c:pt idx="313">
                  <c:v>405.6</c:v>
                </c:pt>
                <c:pt idx="314">
                  <c:v>404.3</c:v>
                </c:pt>
                <c:pt idx="315">
                  <c:v>400.75</c:v>
                </c:pt>
                <c:pt idx="316">
                  <c:v>399.8</c:v>
                </c:pt>
                <c:pt idx="317">
                  <c:v>399.75</c:v>
                </c:pt>
                <c:pt idx="318">
                  <c:v>399.9</c:v>
                </c:pt>
                <c:pt idx="319">
                  <c:v>402.8</c:v>
                </c:pt>
                <c:pt idx="320">
                  <c:v>399.25</c:v>
                </c:pt>
                <c:pt idx="321">
                  <c:v>396.8</c:v>
                </c:pt>
                <c:pt idx="322">
                  <c:v>399.9</c:v>
                </c:pt>
                <c:pt idx="323">
                  <c:v>405.15</c:v>
                </c:pt>
                <c:pt idx="324">
                  <c:v>412.15</c:v>
                </c:pt>
                <c:pt idx="325">
                  <c:v>413.05</c:v>
                </c:pt>
                <c:pt idx="326">
                  <c:v>412.85</c:v>
                </c:pt>
                <c:pt idx="327">
                  <c:v>415.95</c:v>
                </c:pt>
                <c:pt idx="328">
                  <c:v>416.8</c:v>
                </c:pt>
                <c:pt idx="329">
                  <c:v>420.65</c:v>
                </c:pt>
                <c:pt idx="330">
                  <c:v>417.9</c:v>
                </c:pt>
                <c:pt idx="331">
                  <c:v>421.6</c:v>
                </c:pt>
                <c:pt idx="332">
                  <c:v>418.75</c:v>
                </c:pt>
                <c:pt idx="333">
                  <c:v>420.35</c:v>
                </c:pt>
                <c:pt idx="334">
                  <c:v>413.95</c:v>
                </c:pt>
                <c:pt idx="335">
                  <c:v>408.9</c:v>
                </c:pt>
                <c:pt idx="336">
                  <c:v>407.5</c:v>
                </c:pt>
                <c:pt idx="337">
                  <c:v>404.05</c:v>
                </c:pt>
                <c:pt idx="338">
                  <c:v>405.55</c:v>
                </c:pt>
                <c:pt idx="339">
                  <c:v>406.85</c:v>
                </c:pt>
                <c:pt idx="340">
                  <c:v>407</c:v>
                </c:pt>
                <c:pt idx="341">
                  <c:v>405.7</c:v>
                </c:pt>
                <c:pt idx="342">
                  <c:v>408.15</c:v>
                </c:pt>
                <c:pt idx="343">
                  <c:v>407.1</c:v>
                </c:pt>
                <c:pt idx="344">
                  <c:v>405.85</c:v>
                </c:pt>
                <c:pt idx="345">
                  <c:v>403.55</c:v>
                </c:pt>
                <c:pt idx="346">
                  <c:v>405.45</c:v>
                </c:pt>
                <c:pt idx="347">
                  <c:v>407.85</c:v>
                </c:pt>
                <c:pt idx="348">
                  <c:v>403.55</c:v>
                </c:pt>
                <c:pt idx="349">
                  <c:v>400.8</c:v>
                </c:pt>
                <c:pt idx="350">
                  <c:v>402.3</c:v>
                </c:pt>
                <c:pt idx="351">
                  <c:v>404.3</c:v>
                </c:pt>
                <c:pt idx="352">
                  <c:v>404.25</c:v>
                </c:pt>
                <c:pt idx="353">
                  <c:v>404.25</c:v>
                </c:pt>
                <c:pt idx="354">
                  <c:v>400.95</c:v>
                </c:pt>
                <c:pt idx="355">
                  <c:v>400.5</c:v>
                </c:pt>
                <c:pt idx="356">
                  <c:v>403.05</c:v>
                </c:pt>
                <c:pt idx="357">
                  <c:v>404.95</c:v>
                </c:pt>
                <c:pt idx="358">
                  <c:v>402.3</c:v>
                </c:pt>
                <c:pt idx="359">
                  <c:v>401.05</c:v>
                </c:pt>
                <c:pt idx="360">
                  <c:v>403.15</c:v>
                </c:pt>
                <c:pt idx="361">
                  <c:v>402.9</c:v>
                </c:pt>
                <c:pt idx="362">
                  <c:v>400.1</c:v>
                </c:pt>
                <c:pt idx="363">
                  <c:v>402.3</c:v>
                </c:pt>
                <c:pt idx="364">
                  <c:v>401.7</c:v>
                </c:pt>
                <c:pt idx="365">
                  <c:v>399.8</c:v>
                </c:pt>
                <c:pt idx="366">
                  <c:v>400.4</c:v>
                </c:pt>
                <c:pt idx="367">
                  <c:v>401.05</c:v>
                </c:pt>
                <c:pt idx="368">
                  <c:v>402.7</c:v>
                </c:pt>
                <c:pt idx="369">
                  <c:v>407.35</c:v>
                </c:pt>
                <c:pt idx="370">
                  <c:v>406.6</c:v>
                </c:pt>
                <c:pt idx="371">
                  <c:v>404.15</c:v>
                </c:pt>
                <c:pt idx="372">
                  <c:v>402.6</c:v>
                </c:pt>
                <c:pt idx="373">
                  <c:v>400.6</c:v>
                </c:pt>
                <c:pt idx="374">
                  <c:v>403</c:v>
                </c:pt>
                <c:pt idx="375">
                  <c:v>363.85</c:v>
                </c:pt>
                <c:pt idx="376">
                  <c:v>350.05</c:v>
                </c:pt>
                <c:pt idx="377">
                  <c:v>349.7</c:v>
                </c:pt>
                <c:pt idx="378">
                  <c:v>342.45</c:v>
                </c:pt>
                <c:pt idx="379">
                  <c:v>341.25</c:v>
                </c:pt>
                <c:pt idx="380">
                  <c:v>340.9</c:v>
                </c:pt>
                <c:pt idx="381">
                  <c:v>337.15</c:v>
                </c:pt>
                <c:pt idx="382">
                  <c:v>338.4</c:v>
                </c:pt>
                <c:pt idx="383">
                  <c:v>334.7</c:v>
                </c:pt>
                <c:pt idx="384">
                  <c:v>334.75</c:v>
                </c:pt>
                <c:pt idx="385">
                  <c:v>329.2</c:v>
                </c:pt>
                <c:pt idx="386">
                  <c:v>333.2</c:v>
                </c:pt>
                <c:pt idx="387">
                  <c:v>326.3</c:v>
                </c:pt>
                <c:pt idx="388">
                  <c:v>324.75</c:v>
                </c:pt>
                <c:pt idx="389">
                  <c:v>324.85000000000002</c:v>
                </c:pt>
                <c:pt idx="390">
                  <c:v>323.39999999999998</c:v>
                </c:pt>
                <c:pt idx="391">
                  <c:v>318.64999999999998</c:v>
                </c:pt>
                <c:pt idx="392">
                  <c:v>321.14999999999998</c:v>
                </c:pt>
                <c:pt idx="393">
                  <c:v>318.60000000000002</c:v>
                </c:pt>
                <c:pt idx="394">
                  <c:v>322.14999999999998</c:v>
                </c:pt>
                <c:pt idx="395">
                  <c:v>309.45</c:v>
                </c:pt>
                <c:pt idx="396">
                  <c:v>314.7</c:v>
                </c:pt>
                <c:pt idx="397">
                  <c:v>316.64999999999998</c:v>
                </c:pt>
                <c:pt idx="398">
                  <c:v>313.85000000000002</c:v>
                </c:pt>
                <c:pt idx="399">
                  <c:v>310.2</c:v>
                </c:pt>
                <c:pt idx="400">
                  <c:v>325.8</c:v>
                </c:pt>
                <c:pt idx="401">
                  <c:v>322.8</c:v>
                </c:pt>
                <c:pt idx="402">
                  <c:v>321.39999999999998</c:v>
                </c:pt>
                <c:pt idx="403">
                  <c:v>318.25</c:v>
                </c:pt>
                <c:pt idx="404">
                  <c:v>317.45</c:v>
                </c:pt>
                <c:pt idx="405">
                  <c:v>313.75</c:v>
                </c:pt>
                <c:pt idx="406">
                  <c:v>317.95</c:v>
                </c:pt>
                <c:pt idx="407">
                  <c:v>325.45</c:v>
                </c:pt>
                <c:pt idx="408">
                  <c:v>332.45</c:v>
                </c:pt>
                <c:pt idx="409">
                  <c:v>326</c:v>
                </c:pt>
                <c:pt idx="410">
                  <c:v>327</c:v>
                </c:pt>
                <c:pt idx="411">
                  <c:v>325.39999999999998</c:v>
                </c:pt>
                <c:pt idx="412">
                  <c:v>323.5</c:v>
                </c:pt>
                <c:pt idx="413">
                  <c:v>319.75</c:v>
                </c:pt>
                <c:pt idx="414">
                  <c:v>318.3</c:v>
                </c:pt>
                <c:pt idx="415">
                  <c:v>313.60000000000002</c:v>
                </c:pt>
                <c:pt idx="416">
                  <c:v>314.89999999999998</c:v>
                </c:pt>
                <c:pt idx="417">
                  <c:v>311.95</c:v>
                </c:pt>
                <c:pt idx="418">
                  <c:v>311.5</c:v>
                </c:pt>
                <c:pt idx="419">
                  <c:v>309.7</c:v>
                </c:pt>
                <c:pt idx="420">
                  <c:v>306</c:v>
                </c:pt>
                <c:pt idx="421">
                  <c:v>309.05</c:v>
                </c:pt>
                <c:pt idx="422">
                  <c:v>309</c:v>
                </c:pt>
                <c:pt idx="423">
                  <c:v>304.10000000000002</c:v>
                </c:pt>
                <c:pt idx="424">
                  <c:v>301.45</c:v>
                </c:pt>
                <c:pt idx="425">
                  <c:v>308.25</c:v>
                </c:pt>
                <c:pt idx="426">
                  <c:v>304.85000000000002</c:v>
                </c:pt>
                <c:pt idx="427">
                  <c:v>304.05</c:v>
                </c:pt>
                <c:pt idx="428">
                  <c:v>298</c:v>
                </c:pt>
                <c:pt idx="429">
                  <c:v>299.95</c:v>
                </c:pt>
                <c:pt idx="430">
                  <c:v>290.45</c:v>
                </c:pt>
                <c:pt idx="431">
                  <c:v>291.25</c:v>
                </c:pt>
                <c:pt idx="432">
                  <c:v>295.7</c:v>
                </c:pt>
                <c:pt idx="433">
                  <c:v>294.7</c:v>
                </c:pt>
                <c:pt idx="434">
                  <c:v>287.7</c:v>
                </c:pt>
                <c:pt idx="435">
                  <c:v>291.7</c:v>
                </c:pt>
                <c:pt idx="436">
                  <c:v>292.85000000000002</c:v>
                </c:pt>
                <c:pt idx="437">
                  <c:v>294.85000000000002</c:v>
                </c:pt>
                <c:pt idx="438">
                  <c:v>298.45</c:v>
                </c:pt>
                <c:pt idx="439">
                  <c:v>302.45</c:v>
                </c:pt>
                <c:pt idx="440">
                  <c:v>303</c:v>
                </c:pt>
                <c:pt idx="441">
                  <c:v>304.25</c:v>
                </c:pt>
                <c:pt idx="442">
                  <c:v>298.64999999999998</c:v>
                </c:pt>
                <c:pt idx="443">
                  <c:v>302.05</c:v>
                </c:pt>
                <c:pt idx="444">
                  <c:v>303.39999999999998</c:v>
                </c:pt>
                <c:pt idx="445">
                  <c:v>306.8</c:v>
                </c:pt>
                <c:pt idx="446">
                  <c:v>305</c:v>
                </c:pt>
                <c:pt idx="447">
                  <c:v>309.64999999999998</c:v>
                </c:pt>
                <c:pt idx="448">
                  <c:v>305.5</c:v>
                </c:pt>
                <c:pt idx="449">
                  <c:v>305.3</c:v>
                </c:pt>
                <c:pt idx="450">
                  <c:v>301.60000000000002</c:v>
                </c:pt>
                <c:pt idx="451">
                  <c:v>303.85000000000002</c:v>
                </c:pt>
                <c:pt idx="452">
                  <c:v>304.45</c:v>
                </c:pt>
                <c:pt idx="453">
                  <c:v>316.25</c:v>
                </c:pt>
                <c:pt idx="454">
                  <c:v>314.89999999999998</c:v>
                </c:pt>
                <c:pt idx="455">
                  <c:v>311.10000000000002</c:v>
                </c:pt>
                <c:pt idx="456">
                  <c:v>311.45</c:v>
                </c:pt>
                <c:pt idx="457">
                  <c:v>310.7</c:v>
                </c:pt>
                <c:pt idx="458">
                  <c:v>307.39999999999998</c:v>
                </c:pt>
                <c:pt idx="459">
                  <c:v>307.45</c:v>
                </c:pt>
                <c:pt idx="460">
                  <c:v>305.85000000000002</c:v>
                </c:pt>
                <c:pt idx="461">
                  <c:v>300.7</c:v>
                </c:pt>
                <c:pt idx="462">
                  <c:v>304.45</c:v>
                </c:pt>
                <c:pt idx="463">
                  <c:v>307.2</c:v>
                </c:pt>
                <c:pt idx="464">
                  <c:v>309.45</c:v>
                </c:pt>
                <c:pt idx="465">
                  <c:v>310.14999999999998</c:v>
                </c:pt>
                <c:pt idx="466">
                  <c:v>310.3</c:v>
                </c:pt>
                <c:pt idx="467">
                  <c:v>307.55</c:v>
                </c:pt>
                <c:pt idx="468">
                  <c:v>308.05</c:v>
                </c:pt>
                <c:pt idx="469">
                  <c:v>301.7</c:v>
                </c:pt>
                <c:pt idx="470">
                  <c:v>303.95</c:v>
                </c:pt>
                <c:pt idx="471">
                  <c:v>301.64999999999998</c:v>
                </c:pt>
                <c:pt idx="472">
                  <c:v>291.95</c:v>
                </c:pt>
                <c:pt idx="473">
                  <c:v>286.89999999999998</c:v>
                </c:pt>
                <c:pt idx="474">
                  <c:v>279.64999999999998</c:v>
                </c:pt>
                <c:pt idx="475">
                  <c:v>283.25</c:v>
                </c:pt>
                <c:pt idx="476">
                  <c:v>277</c:v>
                </c:pt>
                <c:pt idx="477">
                  <c:v>280.3</c:v>
                </c:pt>
                <c:pt idx="478">
                  <c:v>280.7</c:v>
                </c:pt>
                <c:pt idx="479">
                  <c:v>279.45</c:v>
                </c:pt>
                <c:pt idx="480">
                  <c:v>280</c:v>
                </c:pt>
                <c:pt idx="481">
                  <c:v>283.64999999999998</c:v>
                </c:pt>
                <c:pt idx="482">
                  <c:v>282.39999999999998</c:v>
                </c:pt>
                <c:pt idx="483">
                  <c:v>285.10000000000002</c:v>
                </c:pt>
                <c:pt idx="484">
                  <c:v>287.89999999999998</c:v>
                </c:pt>
                <c:pt idx="485">
                  <c:v>291.64999999999998</c:v>
                </c:pt>
                <c:pt idx="486">
                  <c:v>290.75</c:v>
                </c:pt>
                <c:pt idx="487">
                  <c:v>291.14999999999998</c:v>
                </c:pt>
                <c:pt idx="488">
                  <c:v>292.5</c:v>
                </c:pt>
                <c:pt idx="489">
                  <c:v>291.25</c:v>
                </c:pt>
                <c:pt idx="490">
                  <c:v>290</c:v>
                </c:pt>
                <c:pt idx="491">
                  <c:v>290.35000000000002</c:v>
                </c:pt>
                <c:pt idx="492">
                  <c:v>290</c:v>
                </c:pt>
                <c:pt idx="493">
                  <c:v>290.7</c:v>
                </c:pt>
                <c:pt idx="494">
                  <c:v>286.95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08-481F-A9F4-9D03874C4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4046964"/>
        <c:axId val="90980901"/>
      </c:lineChart>
      <c:dateAx>
        <c:axId val="544717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416108"/>
        <c:crosses val="autoZero"/>
        <c:auto val="1"/>
        <c:lblOffset val="100"/>
        <c:baseTimeUnit val="days"/>
      </c:dateAx>
      <c:valAx>
        <c:axId val="2841610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471739"/>
        <c:crosses val="autoZero"/>
        <c:crossBetween val="between"/>
      </c:valAx>
      <c:dateAx>
        <c:axId val="140469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980901"/>
        <c:crosses val="autoZero"/>
        <c:auto val="1"/>
        <c:lblOffset val="100"/>
        <c:baseTimeUnit val="days"/>
      </c:dateAx>
      <c:valAx>
        <c:axId val="9098090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Close Price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4696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HDFCBANK: Price vs Volume (2Y Daily)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HDFCBANK!$L$1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HDFCBANK!$A$2:$A$496</c:f>
              <c:numCache>
                <c:formatCode>d\-mmm\-yy</c:formatCode>
                <c:ptCount val="495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45614</c:v>
                </c:pt>
                <c:pt idx="97">
                  <c:v>45615</c:v>
                </c:pt>
                <c:pt idx="98">
                  <c:v>45617</c:v>
                </c:pt>
                <c:pt idx="99">
                  <c:v>45618</c:v>
                </c:pt>
                <c:pt idx="100">
                  <c:v>45621</c:v>
                </c:pt>
                <c:pt idx="101">
                  <c:v>45622</c:v>
                </c:pt>
                <c:pt idx="102">
                  <c:v>45623</c:v>
                </c:pt>
                <c:pt idx="103">
                  <c:v>45624</c:v>
                </c:pt>
                <c:pt idx="104">
                  <c:v>45625</c:v>
                </c:pt>
                <c:pt idx="105">
                  <c:v>45628</c:v>
                </c:pt>
                <c:pt idx="106">
                  <c:v>45629</c:v>
                </c:pt>
                <c:pt idx="107">
                  <c:v>45630</c:v>
                </c:pt>
                <c:pt idx="108">
                  <c:v>45631</c:v>
                </c:pt>
                <c:pt idx="109">
                  <c:v>45632</c:v>
                </c:pt>
                <c:pt idx="110">
                  <c:v>45635</c:v>
                </c:pt>
                <c:pt idx="111">
                  <c:v>45636</c:v>
                </c:pt>
                <c:pt idx="112">
                  <c:v>45637</c:v>
                </c:pt>
                <c:pt idx="113">
                  <c:v>45638</c:v>
                </c:pt>
                <c:pt idx="114">
                  <c:v>45639</c:v>
                </c:pt>
                <c:pt idx="115">
                  <c:v>45642</c:v>
                </c:pt>
                <c:pt idx="116">
                  <c:v>45643</c:v>
                </c:pt>
                <c:pt idx="117">
                  <c:v>45644</c:v>
                </c:pt>
                <c:pt idx="118">
                  <c:v>45645</c:v>
                </c:pt>
                <c:pt idx="119">
                  <c:v>45646</c:v>
                </c:pt>
                <c:pt idx="120">
                  <c:v>45649</c:v>
                </c:pt>
                <c:pt idx="121">
                  <c:v>45650</c:v>
                </c:pt>
                <c:pt idx="122">
                  <c:v>45652</c:v>
                </c:pt>
                <c:pt idx="123">
                  <c:v>45653</c:v>
                </c:pt>
                <c:pt idx="124">
                  <c:v>45656</c:v>
                </c:pt>
                <c:pt idx="125">
                  <c:v>45657</c:v>
                </c:pt>
                <c:pt idx="126">
                  <c:v>45658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45666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45677</c:v>
                </c:pt>
                <c:pt idx="140">
                  <c:v>45678</c:v>
                </c:pt>
                <c:pt idx="141">
                  <c:v>45679</c:v>
                </c:pt>
                <c:pt idx="142">
                  <c:v>45680</c:v>
                </c:pt>
                <c:pt idx="143">
                  <c:v>45681</c:v>
                </c:pt>
                <c:pt idx="144">
                  <c:v>45684</c:v>
                </c:pt>
                <c:pt idx="145">
                  <c:v>45685</c:v>
                </c:pt>
                <c:pt idx="146">
                  <c:v>45686</c:v>
                </c:pt>
                <c:pt idx="147">
                  <c:v>45687</c:v>
                </c:pt>
                <c:pt idx="148">
                  <c:v>45688</c:v>
                </c:pt>
                <c:pt idx="149">
                  <c:v>45689</c:v>
                </c:pt>
                <c:pt idx="150">
                  <c:v>45691</c:v>
                </c:pt>
                <c:pt idx="151">
                  <c:v>45692</c:v>
                </c:pt>
                <c:pt idx="152">
                  <c:v>45693</c:v>
                </c:pt>
                <c:pt idx="153">
                  <c:v>45694</c:v>
                </c:pt>
                <c:pt idx="154">
                  <c:v>45695</c:v>
                </c:pt>
                <c:pt idx="155">
                  <c:v>45698</c:v>
                </c:pt>
                <c:pt idx="156">
                  <c:v>45699</c:v>
                </c:pt>
                <c:pt idx="157">
                  <c:v>45700</c:v>
                </c:pt>
                <c:pt idx="158">
                  <c:v>45701</c:v>
                </c:pt>
                <c:pt idx="159">
                  <c:v>45702</c:v>
                </c:pt>
                <c:pt idx="160">
                  <c:v>45705</c:v>
                </c:pt>
                <c:pt idx="161">
                  <c:v>45706</c:v>
                </c:pt>
                <c:pt idx="162">
                  <c:v>45707</c:v>
                </c:pt>
                <c:pt idx="163">
                  <c:v>45708</c:v>
                </c:pt>
                <c:pt idx="164">
                  <c:v>45709</c:v>
                </c:pt>
                <c:pt idx="165">
                  <c:v>45712</c:v>
                </c:pt>
                <c:pt idx="166">
                  <c:v>45713</c:v>
                </c:pt>
                <c:pt idx="167">
                  <c:v>45715</c:v>
                </c:pt>
                <c:pt idx="168">
                  <c:v>45716</c:v>
                </c:pt>
                <c:pt idx="169">
                  <c:v>45719</c:v>
                </c:pt>
                <c:pt idx="170">
                  <c:v>45720</c:v>
                </c:pt>
                <c:pt idx="171">
                  <c:v>45721</c:v>
                </c:pt>
                <c:pt idx="172">
                  <c:v>45722</c:v>
                </c:pt>
                <c:pt idx="173">
                  <c:v>45723</c:v>
                </c:pt>
                <c:pt idx="174">
                  <c:v>45726</c:v>
                </c:pt>
                <c:pt idx="175">
                  <c:v>45727</c:v>
                </c:pt>
                <c:pt idx="176">
                  <c:v>45728</c:v>
                </c:pt>
                <c:pt idx="177">
                  <c:v>45729</c:v>
                </c:pt>
                <c:pt idx="178">
                  <c:v>45733</c:v>
                </c:pt>
                <c:pt idx="179">
                  <c:v>45734</c:v>
                </c:pt>
                <c:pt idx="180">
                  <c:v>45735</c:v>
                </c:pt>
                <c:pt idx="181">
                  <c:v>45736</c:v>
                </c:pt>
                <c:pt idx="182">
                  <c:v>45737</c:v>
                </c:pt>
                <c:pt idx="183">
                  <c:v>45740</c:v>
                </c:pt>
                <c:pt idx="184">
                  <c:v>45741</c:v>
                </c:pt>
                <c:pt idx="185">
                  <c:v>45742</c:v>
                </c:pt>
                <c:pt idx="186">
                  <c:v>45743</c:v>
                </c:pt>
                <c:pt idx="187">
                  <c:v>45744</c:v>
                </c:pt>
                <c:pt idx="188">
                  <c:v>45748</c:v>
                </c:pt>
                <c:pt idx="189">
                  <c:v>45749</c:v>
                </c:pt>
                <c:pt idx="190">
                  <c:v>45750</c:v>
                </c:pt>
                <c:pt idx="191">
                  <c:v>45751</c:v>
                </c:pt>
                <c:pt idx="192">
                  <c:v>45754</c:v>
                </c:pt>
                <c:pt idx="193">
                  <c:v>45755</c:v>
                </c:pt>
                <c:pt idx="194">
                  <c:v>45756</c:v>
                </c:pt>
                <c:pt idx="195">
                  <c:v>45758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45798</c:v>
                </c:pt>
                <c:pt idx="221">
                  <c:v>45799</c:v>
                </c:pt>
                <c:pt idx="222">
                  <c:v>45800</c:v>
                </c:pt>
                <c:pt idx="223">
                  <c:v>45803</c:v>
                </c:pt>
                <c:pt idx="224">
                  <c:v>45804</c:v>
                </c:pt>
                <c:pt idx="225">
                  <c:v>45805</c:v>
                </c:pt>
                <c:pt idx="226">
                  <c:v>45806</c:v>
                </c:pt>
                <c:pt idx="227">
                  <c:v>45807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45817</c:v>
                </c:pt>
                <c:pt idx="234">
                  <c:v>45818</c:v>
                </c:pt>
                <c:pt idx="235">
                  <c:v>45819</c:v>
                </c:pt>
                <c:pt idx="236">
                  <c:v>45820</c:v>
                </c:pt>
                <c:pt idx="237">
                  <c:v>45821</c:v>
                </c:pt>
                <c:pt idx="238">
                  <c:v>45824</c:v>
                </c:pt>
                <c:pt idx="239">
                  <c:v>45825</c:v>
                </c:pt>
                <c:pt idx="240">
                  <c:v>45826</c:v>
                </c:pt>
                <c:pt idx="241">
                  <c:v>45827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45842</c:v>
                </c:pt>
                <c:pt idx="253">
                  <c:v>45845</c:v>
                </c:pt>
                <c:pt idx="254">
                  <c:v>45846</c:v>
                </c:pt>
                <c:pt idx="255">
                  <c:v>45847</c:v>
                </c:pt>
                <c:pt idx="256">
                  <c:v>45848</c:v>
                </c:pt>
                <c:pt idx="257">
                  <c:v>45849</c:v>
                </c:pt>
                <c:pt idx="258">
                  <c:v>45852</c:v>
                </c:pt>
                <c:pt idx="259">
                  <c:v>45853</c:v>
                </c:pt>
                <c:pt idx="260">
                  <c:v>45854</c:v>
                </c:pt>
                <c:pt idx="261">
                  <c:v>45855</c:v>
                </c:pt>
                <c:pt idx="262">
                  <c:v>45856</c:v>
                </c:pt>
                <c:pt idx="263">
                  <c:v>45859</c:v>
                </c:pt>
                <c:pt idx="264">
                  <c:v>45860</c:v>
                </c:pt>
                <c:pt idx="265">
                  <c:v>45861</c:v>
                </c:pt>
                <c:pt idx="266">
                  <c:v>45862</c:v>
                </c:pt>
                <c:pt idx="267">
                  <c:v>45863</c:v>
                </c:pt>
                <c:pt idx="268">
                  <c:v>45866</c:v>
                </c:pt>
                <c:pt idx="269">
                  <c:v>45867</c:v>
                </c:pt>
                <c:pt idx="270">
                  <c:v>45868</c:v>
                </c:pt>
                <c:pt idx="271">
                  <c:v>45869</c:v>
                </c:pt>
                <c:pt idx="272">
                  <c:v>45870</c:v>
                </c:pt>
                <c:pt idx="273">
                  <c:v>45873</c:v>
                </c:pt>
                <c:pt idx="274">
                  <c:v>45874</c:v>
                </c:pt>
                <c:pt idx="275">
                  <c:v>45875</c:v>
                </c:pt>
                <c:pt idx="276">
                  <c:v>45876</c:v>
                </c:pt>
                <c:pt idx="277">
                  <c:v>45877</c:v>
                </c:pt>
                <c:pt idx="278">
                  <c:v>45880</c:v>
                </c:pt>
                <c:pt idx="279">
                  <c:v>45881</c:v>
                </c:pt>
                <c:pt idx="280">
                  <c:v>45882</c:v>
                </c:pt>
                <c:pt idx="281">
                  <c:v>45883</c:v>
                </c:pt>
                <c:pt idx="282">
                  <c:v>45887</c:v>
                </c:pt>
                <c:pt idx="283">
                  <c:v>45888</c:v>
                </c:pt>
                <c:pt idx="284">
                  <c:v>45889</c:v>
                </c:pt>
                <c:pt idx="285">
                  <c:v>45890</c:v>
                </c:pt>
                <c:pt idx="286">
                  <c:v>45891</c:v>
                </c:pt>
                <c:pt idx="287">
                  <c:v>45894</c:v>
                </c:pt>
                <c:pt idx="288">
                  <c:v>45895</c:v>
                </c:pt>
                <c:pt idx="289">
                  <c:v>45897</c:v>
                </c:pt>
                <c:pt idx="290">
                  <c:v>45898</c:v>
                </c:pt>
                <c:pt idx="291">
                  <c:v>45901</c:v>
                </c:pt>
                <c:pt idx="292">
                  <c:v>45902</c:v>
                </c:pt>
                <c:pt idx="293">
                  <c:v>45903</c:v>
                </c:pt>
                <c:pt idx="294">
                  <c:v>45904</c:v>
                </c:pt>
                <c:pt idx="295">
                  <c:v>45905</c:v>
                </c:pt>
                <c:pt idx="296">
                  <c:v>45908</c:v>
                </c:pt>
                <c:pt idx="297">
                  <c:v>45909</c:v>
                </c:pt>
                <c:pt idx="298">
                  <c:v>45910</c:v>
                </c:pt>
                <c:pt idx="299">
                  <c:v>45911</c:v>
                </c:pt>
                <c:pt idx="300">
                  <c:v>45912</c:v>
                </c:pt>
                <c:pt idx="301">
                  <c:v>45915</c:v>
                </c:pt>
                <c:pt idx="302">
                  <c:v>45916</c:v>
                </c:pt>
                <c:pt idx="303">
                  <c:v>45917</c:v>
                </c:pt>
                <c:pt idx="304">
                  <c:v>45918</c:v>
                </c:pt>
                <c:pt idx="305">
                  <c:v>45919</c:v>
                </c:pt>
                <c:pt idx="306">
                  <c:v>45922</c:v>
                </c:pt>
                <c:pt idx="307">
                  <c:v>45923</c:v>
                </c:pt>
                <c:pt idx="308">
                  <c:v>45924</c:v>
                </c:pt>
                <c:pt idx="309">
                  <c:v>45925</c:v>
                </c:pt>
                <c:pt idx="310">
                  <c:v>45926</c:v>
                </c:pt>
                <c:pt idx="311">
                  <c:v>45929</c:v>
                </c:pt>
                <c:pt idx="312">
                  <c:v>45930</c:v>
                </c:pt>
                <c:pt idx="313">
                  <c:v>45931</c:v>
                </c:pt>
                <c:pt idx="314">
                  <c:v>45933</c:v>
                </c:pt>
                <c:pt idx="315">
                  <c:v>45936</c:v>
                </c:pt>
                <c:pt idx="316">
                  <c:v>45937</c:v>
                </c:pt>
                <c:pt idx="317">
                  <c:v>45938</c:v>
                </c:pt>
                <c:pt idx="318">
                  <c:v>45939</c:v>
                </c:pt>
                <c:pt idx="319">
                  <c:v>45940</c:v>
                </c:pt>
                <c:pt idx="320">
                  <c:v>45943</c:v>
                </c:pt>
                <c:pt idx="321">
                  <c:v>45944</c:v>
                </c:pt>
                <c:pt idx="322">
                  <c:v>45945</c:v>
                </c:pt>
                <c:pt idx="323">
                  <c:v>45946</c:v>
                </c:pt>
                <c:pt idx="324">
                  <c:v>45947</c:v>
                </c:pt>
                <c:pt idx="325">
                  <c:v>45950</c:v>
                </c:pt>
                <c:pt idx="326">
                  <c:v>45951</c:v>
                </c:pt>
                <c:pt idx="327">
                  <c:v>45953</c:v>
                </c:pt>
                <c:pt idx="328">
                  <c:v>45954</c:v>
                </c:pt>
                <c:pt idx="329">
                  <c:v>45957</c:v>
                </c:pt>
                <c:pt idx="330">
                  <c:v>45958</c:v>
                </c:pt>
                <c:pt idx="331">
                  <c:v>45959</c:v>
                </c:pt>
                <c:pt idx="332">
                  <c:v>45960</c:v>
                </c:pt>
                <c:pt idx="333">
                  <c:v>45961</c:v>
                </c:pt>
                <c:pt idx="334">
                  <c:v>45964</c:v>
                </c:pt>
                <c:pt idx="335">
                  <c:v>45965</c:v>
                </c:pt>
                <c:pt idx="336">
                  <c:v>45967</c:v>
                </c:pt>
                <c:pt idx="337">
                  <c:v>45968</c:v>
                </c:pt>
                <c:pt idx="338">
                  <c:v>45971</c:v>
                </c:pt>
                <c:pt idx="339">
                  <c:v>45972</c:v>
                </c:pt>
                <c:pt idx="340">
                  <c:v>45973</c:v>
                </c:pt>
                <c:pt idx="341">
                  <c:v>45974</c:v>
                </c:pt>
                <c:pt idx="342">
                  <c:v>45975</c:v>
                </c:pt>
                <c:pt idx="343">
                  <c:v>45978</c:v>
                </c:pt>
                <c:pt idx="344">
                  <c:v>45979</c:v>
                </c:pt>
                <c:pt idx="345">
                  <c:v>45980</c:v>
                </c:pt>
                <c:pt idx="346">
                  <c:v>45981</c:v>
                </c:pt>
                <c:pt idx="347">
                  <c:v>45982</c:v>
                </c:pt>
                <c:pt idx="348">
                  <c:v>45985</c:v>
                </c:pt>
                <c:pt idx="349">
                  <c:v>45986</c:v>
                </c:pt>
                <c:pt idx="350">
                  <c:v>45987</c:v>
                </c:pt>
                <c:pt idx="351">
                  <c:v>45988</c:v>
                </c:pt>
                <c:pt idx="352">
                  <c:v>45989</c:v>
                </c:pt>
                <c:pt idx="353">
                  <c:v>45992</c:v>
                </c:pt>
                <c:pt idx="354">
                  <c:v>45993</c:v>
                </c:pt>
                <c:pt idx="355">
                  <c:v>45994</c:v>
                </c:pt>
                <c:pt idx="356">
                  <c:v>45995</c:v>
                </c:pt>
                <c:pt idx="357">
                  <c:v>45996</c:v>
                </c:pt>
                <c:pt idx="358">
                  <c:v>45999</c:v>
                </c:pt>
                <c:pt idx="359">
                  <c:v>46000</c:v>
                </c:pt>
                <c:pt idx="360">
                  <c:v>46001</c:v>
                </c:pt>
                <c:pt idx="361">
                  <c:v>46002</c:v>
                </c:pt>
                <c:pt idx="362">
                  <c:v>46003</c:v>
                </c:pt>
                <c:pt idx="363">
                  <c:v>46006</c:v>
                </c:pt>
                <c:pt idx="364">
                  <c:v>46007</c:v>
                </c:pt>
                <c:pt idx="365">
                  <c:v>46008</c:v>
                </c:pt>
                <c:pt idx="366">
                  <c:v>46009</c:v>
                </c:pt>
                <c:pt idx="367">
                  <c:v>46010</c:v>
                </c:pt>
                <c:pt idx="368">
                  <c:v>46013</c:v>
                </c:pt>
                <c:pt idx="369">
                  <c:v>46014</c:v>
                </c:pt>
                <c:pt idx="370">
                  <c:v>46015</c:v>
                </c:pt>
                <c:pt idx="371">
                  <c:v>46017</c:v>
                </c:pt>
                <c:pt idx="372">
                  <c:v>46020</c:v>
                </c:pt>
                <c:pt idx="373">
                  <c:v>46021</c:v>
                </c:pt>
                <c:pt idx="374">
                  <c:v>46022</c:v>
                </c:pt>
                <c:pt idx="375">
                  <c:v>46023</c:v>
                </c:pt>
                <c:pt idx="376">
                  <c:v>46024</c:v>
                </c:pt>
                <c:pt idx="377">
                  <c:v>46027</c:v>
                </c:pt>
                <c:pt idx="378">
                  <c:v>46028</c:v>
                </c:pt>
                <c:pt idx="379">
                  <c:v>46029</c:v>
                </c:pt>
                <c:pt idx="380">
                  <c:v>46030</c:v>
                </c:pt>
                <c:pt idx="381">
                  <c:v>46031</c:v>
                </c:pt>
                <c:pt idx="382">
                  <c:v>46034</c:v>
                </c:pt>
                <c:pt idx="383">
                  <c:v>46035</c:v>
                </c:pt>
                <c:pt idx="384">
                  <c:v>46036</c:v>
                </c:pt>
                <c:pt idx="385">
                  <c:v>46038</c:v>
                </c:pt>
                <c:pt idx="386">
                  <c:v>46041</c:v>
                </c:pt>
                <c:pt idx="387">
                  <c:v>46042</c:v>
                </c:pt>
                <c:pt idx="388">
                  <c:v>46043</c:v>
                </c:pt>
                <c:pt idx="389">
                  <c:v>46044</c:v>
                </c:pt>
                <c:pt idx="390">
                  <c:v>46045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46062</c:v>
                </c:pt>
                <c:pt idx="402">
                  <c:v>46063</c:v>
                </c:pt>
                <c:pt idx="403">
                  <c:v>46064</c:v>
                </c:pt>
                <c:pt idx="404">
                  <c:v>46065</c:v>
                </c:pt>
                <c:pt idx="405">
                  <c:v>46066</c:v>
                </c:pt>
                <c:pt idx="406">
                  <c:v>46069</c:v>
                </c:pt>
                <c:pt idx="407">
                  <c:v>46070</c:v>
                </c:pt>
                <c:pt idx="408">
                  <c:v>46071</c:v>
                </c:pt>
                <c:pt idx="409">
                  <c:v>46072</c:v>
                </c:pt>
                <c:pt idx="410">
                  <c:v>46073</c:v>
                </c:pt>
                <c:pt idx="411">
                  <c:v>46076</c:v>
                </c:pt>
                <c:pt idx="412">
                  <c:v>46077</c:v>
                </c:pt>
                <c:pt idx="413">
                  <c:v>46078</c:v>
                </c:pt>
                <c:pt idx="414">
                  <c:v>46079</c:v>
                </c:pt>
                <c:pt idx="415">
                  <c:v>46080</c:v>
                </c:pt>
                <c:pt idx="416">
                  <c:v>46083</c:v>
                </c:pt>
                <c:pt idx="417">
                  <c:v>46085</c:v>
                </c:pt>
                <c:pt idx="418">
                  <c:v>46086</c:v>
                </c:pt>
                <c:pt idx="419">
                  <c:v>46087</c:v>
                </c:pt>
                <c:pt idx="420">
                  <c:v>46090</c:v>
                </c:pt>
                <c:pt idx="421">
                  <c:v>46091</c:v>
                </c:pt>
                <c:pt idx="422">
                  <c:v>46092</c:v>
                </c:pt>
                <c:pt idx="423">
                  <c:v>46093</c:v>
                </c:pt>
                <c:pt idx="424">
                  <c:v>46094</c:v>
                </c:pt>
                <c:pt idx="425">
                  <c:v>46097</c:v>
                </c:pt>
                <c:pt idx="426">
                  <c:v>46098</c:v>
                </c:pt>
                <c:pt idx="427">
                  <c:v>46099</c:v>
                </c:pt>
                <c:pt idx="428">
                  <c:v>46100</c:v>
                </c:pt>
                <c:pt idx="429">
                  <c:v>46101</c:v>
                </c:pt>
                <c:pt idx="430">
                  <c:v>46104</c:v>
                </c:pt>
                <c:pt idx="431">
                  <c:v>46105</c:v>
                </c:pt>
                <c:pt idx="432">
                  <c:v>46106</c:v>
                </c:pt>
                <c:pt idx="433">
                  <c:v>46108</c:v>
                </c:pt>
                <c:pt idx="434">
                  <c:v>46111</c:v>
                </c:pt>
                <c:pt idx="435">
                  <c:v>46113</c:v>
                </c:pt>
                <c:pt idx="436">
                  <c:v>46114</c:v>
                </c:pt>
                <c:pt idx="437">
                  <c:v>46118</c:v>
                </c:pt>
                <c:pt idx="438">
                  <c:v>46119</c:v>
                </c:pt>
                <c:pt idx="439">
                  <c:v>46120</c:v>
                </c:pt>
                <c:pt idx="440">
                  <c:v>46121</c:v>
                </c:pt>
                <c:pt idx="441">
                  <c:v>46122</c:v>
                </c:pt>
                <c:pt idx="442">
                  <c:v>46125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46132</c:v>
                </c:pt>
                <c:pt idx="447">
                  <c:v>46133</c:v>
                </c:pt>
                <c:pt idx="448">
                  <c:v>46134</c:v>
                </c:pt>
                <c:pt idx="449">
                  <c:v>46135</c:v>
                </c:pt>
                <c:pt idx="450">
                  <c:v>46136</c:v>
                </c:pt>
                <c:pt idx="451">
                  <c:v>46139</c:v>
                </c:pt>
                <c:pt idx="452">
                  <c:v>46140</c:v>
                </c:pt>
                <c:pt idx="453">
                  <c:v>46141</c:v>
                </c:pt>
                <c:pt idx="454">
                  <c:v>46142</c:v>
                </c:pt>
                <c:pt idx="455">
                  <c:v>46146</c:v>
                </c:pt>
                <c:pt idx="456">
                  <c:v>46147</c:v>
                </c:pt>
                <c:pt idx="457">
                  <c:v>46148</c:v>
                </c:pt>
                <c:pt idx="458">
                  <c:v>46149</c:v>
                </c:pt>
                <c:pt idx="459">
                  <c:v>46150</c:v>
                </c:pt>
                <c:pt idx="460">
                  <c:v>46153</c:v>
                </c:pt>
                <c:pt idx="461">
                  <c:v>46154</c:v>
                </c:pt>
                <c:pt idx="462">
                  <c:v>46155</c:v>
                </c:pt>
                <c:pt idx="463">
                  <c:v>46156</c:v>
                </c:pt>
                <c:pt idx="464">
                  <c:v>46157</c:v>
                </c:pt>
                <c:pt idx="465">
                  <c:v>46160</c:v>
                </c:pt>
                <c:pt idx="466">
                  <c:v>46161</c:v>
                </c:pt>
                <c:pt idx="467">
                  <c:v>46162</c:v>
                </c:pt>
                <c:pt idx="468">
                  <c:v>46163</c:v>
                </c:pt>
                <c:pt idx="469">
                  <c:v>46164</c:v>
                </c:pt>
                <c:pt idx="470">
                  <c:v>46167</c:v>
                </c:pt>
                <c:pt idx="471">
                  <c:v>46168</c:v>
                </c:pt>
                <c:pt idx="472">
                  <c:v>46169</c:v>
                </c:pt>
                <c:pt idx="473">
                  <c:v>46171</c:v>
                </c:pt>
                <c:pt idx="474">
                  <c:v>46174</c:v>
                </c:pt>
                <c:pt idx="475">
                  <c:v>46175</c:v>
                </c:pt>
                <c:pt idx="476">
                  <c:v>46176</c:v>
                </c:pt>
                <c:pt idx="477">
                  <c:v>46177</c:v>
                </c:pt>
                <c:pt idx="478">
                  <c:v>46178</c:v>
                </c:pt>
                <c:pt idx="479">
                  <c:v>46181</c:v>
                </c:pt>
                <c:pt idx="480">
                  <c:v>46182</c:v>
                </c:pt>
                <c:pt idx="481">
                  <c:v>46183</c:v>
                </c:pt>
                <c:pt idx="482">
                  <c:v>46184</c:v>
                </c:pt>
                <c:pt idx="483">
                  <c:v>46185</c:v>
                </c:pt>
                <c:pt idx="484">
                  <c:v>46188</c:v>
                </c:pt>
                <c:pt idx="485">
                  <c:v>46189</c:v>
                </c:pt>
                <c:pt idx="486">
                  <c:v>46190</c:v>
                </c:pt>
                <c:pt idx="487">
                  <c:v>46191</c:v>
                </c:pt>
                <c:pt idx="488">
                  <c:v>46192</c:v>
                </c:pt>
                <c:pt idx="489">
                  <c:v>46195</c:v>
                </c:pt>
                <c:pt idx="490">
                  <c:v>46196</c:v>
                </c:pt>
                <c:pt idx="491">
                  <c:v>46197</c:v>
                </c:pt>
                <c:pt idx="492">
                  <c:v>46198</c:v>
                </c:pt>
                <c:pt idx="493">
                  <c:v>46202</c:v>
                </c:pt>
                <c:pt idx="494">
                  <c:v>46203</c:v>
                </c:pt>
              </c:numCache>
            </c:numRef>
          </c:cat>
          <c:val>
            <c:numRef>
              <c:f>HDFCBANK!$L$2:$L$496</c:f>
              <c:numCache>
                <c:formatCode>#,##0</c:formatCode>
                <c:ptCount val="495"/>
                <c:pt idx="0">
                  <c:v>10593512</c:v>
                </c:pt>
                <c:pt idx="1">
                  <c:v>22960845</c:v>
                </c:pt>
                <c:pt idx="2">
                  <c:v>61608901</c:v>
                </c:pt>
                <c:pt idx="3">
                  <c:v>22924329</c:v>
                </c:pt>
                <c:pt idx="4">
                  <c:v>41121274</c:v>
                </c:pt>
                <c:pt idx="5">
                  <c:v>19543900</c:v>
                </c:pt>
                <c:pt idx="6">
                  <c:v>24275439</c:v>
                </c:pt>
                <c:pt idx="7">
                  <c:v>22753591</c:v>
                </c:pt>
                <c:pt idx="8">
                  <c:v>22088537</c:v>
                </c:pt>
                <c:pt idx="9">
                  <c:v>28024980</c:v>
                </c:pt>
                <c:pt idx="10">
                  <c:v>16687847</c:v>
                </c:pt>
                <c:pt idx="11">
                  <c:v>14475162</c:v>
                </c:pt>
                <c:pt idx="12">
                  <c:v>16858532</c:v>
                </c:pt>
                <c:pt idx="13">
                  <c:v>13001076</c:v>
                </c:pt>
                <c:pt idx="14">
                  <c:v>26872411</c:v>
                </c:pt>
                <c:pt idx="15">
                  <c:v>26001076</c:v>
                </c:pt>
                <c:pt idx="16">
                  <c:v>30864103</c:v>
                </c:pt>
                <c:pt idx="17">
                  <c:v>12767866</c:v>
                </c:pt>
                <c:pt idx="18">
                  <c:v>21905270</c:v>
                </c:pt>
                <c:pt idx="19">
                  <c:v>25500574</c:v>
                </c:pt>
                <c:pt idx="20">
                  <c:v>27297917</c:v>
                </c:pt>
                <c:pt idx="21">
                  <c:v>18910242</c:v>
                </c:pt>
                <c:pt idx="22">
                  <c:v>13107587</c:v>
                </c:pt>
                <c:pt idx="23">
                  <c:v>22059619</c:v>
                </c:pt>
                <c:pt idx="24">
                  <c:v>20666817</c:v>
                </c:pt>
                <c:pt idx="25">
                  <c:v>22558025</c:v>
                </c:pt>
                <c:pt idx="26">
                  <c:v>21173132</c:v>
                </c:pt>
                <c:pt idx="27">
                  <c:v>16988475</c:v>
                </c:pt>
                <c:pt idx="28">
                  <c:v>13322309</c:v>
                </c:pt>
                <c:pt idx="29">
                  <c:v>19658098</c:v>
                </c:pt>
                <c:pt idx="30">
                  <c:v>27027521</c:v>
                </c:pt>
                <c:pt idx="31">
                  <c:v>16167214</c:v>
                </c:pt>
                <c:pt idx="32">
                  <c:v>13924623</c:v>
                </c:pt>
                <c:pt idx="33">
                  <c:v>9751082</c:v>
                </c:pt>
                <c:pt idx="34">
                  <c:v>15567247</c:v>
                </c:pt>
                <c:pt idx="35">
                  <c:v>23815452</c:v>
                </c:pt>
                <c:pt idx="36">
                  <c:v>10650319</c:v>
                </c:pt>
                <c:pt idx="37">
                  <c:v>10166711</c:v>
                </c:pt>
                <c:pt idx="38">
                  <c:v>11182133</c:v>
                </c:pt>
                <c:pt idx="39">
                  <c:v>17886622</c:v>
                </c:pt>
                <c:pt idx="40">
                  <c:v>13460594</c:v>
                </c:pt>
                <c:pt idx="41">
                  <c:v>24526302</c:v>
                </c:pt>
                <c:pt idx="42">
                  <c:v>222671050</c:v>
                </c:pt>
                <c:pt idx="43">
                  <c:v>17024840</c:v>
                </c:pt>
                <c:pt idx="44">
                  <c:v>18641430</c:v>
                </c:pt>
                <c:pt idx="45">
                  <c:v>12341372</c:v>
                </c:pt>
                <c:pt idx="46">
                  <c:v>11438159</c:v>
                </c:pt>
                <c:pt idx="47">
                  <c:v>13014801</c:v>
                </c:pt>
                <c:pt idx="48">
                  <c:v>11896457</c:v>
                </c:pt>
                <c:pt idx="49">
                  <c:v>13303323</c:v>
                </c:pt>
                <c:pt idx="50">
                  <c:v>11113342</c:v>
                </c:pt>
                <c:pt idx="51">
                  <c:v>16212023</c:v>
                </c:pt>
                <c:pt idx="52">
                  <c:v>11930266</c:v>
                </c:pt>
                <c:pt idx="53">
                  <c:v>7586410</c:v>
                </c:pt>
                <c:pt idx="54">
                  <c:v>10063561</c:v>
                </c:pt>
                <c:pt idx="55">
                  <c:v>20458671</c:v>
                </c:pt>
                <c:pt idx="56">
                  <c:v>15325888</c:v>
                </c:pt>
                <c:pt idx="57">
                  <c:v>30311693</c:v>
                </c:pt>
                <c:pt idx="58">
                  <c:v>13482675</c:v>
                </c:pt>
                <c:pt idx="59">
                  <c:v>16519518</c:v>
                </c:pt>
                <c:pt idx="60">
                  <c:v>15982656</c:v>
                </c:pt>
                <c:pt idx="61">
                  <c:v>15949822</c:v>
                </c:pt>
                <c:pt idx="62">
                  <c:v>17806751</c:v>
                </c:pt>
                <c:pt idx="63">
                  <c:v>13191767</c:v>
                </c:pt>
                <c:pt idx="64">
                  <c:v>12286142</c:v>
                </c:pt>
                <c:pt idx="65">
                  <c:v>24236699</c:v>
                </c:pt>
                <c:pt idx="66">
                  <c:v>24341616</c:v>
                </c:pt>
                <c:pt idx="67">
                  <c:v>47229148</c:v>
                </c:pt>
                <c:pt idx="68">
                  <c:v>14867203</c:v>
                </c:pt>
                <c:pt idx="69">
                  <c:v>20562821</c:v>
                </c:pt>
                <c:pt idx="70">
                  <c:v>10877383</c:v>
                </c:pt>
                <c:pt idx="71">
                  <c:v>11836297</c:v>
                </c:pt>
                <c:pt idx="72">
                  <c:v>9263754</c:v>
                </c:pt>
                <c:pt idx="73">
                  <c:v>9825565</c:v>
                </c:pt>
                <c:pt idx="74">
                  <c:v>10235341</c:v>
                </c:pt>
                <c:pt idx="75">
                  <c:v>7347866</c:v>
                </c:pt>
                <c:pt idx="76">
                  <c:v>12404862</c:v>
                </c:pt>
                <c:pt idx="77">
                  <c:v>23274177</c:v>
                </c:pt>
                <c:pt idx="78">
                  <c:v>19437640</c:v>
                </c:pt>
                <c:pt idx="79">
                  <c:v>19018045</c:v>
                </c:pt>
                <c:pt idx="80">
                  <c:v>15416129</c:v>
                </c:pt>
                <c:pt idx="81">
                  <c:v>13065239</c:v>
                </c:pt>
                <c:pt idx="82">
                  <c:v>11006071</c:v>
                </c:pt>
                <c:pt idx="83">
                  <c:v>17897463</c:v>
                </c:pt>
                <c:pt idx="84">
                  <c:v>16357862</c:v>
                </c:pt>
                <c:pt idx="85">
                  <c:v>11447956</c:v>
                </c:pt>
                <c:pt idx="86">
                  <c:v>879846</c:v>
                </c:pt>
                <c:pt idx="87">
                  <c:v>14044624</c:v>
                </c:pt>
                <c:pt idx="88">
                  <c:v>22116203</c:v>
                </c:pt>
                <c:pt idx="89">
                  <c:v>13893955</c:v>
                </c:pt>
                <c:pt idx="90">
                  <c:v>9447728</c:v>
                </c:pt>
                <c:pt idx="91">
                  <c:v>9951493</c:v>
                </c:pt>
                <c:pt idx="92">
                  <c:v>12282681</c:v>
                </c:pt>
                <c:pt idx="93">
                  <c:v>15697703</c:v>
                </c:pt>
                <c:pt idx="94">
                  <c:v>17864250</c:v>
                </c:pt>
                <c:pt idx="95">
                  <c:v>13573235</c:v>
                </c:pt>
                <c:pt idx="96">
                  <c:v>13540984</c:v>
                </c:pt>
                <c:pt idx="97">
                  <c:v>25490636</c:v>
                </c:pt>
                <c:pt idx="98">
                  <c:v>17858256</c:v>
                </c:pt>
                <c:pt idx="99">
                  <c:v>12386806</c:v>
                </c:pt>
                <c:pt idx="100">
                  <c:v>213868637</c:v>
                </c:pt>
                <c:pt idx="101">
                  <c:v>15467783</c:v>
                </c:pt>
                <c:pt idx="102">
                  <c:v>16357488</c:v>
                </c:pt>
                <c:pt idx="103">
                  <c:v>17861196</c:v>
                </c:pt>
                <c:pt idx="104">
                  <c:v>13834768</c:v>
                </c:pt>
                <c:pt idx="105">
                  <c:v>7555438</c:v>
                </c:pt>
                <c:pt idx="106">
                  <c:v>21705121</c:v>
                </c:pt>
                <c:pt idx="107">
                  <c:v>22334542</c:v>
                </c:pt>
                <c:pt idx="108">
                  <c:v>19841357</c:v>
                </c:pt>
                <c:pt idx="109">
                  <c:v>8891578</c:v>
                </c:pt>
                <c:pt idx="110">
                  <c:v>13473956</c:v>
                </c:pt>
                <c:pt idx="111">
                  <c:v>6662740</c:v>
                </c:pt>
                <c:pt idx="112">
                  <c:v>7022713</c:v>
                </c:pt>
                <c:pt idx="113">
                  <c:v>8646895</c:v>
                </c:pt>
                <c:pt idx="114">
                  <c:v>9504501</c:v>
                </c:pt>
                <c:pt idx="115">
                  <c:v>6553541</c:v>
                </c:pt>
                <c:pt idx="116">
                  <c:v>10539766</c:v>
                </c:pt>
                <c:pt idx="117">
                  <c:v>11711156</c:v>
                </c:pt>
                <c:pt idx="118">
                  <c:v>12690385</c:v>
                </c:pt>
                <c:pt idx="119">
                  <c:v>12846174</c:v>
                </c:pt>
                <c:pt idx="120">
                  <c:v>5522296</c:v>
                </c:pt>
                <c:pt idx="121">
                  <c:v>7242917</c:v>
                </c:pt>
                <c:pt idx="122">
                  <c:v>5240839</c:v>
                </c:pt>
                <c:pt idx="123">
                  <c:v>3629665</c:v>
                </c:pt>
                <c:pt idx="124">
                  <c:v>11111109</c:v>
                </c:pt>
                <c:pt idx="125">
                  <c:v>7058618</c:v>
                </c:pt>
                <c:pt idx="126">
                  <c:v>3656903</c:v>
                </c:pt>
                <c:pt idx="127">
                  <c:v>9279288</c:v>
                </c:pt>
                <c:pt idx="128">
                  <c:v>12213097</c:v>
                </c:pt>
                <c:pt idx="129">
                  <c:v>9408174</c:v>
                </c:pt>
                <c:pt idx="130">
                  <c:v>6763953</c:v>
                </c:pt>
                <c:pt idx="131">
                  <c:v>9869095</c:v>
                </c:pt>
                <c:pt idx="132">
                  <c:v>20210111</c:v>
                </c:pt>
                <c:pt idx="133">
                  <c:v>8726640</c:v>
                </c:pt>
                <c:pt idx="134">
                  <c:v>10834533</c:v>
                </c:pt>
                <c:pt idx="135">
                  <c:v>13330716</c:v>
                </c:pt>
                <c:pt idx="136">
                  <c:v>7011446</c:v>
                </c:pt>
                <c:pt idx="137">
                  <c:v>10606227</c:v>
                </c:pt>
                <c:pt idx="138">
                  <c:v>11556038</c:v>
                </c:pt>
                <c:pt idx="139">
                  <c:v>8778809</c:v>
                </c:pt>
                <c:pt idx="140">
                  <c:v>15579072</c:v>
                </c:pt>
                <c:pt idx="141">
                  <c:v>15309653</c:v>
                </c:pt>
                <c:pt idx="142">
                  <c:v>17454579</c:v>
                </c:pt>
                <c:pt idx="143">
                  <c:v>12118100</c:v>
                </c:pt>
                <c:pt idx="144">
                  <c:v>11402083</c:v>
                </c:pt>
                <c:pt idx="145">
                  <c:v>15089656</c:v>
                </c:pt>
                <c:pt idx="146">
                  <c:v>6309945</c:v>
                </c:pt>
                <c:pt idx="147">
                  <c:v>12872423</c:v>
                </c:pt>
                <c:pt idx="148">
                  <c:v>7910843</c:v>
                </c:pt>
                <c:pt idx="149">
                  <c:v>2793764</c:v>
                </c:pt>
                <c:pt idx="150">
                  <c:v>10138270</c:v>
                </c:pt>
                <c:pt idx="151">
                  <c:v>14308251</c:v>
                </c:pt>
                <c:pt idx="152">
                  <c:v>11837753</c:v>
                </c:pt>
                <c:pt idx="153">
                  <c:v>13380358</c:v>
                </c:pt>
                <c:pt idx="154">
                  <c:v>11754800</c:v>
                </c:pt>
                <c:pt idx="155">
                  <c:v>8597975</c:v>
                </c:pt>
                <c:pt idx="156">
                  <c:v>11362352</c:v>
                </c:pt>
                <c:pt idx="157">
                  <c:v>11404785</c:v>
                </c:pt>
                <c:pt idx="158">
                  <c:v>6301217</c:v>
                </c:pt>
                <c:pt idx="159">
                  <c:v>9979946</c:v>
                </c:pt>
                <c:pt idx="160">
                  <c:v>6469473</c:v>
                </c:pt>
                <c:pt idx="161">
                  <c:v>8175455</c:v>
                </c:pt>
                <c:pt idx="162">
                  <c:v>5942056</c:v>
                </c:pt>
                <c:pt idx="163">
                  <c:v>13195255</c:v>
                </c:pt>
                <c:pt idx="164">
                  <c:v>7840470</c:v>
                </c:pt>
                <c:pt idx="165">
                  <c:v>10346823</c:v>
                </c:pt>
                <c:pt idx="166">
                  <c:v>12069354</c:v>
                </c:pt>
                <c:pt idx="167">
                  <c:v>17893400</c:v>
                </c:pt>
                <c:pt idx="168">
                  <c:v>27258364</c:v>
                </c:pt>
                <c:pt idx="169">
                  <c:v>10602682</c:v>
                </c:pt>
                <c:pt idx="170">
                  <c:v>9960479</c:v>
                </c:pt>
                <c:pt idx="171">
                  <c:v>10791936</c:v>
                </c:pt>
                <c:pt idx="172">
                  <c:v>16483044</c:v>
                </c:pt>
                <c:pt idx="173">
                  <c:v>6686457</c:v>
                </c:pt>
                <c:pt idx="174">
                  <c:v>7802025</c:v>
                </c:pt>
                <c:pt idx="175">
                  <c:v>9949215</c:v>
                </c:pt>
                <c:pt idx="176">
                  <c:v>9392053</c:v>
                </c:pt>
                <c:pt idx="177">
                  <c:v>7868132</c:v>
                </c:pt>
                <c:pt idx="178">
                  <c:v>9475957</c:v>
                </c:pt>
                <c:pt idx="179">
                  <c:v>10953589</c:v>
                </c:pt>
                <c:pt idx="180">
                  <c:v>7610703</c:v>
                </c:pt>
                <c:pt idx="181">
                  <c:v>8916989</c:v>
                </c:pt>
                <c:pt idx="182">
                  <c:v>16754132</c:v>
                </c:pt>
                <c:pt idx="183">
                  <c:v>8696868</c:v>
                </c:pt>
                <c:pt idx="184">
                  <c:v>19550708</c:v>
                </c:pt>
                <c:pt idx="185">
                  <c:v>12239221</c:v>
                </c:pt>
                <c:pt idx="186">
                  <c:v>20829050</c:v>
                </c:pt>
                <c:pt idx="187">
                  <c:v>14386824</c:v>
                </c:pt>
                <c:pt idx="188">
                  <c:v>14255503</c:v>
                </c:pt>
                <c:pt idx="189">
                  <c:v>5786782</c:v>
                </c:pt>
                <c:pt idx="190">
                  <c:v>5625019</c:v>
                </c:pt>
                <c:pt idx="191">
                  <c:v>16770227</c:v>
                </c:pt>
                <c:pt idx="192">
                  <c:v>18997725</c:v>
                </c:pt>
                <c:pt idx="193">
                  <c:v>17781936</c:v>
                </c:pt>
                <c:pt idx="194">
                  <c:v>11227304</c:v>
                </c:pt>
                <c:pt idx="195">
                  <c:v>16387883</c:v>
                </c:pt>
                <c:pt idx="196">
                  <c:v>24649172</c:v>
                </c:pt>
                <c:pt idx="197">
                  <c:v>9568410</c:v>
                </c:pt>
                <c:pt idx="198">
                  <c:v>17851542</c:v>
                </c:pt>
                <c:pt idx="199">
                  <c:v>17123649</c:v>
                </c:pt>
                <c:pt idx="200">
                  <c:v>22980875</c:v>
                </c:pt>
                <c:pt idx="201">
                  <c:v>15285321</c:v>
                </c:pt>
                <c:pt idx="202">
                  <c:v>12965877</c:v>
                </c:pt>
                <c:pt idx="203">
                  <c:v>9250439</c:v>
                </c:pt>
                <c:pt idx="204">
                  <c:v>6960246</c:v>
                </c:pt>
                <c:pt idx="205">
                  <c:v>9459154</c:v>
                </c:pt>
                <c:pt idx="206">
                  <c:v>15968435</c:v>
                </c:pt>
                <c:pt idx="207">
                  <c:v>11406024</c:v>
                </c:pt>
                <c:pt idx="208">
                  <c:v>7534012</c:v>
                </c:pt>
                <c:pt idx="209">
                  <c:v>8745078</c:v>
                </c:pt>
                <c:pt idx="210">
                  <c:v>10710389</c:v>
                </c:pt>
                <c:pt idx="211">
                  <c:v>17401715</c:v>
                </c:pt>
                <c:pt idx="212">
                  <c:v>8594398</c:v>
                </c:pt>
                <c:pt idx="213">
                  <c:v>9309486</c:v>
                </c:pt>
                <c:pt idx="214">
                  <c:v>12121051</c:v>
                </c:pt>
                <c:pt idx="215">
                  <c:v>7722654</c:v>
                </c:pt>
                <c:pt idx="216">
                  <c:v>16120729</c:v>
                </c:pt>
                <c:pt idx="217">
                  <c:v>7934005</c:v>
                </c:pt>
                <c:pt idx="218">
                  <c:v>5101482</c:v>
                </c:pt>
                <c:pt idx="219">
                  <c:v>11939545</c:v>
                </c:pt>
                <c:pt idx="220">
                  <c:v>7566020</c:v>
                </c:pt>
                <c:pt idx="221">
                  <c:v>10653335</c:v>
                </c:pt>
                <c:pt idx="222">
                  <c:v>4783036</c:v>
                </c:pt>
                <c:pt idx="223">
                  <c:v>5401430</c:v>
                </c:pt>
                <c:pt idx="224">
                  <c:v>13081074</c:v>
                </c:pt>
                <c:pt idx="225">
                  <c:v>9078797</c:v>
                </c:pt>
                <c:pt idx="226">
                  <c:v>14458897</c:v>
                </c:pt>
                <c:pt idx="227">
                  <c:v>14374039</c:v>
                </c:pt>
                <c:pt idx="228">
                  <c:v>7334411</c:v>
                </c:pt>
                <c:pt idx="229">
                  <c:v>12188792</c:v>
                </c:pt>
                <c:pt idx="230">
                  <c:v>6480771</c:v>
                </c:pt>
                <c:pt idx="231">
                  <c:v>11127709</c:v>
                </c:pt>
                <c:pt idx="232">
                  <c:v>15063504</c:v>
                </c:pt>
                <c:pt idx="233">
                  <c:v>6601294</c:v>
                </c:pt>
                <c:pt idx="234">
                  <c:v>7766563</c:v>
                </c:pt>
                <c:pt idx="235">
                  <c:v>5548197</c:v>
                </c:pt>
                <c:pt idx="236">
                  <c:v>8174565</c:v>
                </c:pt>
                <c:pt idx="237">
                  <c:v>6058881</c:v>
                </c:pt>
                <c:pt idx="238">
                  <c:v>8256873</c:v>
                </c:pt>
                <c:pt idx="239">
                  <c:v>8489368</c:v>
                </c:pt>
                <c:pt idx="240">
                  <c:v>9216908</c:v>
                </c:pt>
                <c:pt idx="241">
                  <c:v>8438110</c:v>
                </c:pt>
                <c:pt idx="242">
                  <c:v>16450204</c:v>
                </c:pt>
                <c:pt idx="243">
                  <c:v>5869759</c:v>
                </c:pt>
                <c:pt idx="244">
                  <c:v>11312661</c:v>
                </c:pt>
                <c:pt idx="245">
                  <c:v>9202966</c:v>
                </c:pt>
                <c:pt idx="246">
                  <c:v>25042415</c:v>
                </c:pt>
                <c:pt idx="247">
                  <c:v>14106692</c:v>
                </c:pt>
                <c:pt idx="248">
                  <c:v>6824510</c:v>
                </c:pt>
                <c:pt idx="249">
                  <c:v>7194693</c:v>
                </c:pt>
                <c:pt idx="250">
                  <c:v>9439125</c:v>
                </c:pt>
                <c:pt idx="251">
                  <c:v>8430253</c:v>
                </c:pt>
                <c:pt idx="252">
                  <c:v>3931972</c:v>
                </c:pt>
                <c:pt idx="253">
                  <c:v>5674713</c:v>
                </c:pt>
                <c:pt idx="254">
                  <c:v>7612158</c:v>
                </c:pt>
                <c:pt idx="255">
                  <c:v>6930714</c:v>
                </c:pt>
                <c:pt idx="256">
                  <c:v>8515155</c:v>
                </c:pt>
                <c:pt idx="257">
                  <c:v>6258461</c:v>
                </c:pt>
                <c:pt idx="258">
                  <c:v>6544425</c:v>
                </c:pt>
                <c:pt idx="259">
                  <c:v>7249084</c:v>
                </c:pt>
                <c:pt idx="260">
                  <c:v>8997306</c:v>
                </c:pt>
                <c:pt idx="261">
                  <c:v>11264579</c:v>
                </c:pt>
                <c:pt idx="262">
                  <c:v>8064723</c:v>
                </c:pt>
                <c:pt idx="263">
                  <c:v>11154539</c:v>
                </c:pt>
                <c:pt idx="264">
                  <c:v>7418407</c:v>
                </c:pt>
                <c:pt idx="265">
                  <c:v>6817458</c:v>
                </c:pt>
                <c:pt idx="266">
                  <c:v>9553588</c:v>
                </c:pt>
                <c:pt idx="267">
                  <c:v>4653299</c:v>
                </c:pt>
                <c:pt idx="268">
                  <c:v>6029790</c:v>
                </c:pt>
                <c:pt idx="269">
                  <c:v>9947848</c:v>
                </c:pt>
                <c:pt idx="270">
                  <c:v>7577018</c:v>
                </c:pt>
                <c:pt idx="271">
                  <c:v>11091516</c:v>
                </c:pt>
                <c:pt idx="272">
                  <c:v>5658629</c:v>
                </c:pt>
                <c:pt idx="273">
                  <c:v>6966973</c:v>
                </c:pt>
                <c:pt idx="274">
                  <c:v>11989029</c:v>
                </c:pt>
                <c:pt idx="275">
                  <c:v>7040102</c:v>
                </c:pt>
                <c:pt idx="276">
                  <c:v>6540593</c:v>
                </c:pt>
                <c:pt idx="277">
                  <c:v>6947632</c:v>
                </c:pt>
                <c:pt idx="278">
                  <c:v>4552927</c:v>
                </c:pt>
                <c:pt idx="279">
                  <c:v>6468901</c:v>
                </c:pt>
                <c:pt idx="280">
                  <c:v>6788698</c:v>
                </c:pt>
                <c:pt idx="281">
                  <c:v>8755858</c:v>
                </c:pt>
                <c:pt idx="282">
                  <c:v>9642398</c:v>
                </c:pt>
                <c:pt idx="283">
                  <c:v>6176219</c:v>
                </c:pt>
                <c:pt idx="284">
                  <c:v>4975114</c:v>
                </c:pt>
                <c:pt idx="285">
                  <c:v>6219925</c:v>
                </c:pt>
                <c:pt idx="286">
                  <c:v>9916751</c:v>
                </c:pt>
                <c:pt idx="287">
                  <c:v>8759022</c:v>
                </c:pt>
                <c:pt idx="288">
                  <c:v>16917731</c:v>
                </c:pt>
                <c:pt idx="289">
                  <c:v>25438255</c:v>
                </c:pt>
                <c:pt idx="290">
                  <c:v>14823813</c:v>
                </c:pt>
                <c:pt idx="291">
                  <c:v>20178344</c:v>
                </c:pt>
                <c:pt idx="292">
                  <c:v>14196320</c:v>
                </c:pt>
                <c:pt idx="293">
                  <c:v>16083481</c:v>
                </c:pt>
                <c:pt idx="294">
                  <c:v>17597657</c:v>
                </c:pt>
                <c:pt idx="295">
                  <c:v>11602111</c:v>
                </c:pt>
                <c:pt idx="296">
                  <c:v>11711307</c:v>
                </c:pt>
                <c:pt idx="297">
                  <c:v>13985539</c:v>
                </c:pt>
                <c:pt idx="298">
                  <c:v>18091100</c:v>
                </c:pt>
                <c:pt idx="299">
                  <c:v>15113633</c:v>
                </c:pt>
                <c:pt idx="300">
                  <c:v>14363519</c:v>
                </c:pt>
                <c:pt idx="301">
                  <c:v>14486377</c:v>
                </c:pt>
                <c:pt idx="302">
                  <c:v>18661794</c:v>
                </c:pt>
                <c:pt idx="303">
                  <c:v>17361476</c:v>
                </c:pt>
                <c:pt idx="304">
                  <c:v>17791598</c:v>
                </c:pt>
                <c:pt idx="305">
                  <c:v>31243267</c:v>
                </c:pt>
                <c:pt idx="306">
                  <c:v>10854415</c:v>
                </c:pt>
                <c:pt idx="307">
                  <c:v>21022298</c:v>
                </c:pt>
                <c:pt idx="308">
                  <c:v>15117220</c:v>
                </c:pt>
                <c:pt idx="309">
                  <c:v>31413279</c:v>
                </c:pt>
                <c:pt idx="310">
                  <c:v>14874656</c:v>
                </c:pt>
                <c:pt idx="311">
                  <c:v>32398179</c:v>
                </c:pt>
                <c:pt idx="312">
                  <c:v>28296687</c:v>
                </c:pt>
                <c:pt idx="313">
                  <c:v>25350832</c:v>
                </c:pt>
                <c:pt idx="314">
                  <c:v>26658296</c:v>
                </c:pt>
                <c:pt idx="315">
                  <c:v>18542683</c:v>
                </c:pt>
                <c:pt idx="316">
                  <c:v>25535736</c:v>
                </c:pt>
                <c:pt idx="317">
                  <c:v>15939710</c:v>
                </c:pt>
                <c:pt idx="318">
                  <c:v>15370950</c:v>
                </c:pt>
                <c:pt idx="319">
                  <c:v>13757080</c:v>
                </c:pt>
                <c:pt idx="320">
                  <c:v>18634254</c:v>
                </c:pt>
                <c:pt idx="321">
                  <c:v>22934382</c:v>
                </c:pt>
                <c:pt idx="322">
                  <c:v>23310447</c:v>
                </c:pt>
                <c:pt idx="323">
                  <c:v>22936566</c:v>
                </c:pt>
                <c:pt idx="324">
                  <c:v>25210511</c:v>
                </c:pt>
                <c:pt idx="325">
                  <c:v>22195202</c:v>
                </c:pt>
                <c:pt idx="326">
                  <c:v>3471600</c:v>
                </c:pt>
                <c:pt idx="327">
                  <c:v>43526526</c:v>
                </c:pt>
                <c:pt idx="328">
                  <c:v>17707768</c:v>
                </c:pt>
                <c:pt idx="329">
                  <c:v>15700796</c:v>
                </c:pt>
                <c:pt idx="330">
                  <c:v>33904289</c:v>
                </c:pt>
                <c:pt idx="331">
                  <c:v>17769445</c:v>
                </c:pt>
                <c:pt idx="332">
                  <c:v>19962917</c:v>
                </c:pt>
                <c:pt idx="333">
                  <c:v>23221330</c:v>
                </c:pt>
                <c:pt idx="334">
                  <c:v>16607180</c:v>
                </c:pt>
                <c:pt idx="335">
                  <c:v>20024544</c:v>
                </c:pt>
                <c:pt idx="336">
                  <c:v>22279516</c:v>
                </c:pt>
                <c:pt idx="337">
                  <c:v>15004568</c:v>
                </c:pt>
                <c:pt idx="338">
                  <c:v>15988262</c:v>
                </c:pt>
                <c:pt idx="339">
                  <c:v>10200530</c:v>
                </c:pt>
                <c:pt idx="340">
                  <c:v>13137263</c:v>
                </c:pt>
                <c:pt idx="341">
                  <c:v>14124839</c:v>
                </c:pt>
                <c:pt idx="342">
                  <c:v>21386965</c:v>
                </c:pt>
                <c:pt idx="343">
                  <c:v>18396408</c:v>
                </c:pt>
                <c:pt idx="344">
                  <c:v>20002640</c:v>
                </c:pt>
                <c:pt idx="345">
                  <c:v>19813847</c:v>
                </c:pt>
                <c:pt idx="346">
                  <c:v>19850865</c:v>
                </c:pt>
                <c:pt idx="347">
                  <c:v>17499897</c:v>
                </c:pt>
                <c:pt idx="348">
                  <c:v>32204053</c:v>
                </c:pt>
                <c:pt idx="349">
                  <c:v>24989383</c:v>
                </c:pt>
                <c:pt idx="350">
                  <c:v>19494356</c:v>
                </c:pt>
                <c:pt idx="351">
                  <c:v>25536848</c:v>
                </c:pt>
                <c:pt idx="352">
                  <c:v>15988807</c:v>
                </c:pt>
                <c:pt idx="353">
                  <c:v>16746566</c:v>
                </c:pt>
                <c:pt idx="354">
                  <c:v>27316662</c:v>
                </c:pt>
                <c:pt idx="355">
                  <c:v>15448777</c:v>
                </c:pt>
                <c:pt idx="356">
                  <c:v>14528169</c:v>
                </c:pt>
                <c:pt idx="357">
                  <c:v>12843366</c:v>
                </c:pt>
                <c:pt idx="358">
                  <c:v>12901022</c:v>
                </c:pt>
                <c:pt idx="359">
                  <c:v>15294322</c:v>
                </c:pt>
                <c:pt idx="360">
                  <c:v>15322830</c:v>
                </c:pt>
                <c:pt idx="361">
                  <c:v>11844809</c:v>
                </c:pt>
                <c:pt idx="362">
                  <c:v>11988618</c:v>
                </c:pt>
                <c:pt idx="363">
                  <c:v>9790060</c:v>
                </c:pt>
                <c:pt idx="364">
                  <c:v>20049088</c:v>
                </c:pt>
                <c:pt idx="365">
                  <c:v>19080922</c:v>
                </c:pt>
                <c:pt idx="366">
                  <c:v>14912404</c:v>
                </c:pt>
                <c:pt idx="367">
                  <c:v>25952384</c:v>
                </c:pt>
                <c:pt idx="368">
                  <c:v>13540411</c:v>
                </c:pt>
                <c:pt idx="369">
                  <c:v>17927849</c:v>
                </c:pt>
                <c:pt idx="370">
                  <c:v>13699996</c:v>
                </c:pt>
                <c:pt idx="371">
                  <c:v>9360853</c:v>
                </c:pt>
                <c:pt idx="372">
                  <c:v>13545749</c:v>
                </c:pt>
                <c:pt idx="373">
                  <c:v>33155849</c:v>
                </c:pt>
                <c:pt idx="374">
                  <c:v>10963454</c:v>
                </c:pt>
                <c:pt idx="375">
                  <c:v>7132074</c:v>
                </c:pt>
                <c:pt idx="376">
                  <c:v>11751459</c:v>
                </c:pt>
                <c:pt idx="377">
                  <c:v>27647379</c:v>
                </c:pt>
                <c:pt idx="378">
                  <c:v>31988783</c:v>
                </c:pt>
                <c:pt idx="379">
                  <c:v>52884712</c:v>
                </c:pt>
                <c:pt idx="380">
                  <c:v>21928849</c:v>
                </c:pt>
                <c:pt idx="381">
                  <c:v>38183839</c:v>
                </c:pt>
                <c:pt idx="382">
                  <c:v>21071666</c:v>
                </c:pt>
                <c:pt idx="383">
                  <c:v>32042827</c:v>
                </c:pt>
                <c:pt idx="384">
                  <c:v>36688248</c:v>
                </c:pt>
                <c:pt idx="385">
                  <c:v>37780235</c:v>
                </c:pt>
                <c:pt idx="386">
                  <c:v>38191942</c:v>
                </c:pt>
                <c:pt idx="387">
                  <c:v>36022727</c:v>
                </c:pt>
                <c:pt idx="388">
                  <c:v>32766854</c:v>
                </c:pt>
                <c:pt idx="389">
                  <c:v>44444755</c:v>
                </c:pt>
                <c:pt idx="390">
                  <c:v>30985247</c:v>
                </c:pt>
                <c:pt idx="391">
                  <c:v>44753093</c:v>
                </c:pt>
                <c:pt idx="392">
                  <c:v>35347138</c:v>
                </c:pt>
                <c:pt idx="393">
                  <c:v>37175628</c:v>
                </c:pt>
                <c:pt idx="394">
                  <c:v>29691233</c:v>
                </c:pt>
                <c:pt idx="395">
                  <c:v>9856486</c:v>
                </c:pt>
                <c:pt idx="396">
                  <c:v>28032106</c:v>
                </c:pt>
                <c:pt idx="397">
                  <c:v>50336968</c:v>
                </c:pt>
                <c:pt idx="398">
                  <c:v>24366770</c:v>
                </c:pt>
                <c:pt idx="399">
                  <c:v>28103169</c:v>
                </c:pt>
                <c:pt idx="400">
                  <c:v>18120272</c:v>
                </c:pt>
                <c:pt idx="401">
                  <c:v>23947829</c:v>
                </c:pt>
                <c:pt idx="402">
                  <c:v>31525385</c:v>
                </c:pt>
                <c:pt idx="403">
                  <c:v>24869804</c:v>
                </c:pt>
                <c:pt idx="404">
                  <c:v>33872203</c:v>
                </c:pt>
                <c:pt idx="405">
                  <c:v>50188359</c:v>
                </c:pt>
                <c:pt idx="406">
                  <c:v>18806989</c:v>
                </c:pt>
                <c:pt idx="407">
                  <c:v>22599629</c:v>
                </c:pt>
                <c:pt idx="408">
                  <c:v>12738702</c:v>
                </c:pt>
                <c:pt idx="409">
                  <c:v>21209234</c:v>
                </c:pt>
                <c:pt idx="410">
                  <c:v>22654907</c:v>
                </c:pt>
                <c:pt idx="411">
                  <c:v>23270122</c:v>
                </c:pt>
                <c:pt idx="412">
                  <c:v>31313985</c:v>
                </c:pt>
                <c:pt idx="413">
                  <c:v>27884303</c:v>
                </c:pt>
                <c:pt idx="414">
                  <c:v>41165937</c:v>
                </c:pt>
                <c:pt idx="415">
                  <c:v>34620755</c:v>
                </c:pt>
                <c:pt idx="416">
                  <c:v>38378924</c:v>
                </c:pt>
                <c:pt idx="417">
                  <c:v>39862322</c:v>
                </c:pt>
                <c:pt idx="418">
                  <c:v>31324582</c:v>
                </c:pt>
                <c:pt idx="419">
                  <c:v>34439647</c:v>
                </c:pt>
                <c:pt idx="420">
                  <c:v>35592613</c:v>
                </c:pt>
                <c:pt idx="421">
                  <c:v>52866024</c:v>
                </c:pt>
                <c:pt idx="422">
                  <c:v>42261076</c:v>
                </c:pt>
                <c:pt idx="423">
                  <c:v>46107561</c:v>
                </c:pt>
                <c:pt idx="424">
                  <c:v>41700464</c:v>
                </c:pt>
                <c:pt idx="425">
                  <c:v>52182605</c:v>
                </c:pt>
                <c:pt idx="426">
                  <c:v>38826979</c:v>
                </c:pt>
                <c:pt idx="427">
                  <c:v>23507063</c:v>
                </c:pt>
                <c:pt idx="428">
                  <c:v>171637393</c:v>
                </c:pt>
                <c:pt idx="429">
                  <c:v>103129469</c:v>
                </c:pt>
                <c:pt idx="430">
                  <c:v>72341738</c:v>
                </c:pt>
                <c:pt idx="431">
                  <c:v>61269986</c:v>
                </c:pt>
                <c:pt idx="432">
                  <c:v>59230640</c:v>
                </c:pt>
                <c:pt idx="433">
                  <c:v>65485199</c:v>
                </c:pt>
                <c:pt idx="434">
                  <c:v>103500135</c:v>
                </c:pt>
                <c:pt idx="435">
                  <c:v>78862761</c:v>
                </c:pt>
                <c:pt idx="436">
                  <c:v>49310300</c:v>
                </c:pt>
                <c:pt idx="437">
                  <c:v>42976659</c:v>
                </c:pt>
                <c:pt idx="438">
                  <c:v>51309793</c:v>
                </c:pt>
                <c:pt idx="439">
                  <c:v>70269512</c:v>
                </c:pt>
                <c:pt idx="440">
                  <c:v>48879392</c:v>
                </c:pt>
                <c:pt idx="441">
                  <c:v>38156026</c:v>
                </c:pt>
                <c:pt idx="442">
                  <c:v>47549328</c:v>
                </c:pt>
                <c:pt idx="443">
                  <c:v>39769515</c:v>
                </c:pt>
                <c:pt idx="444">
                  <c:v>62861293</c:v>
                </c:pt>
                <c:pt idx="445">
                  <c:v>37282544</c:v>
                </c:pt>
                <c:pt idx="446">
                  <c:v>52148044</c:v>
                </c:pt>
                <c:pt idx="447">
                  <c:v>49135752</c:v>
                </c:pt>
                <c:pt idx="448">
                  <c:v>23876412</c:v>
                </c:pt>
                <c:pt idx="449">
                  <c:v>37677616</c:v>
                </c:pt>
                <c:pt idx="450">
                  <c:v>27720358</c:v>
                </c:pt>
                <c:pt idx="451">
                  <c:v>18115375</c:v>
                </c:pt>
                <c:pt idx="452">
                  <c:v>35366803</c:v>
                </c:pt>
                <c:pt idx="453">
                  <c:v>25799963</c:v>
                </c:pt>
                <c:pt idx="454">
                  <c:v>47998755</c:v>
                </c:pt>
                <c:pt idx="455">
                  <c:v>29028060</c:v>
                </c:pt>
                <c:pt idx="456">
                  <c:v>38887657</c:v>
                </c:pt>
                <c:pt idx="457">
                  <c:v>35530831</c:v>
                </c:pt>
                <c:pt idx="458">
                  <c:v>46137553</c:v>
                </c:pt>
                <c:pt idx="459">
                  <c:v>38016841</c:v>
                </c:pt>
                <c:pt idx="460">
                  <c:v>41123422</c:v>
                </c:pt>
                <c:pt idx="461">
                  <c:v>43937132</c:v>
                </c:pt>
                <c:pt idx="462">
                  <c:v>28960919</c:v>
                </c:pt>
                <c:pt idx="463">
                  <c:v>50992358</c:v>
                </c:pt>
                <c:pt idx="464">
                  <c:v>24347873</c:v>
                </c:pt>
                <c:pt idx="465">
                  <c:v>29812079</c:v>
                </c:pt>
                <c:pt idx="466">
                  <c:v>40307830</c:v>
                </c:pt>
                <c:pt idx="467">
                  <c:v>24013451</c:v>
                </c:pt>
                <c:pt idx="468">
                  <c:v>34664725</c:v>
                </c:pt>
                <c:pt idx="469">
                  <c:v>25604071</c:v>
                </c:pt>
                <c:pt idx="470">
                  <c:v>26043952</c:v>
                </c:pt>
                <c:pt idx="471">
                  <c:v>31528062</c:v>
                </c:pt>
                <c:pt idx="472">
                  <c:v>63680153</c:v>
                </c:pt>
                <c:pt idx="473">
                  <c:v>101299431</c:v>
                </c:pt>
                <c:pt idx="474">
                  <c:v>47996441</c:v>
                </c:pt>
                <c:pt idx="475">
                  <c:v>47314447</c:v>
                </c:pt>
                <c:pt idx="476">
                  <c:v>36109480</c:v>
                </c:pt>
                <c:pt idx="477">
                  <c:v>42673538</c:v>
                </c:pt>
                <c:pt idx="478">
                  <c:v>22116568</c:v>
                </c:pt>
                <c:pt idx="479">
                  <c:v>21550700</c:v>
                </c:pt>
                <c:pt idx="480">
                  <c:v>38539563</c:v>
                </c:pt>
                <c:pt idx="481">
                  <c:v>44458159</c:v>
                </c:pt>
                <c:pt idx="482">
                  <c:v>32632007</c:v>
                </c:pt>
                <c:pt idx="483">
                  <c:v>36088159</c:v>
                </c:pt>
                <c:pt idx="484">
                  <c:v>39990334</c:v>
                </c:pt>
                <c:pt idx="485">
                  <c:v>27820970</c:v>
                </c:pt>
                <c:pt idx="486">
                  <c:v>32405604</c:v>
                </c:pt>
                <c:pt idx="487">
                  <c:v>41492071</c:v>
                </c:pt>
                <c:pt idx="488">
                  <c:v>33798761</c:v>
                </c:pt>
                <c:pt idx="489">
                  <c:v>25194765</c:v>
                </c:pt>
                <c:pt idx="490">
                  <c:v>28289062</c:v>
                </c:pt>
                <c:pt idx="491">
                  <c:v>34701292</c:v>
                </c:pt>
                <c:pt idx="492">
                  <c:v>46707966</c:v>
                </c:pt>
                <c:pt idx="493">
                  <c:v>46695977</c:v>
                </c:pt>
                <c:pt idx="494">
                  <c:v>45778356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B-43D5-9C84-2570577E1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081753"/>
        <c:axId val="55385253"/>
      </c:barChart>
      <c:lineChart>
        <c:grouping val="standard"/>
        <c:varyColors val="0"/>
        <c:ser>
          <c:idx val="1"/>
          <c:order val="1"/>
          <c:tx>
            <c:strRef>
              <c:f>HDFCBANK!$H$1</c:f>
              <c:strCache>
                <c:ptCount val="1"/>
                <c:pt idx="0">
                  <c:v>CLOSE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HDFCBANK!$A$2:$A$496</c:f>
              <c:numCache>
                <c:formatCode>d\-mmm\-yy</c:formatCode>
                <c:ptCount val="495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45614</c:v>
                </c:pt>
                <c:pt idx="97">
                  <c:v>45615</c:v>
                </c:pt>
                <c:pt idx="98">
                  <c:v>45617</c:v>
                </c:pt>
                <c:pt idx="99">
                  <c:v>45618</c:v>
                </c:pt>
                <c:pt idx="100">
                  <c:v>45621</c:v>
                </c:pt>
                <c:pt idx="101">
                  <c:v>45622</c:v>
                </c:pt>
                <c:pt idx="102">
                  <c:v>45623</c:v>
                </c:pt>
                <c:pt idx="103">
                  <c:v>45624</c:v>
                </c:pt>
                <c:pt idx="104">
                  <c:v>45625</c:v>
                </c:pt>
                <c:pt idx="105">
                  <c:v>45628</c:v>
                </c:pt>
                <c:pt idx="106">
                  <c:v>45629</c:v>
                </c:pt>
                <c:pt idx="107">
                  <c:v>45630</c:v>
                </c:pt>
                <c:pt idx="108">
                  <c:v>45631</c:v>
                </c:pt>
                <c:pt idx="109">
                  <c:v>45632</c:v>
                </c:pt>
                <c:pt idx="110">
                  <c:v>45635</c:v>
                </c:pt>
                <c:pt idx="111">
                  <c:v>45636</c:v>
                </c:pt>
                <c:pt idx="112">
                  <c:v>45637</c:v>
                </c:pt>
                <c:pt idx="113">
                  <c:v>45638</c:v>
                </c:pt>
                <c:pt idx="114">
                  <c:v>45639</c:v>
                </c:pt>
                <c:pt idx="115">
                  <c:v>45642</c:v>
                </c:pt>
                <c:pt idx="116">
                  <c:v>45643</c:v>
                </c:pt>
                <c:pt idx="117">
                  <c:v>45644</c:v>
                </c:pt>
                <c:pt idx="118">
                  <c:v>45645</c:v>
                </c:pt>
                <c:pt idx="119">
                  <c:v>45646</c:v>
                </c:pt>
                <c:pt idx="120">
                  <c:v>45649</c:v>
                </c:pt>
                <c:pt idx="121">
                  <c:v>45650</c:v>
                </c:pt>
                <c:pt idx="122">
                  <c:v>45652</c:v>
                </c:pt>
                <c:pt idx="123">
                  <c:v>45653</c:v>
                </c:pt>
                <c:pt idx="124">
                  <c:v>45656</c:v>
                </c:pt>
                <c:pt idx="125">
                  <c:v>45657</c:v>
                </c:pt>
                <c:pt idx="126">
                  <c:v>45658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45666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45677</c:v>
                </c:pt>
                <c:pt idx="140">
                  <c:v>45678</c:v>
                </c:pt>
                <c:pt idx="141">
                  <c:v>45679</c:v>
                </c:pt>
                <c:pt idx="142">
                  <c:v>45680</c:v>
                </c:pt>
                <c:pt idx="143">
                  <c:v>45681</c:v>
                </c:pt>
                <c:pt idx="144">
                  <c:v>45684</c:v>
                </c:pt>
                <c:pt idx="145">
                  <c:v>45685</c:v>
                </c:pt>
                <c:pt idx="146">
                  <c:v>45686</c:v>
                </c:pt>
                <c:pt idx="147">
                  <c:v>45687</c:v>
                </c:pt>
                <c:pt idx="148">
                  <c:v>45688</c:v>
                </c:pt>
                <c:pt idx="149">
                  <c:v>45689</c:v>
                </c:pt>
                <c:pt idx="150">
                  <c:v>45691</c:v>
                </c:pt>
                <c:pt idx="151">
                  <c:v>45692</c:v>
                </c:pt>
                <c:pt idx="152">
                  <c:v>45693</c:v>
                </c:pt>
                <c:pt idx="153">
                  <c:v>45694</c:v>
                </c:pt>
                <c:pt idx="154">
                  <c:v>45695</c:v>
                </c:pt>
                <c:pt idx="155">
                  <c:v>45698</c:v>
                </c:pt>
                <c:pt idx="156">
                  <c:v>45699</c:v>
                </c:pt>
                <c:pt idx="157">
                  <c:v>45700</c:v>
                </c:pt>
                <c:pt idx="158">
                  <c:v>45701</c:v>
                </c:pt>
                <c:pt idx="159">
                  <c:v>45702</c:v>
                </c:pt>
                <c:pt idx="160">
                  <c:v>45705</c:v>
                </c:pt>
                <c:pt idx="161">
                  <c:v>45706</c:v>
                </c:pt>
                <c:pt idx="162">
                  <c:v>45707</c:v>
                </c:pt>
                <c:pt idx="163">
                  <c:v>45708</c:v>
                </c:pt>
                <c:pt idx="164">
                  <c:v>45709</c:v>
                </c:pt>
                <c:pt idx="165">
                  <c:v>45712</c:v>
                </c:pt>
                <c:pt idx="166">
                  <c:v>45713</c:v>
                </c:pt>
                <c:pt idx="167">
                  <c:v>45715</c:v>
                </c:pt>
                <c:pt idx="168">
                  <c:v>45716</c:v>
                </c:pt>
                <c:pt idx="169">
                  <c:v>45719</c:v>
                </c:pt>
                <c:pt idx="170">
                  <c:v>45720</c:v>
                </c:pt>
                <c:pt idx="171">
                  <c:v>45721</c:v>
                </c:pt>
                <c:pt idx="172">
                  <c:v>45722</c:v>
                </c:pt>
                <c:pt idx="173">
                  <c:v>45723</c:v>
                </c:pt>
                <c:pt idx="174">
                  <c:v>45726</c:v>
                </c:pt>
                <c:pt idx="175">
                  <c:v>45727</c:v>
                </c:pt>
                <c:pt idx="176">
                  <c:v>45728</c:v>
                </c:pt>
                <c:pt idx="177">
                  <c:v>45729</c:v>
                </c:pt>
                <c:pt idx="178">
                  <c:v>45733</c:v>
                </c:pt>
                <c:pt idx="179">
                  <c:v>45734</c:v>
                </c:pt>
                <c:pt idx="180">
                  <c:v>45735</c:v>
                </c:pt>
                <c:pt idx="181">
                  <c:v>45736</c:v>
                </c:pt>
                <c:pt idx="182">
                  <c:v>45737</c:v>
                </c:pt>
                <c:pt idx="183">
                  <c:v>45740</c:v>
                </c:pt>
                <c:pt idx="184">
                  <c:v>45741</c:v>
                </c:pt>
                <c:pt idx="185">
                  <c:v>45742</c:v>
                </c:pt>
                <c:pt idx="186">
                  <c:v>45743</c:v>
                </c:pt>
                <c:pt idx="187">
                  <c:v>45744</c:v>
                </c:pt>
                <c:pt idx="188">
                  <c:v>45748</c:v>
                </c:pt>
                <c:pt idx="189">
                  <c:v>45749</c:v>
                </c:pt>
                <c:pt idx="190">
                  <c:v>45750</c:v>
                </c:pt>
                <c:pt idx="191">
                  <c:v>45751</c:v>
                </c:pt>
                <c:pt idx="192">
                  <c:v>45754</c:v>
                </c:pt>
                <c:pt idx="193">
                  <c:v>45755</c:v>
                </c:pt>
                <c:pt idx="194">
                  <c:v>45756</c:v>
                </c:pt>
                <c:pt idx="195">
                  <c:v>45758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45798</c:v>
                </c:pt>
                <c:pt idx="221">
                  <c:v>45799</c:v>
                </c:pt>
                <c:pt idx="222">
                  <c:v>45800</c:v>
                </c:pt>
                <c:pt idx="223">
                  <c:v>45803</c:v>
                </c:pt>
                <c:pt idx="224">
                  <c:v>45804</c:v>
                </c:pt>
                <c:pt idx="225">
                  <c:v>45805</c:v>
                </c:pt>
                <c:pt idx="226">
                  <c:v>45806</c:v>
                </c:pt>
                <c:pt idx="227">
                  <c:v>45807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45817</c:v>
                </c:pt>
                <c:pt idx="234">
                  <c:v>45818</c:v>
                </c:pt>
                <c:pt idx="235">
                  <c:v>45819</c:v>
                </c:pt>
                <c:pt idx="236">
                  <c:v>45820</c:v>
                </c:pt>
                <c:pt idx="237">
                  <c:v>45821</c:v>
                </c:pt>
                <c:pt idx="238">
                  <c:v>45824</c:v>
                </c:pt>
                <c:pt idx="239">
                  <c:v>45825</c:v>
                </c:pt>
                <c:pt idx="240">
                  <c:v>45826</c:v>
                </c:pt>
                <c:pt idx="241">
                  <c:v>45827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45842</c:v>
                </c:pt>
                <c:pt idx="253">
                  <c:v>45845</c:v>
                </c:pt>
                <c:pt idx="254">
                  <c:v>45846</c:v>
                </c:pt>
                <c:pt idx="255">
                  <c:v>45847</c:v>
                </c:pt>
                <c:pt idx="256">
                  <c:v>45848</c:v>
                </c:pt>
                <c:pt idx="257">
                  <c:v>45849</c:v>
                </c:pt>
                <c:pt idx="258">
                  <c:v>45852</c:v>
                </c:pt>
                <c:pt idx="259">
                  <c:v>45853</c:v>
                </c:pt>
                <c:pt idx="260">
                  <c:v>45854</c:v>
                </c:pt>
                <c:pt idx="261">
                  <c:v>45855</c:v>
                </c:pt>
                <c:pt idx="262">
                  <c:v>45856</c:v>
                </c:pt>
                <c:pt idx="263">
                  <c:v>45859</c:v>
                </c:pt>
                <c:pt idx="264">
                  <c:v>45860</c:v>
                </c:pt>
                <c:pt idx="265">
                  <c:v>45861</c:v>
                </c:pt>
                <c:pt idx="266">
                  <c:v>45862</c:v>
                </c:pt>
                <c:pt idx="267">
                  <c:v>45863</c:v>
                </c:pt>
                <c:pt idx="268">
                  <c:v>45866</c:v>
                </c:pt>
                <c:pt idx="269">
                  <c:v>45867</c:v>
                </c:pt>
                <c:pt idx="270">
                  <c:v>45868</c:v>
                </c:pt>
                <c:pt idx="271">
                  <c:v>45869</c:v>
                </c:pt>
                <c:pt idx="272">
                  <c:v>45870</c:v>
                </c:pt>
                <c:pt idx="273">
                  <c:v>45873</c:v>
                </c:pt>
                <c:pt idx="274">
                  <c:v>45874</c:v>
                </c:pt>
                <c:pt idx="275">
                  <c:v>45875</c:v>
                </c:pt>
                <c:pt idx="276">
                  <c:v>45876</c:v>
                </c:pt>
                <c:pt idx="277">
                  <c:v>45877</c:v>
                </c:pt>
                <c:pt idx="278">
                  <c:v>45880</c:v>
                </c:pt>
                <c:pt idx="279">
                  <c:v>45881</c:v>
                </c:pt>
                <c:pt idx="280">
                  <c:v>45882</c:v>
                </c:pt>
                <c:pt idx="281">
                  <c:v>45883</c:v>
                </c:pt>
                <c:pt idx="282">
                  <c:v>45887</c:v>
                </c:pt>
                <c:pt idx="283">
                  <c:v>45888</c:v>
                </c:pt>
                <c:pt idx="284">
                  <c:v>45889</c:v>
                </c:pt>
                <c:pt idx="285">
                  <c:v>45890</c:v>
                </c:pt>
                <c:pt idx="286">
                  <c:v>45891</c:v>
                </c:pt>
                <c:pt idx="287">
                  <c:v>45894</c:v>
                </c:pt>
                <c:pt idx="288">
                  <c:v>45895</c:v>
                </c:pt>
                <c:pt idx="289">
                  <c:v>45897</c:v>
                </c:pt>
                <c:pt idx="290">
                  <c:v>45898</c:v>
                </c:pt>
                <c:pt idx="291">
                  <c:v>45901</c:v>
                </c:pt>
                <c:pt idx="292">
                  <c:v>45902</c:v>
                </c:pt>
                <c:pt idx="293">
                  <c:v>45903</c:v>
                </c:pt>
                <c:pt idx="294">
                  <c:v>45904</c:v>
                </c:pt>
                <c:pt idx="295">
                  <c:v>45905</c:v>
                </c:pt>
                <c:pt idx="296">
                  <c:v>45908</c:v>
                </c:pt>
                <c:pt idx="297">
                  <c:v>45909</c:v>
                </c:pt>
                <c:pt idx="298">
                  <c:v>45910</c:v>
                </c:pt>
                <c:pt idx="299">
                  <c:v>45911</c:v>
                </c:pt>
                <c:pt idx="300">
                  <c:v>45912</c:v>
                </c:pt>
                <c:pt idx="301">
                  <c:v>45915</c:v>
                </c:pt>
                <c:pt idx="302">
                  <c:v>45916</c:v>
                </c:pt>
                <c:pt idx="303">
                  <c:v>45917</c:v>
                </c:pt>
                <c:pt idx="304">
                  <c:v>45918</c:v>
                </c:pt>
                <c:pt idx="305">
                  <c:v>45919</c:v>
                </c:pt>
                <c:pt idx="306">
                  <c:v>45922</c:v>
                </c:pt>
                <c:pt idx="307">
                  <c:v>45923</c:v>
                </c:pt>
                <c:pt idx="308">
                  <c:v>45924</c:v>
                </c:pt>
                <c:pt idx="309">
                  <c:v>45925</c:v>
                </c:pt>
                <c:pt idx="310">
                  <c:v>45926</c:v>
                </c:pt>
                <c:pt idx="311">
                  <c:v>45929</c:v>
                </c:pt>
                <c:pt idx="312">
                  <c:v>45930</c:v>
                </c:pt>
                <c:pt idx="313">
                  <c:v>45931</c:v>
                </c:pt>
                <c:pt idx="314">
                  <c:v>45933</c:v>
                </c:pt>
                <c:pt idx="315">
                  <c:v>45936</c:v>
                </c:pt>
                <c:pt idx="316">
                  <c:v>45937</c:v>
                </c:pt>
                <c:pt idx="317">
                  <c:v>45938</c:v>
                </c:pt>
                <c:pt idx="318">
                  <c:v>45939</c:v>
                </c:pt>
                <c:pt idx="319">
                  <c:v>45940</c:v>
                </c:pt>
                <c:pt idx="320">
                  <c:v>45943</c:v>
                </c:pt>
                <c:pt idx="321">
                  <c:v>45944</c:v>
                </c:pt>
                <c:pt idx="322">
                  <c:v>45945</c:v>
                </c:pt>
                <c:pt idx="323">
                  <c:v>45946</c:v>
                </c:pt>
                <c:pt idx="324">
                  <c:v>45947</c:v>
                </c:pt>
                <c:pt idx="325">
                  <c:v>45950</c:v>
                </c:pt>
                <c:pt idx="326">
                  <c:v>45951</c:v>
                </c:pt>
                <c:pt idx="327">
                  <c:v>45953</c:v>
                </c:pt>
                <c:pt idx="328">
                  <c:v>45954</c:v>
                </c:pt>
                <c:pt idx="329">
                  <c:v>45957</c:v>
                </c:pt>
                <c:pt idx="330">
                  <c:v>45958</c:v>
                </c:pt>
                <c:pt idx="331">
                  <c:v>45959</c:v>
                </c:pt>
                <c:pt idx="332">
                  <c:v>45960</c:v>
                </c:pt>
                <c:pt idx="333">
                  <c:v>45961</c:v>
                </c:pt>
                <c:pt idx="334">
                  <c:v>45964</c:v>
                </c:pt>
                <c:pt idx="335">
                  <c:v>45965</c:v>
                </c:pt>
                <c:pt idx="336">
                  <c:v>45967</c:v>
                </c:pt>
                <c:pt idx="337">
                  <c:v>45968</c:v>
                </c:pt>
                <c:pt idx="338">
                  <c:v>45971</c:v>
                </c:pt>
                <c:pt idx="339">
                  <c:v>45972</c:v>
                </c:pt>
                <c:pt idx="340">
                  <c:v>45973</c:v>
                </c:pt>
                <c:pt idx="341">
                  <c:v>45974</c:v>
                </c:pt>
                <c:pt idx="342">
                  <c:v>45975</c:v>
                </c:pt>
                <c:pt idx="343">
                  <c:v>45978</c:v>
                </c:pt>
                <c:pt idx="344">
                  <c:v>45979</c:v>
                </c:pt>
                <c:pt idx="345">
                  <c:v>45980</c:v>
                </c:pt>
                <c:pt idx="346">
                  <c:v>45981</c:v>
                </c:pt>
                <c:pt idx="347">
                  <c:v>45982</c:v>
                </c:pt>
                <c:pt idx="348">
                  <c:v>45985</c:v>
                </c:pt>
                <c:pt idx="349">
                  <c:v>45986</c:v>
                </c:pt>
                <c:pt idx="350">
                  <c:v>45987</c:v>
                </c:pt>
                <c:pt idx="351">
                  <c:v>45988</c:v>
                </c:pt>
                <c:pt idx="352">
                  <c:v>45989</c:v>
                </c:pt>
                <c:pt idx="353">
                  <c:v>45992</c:v>
                </c:pt>
                <c:pt idx="354">
                  <c:v>45993</c:v>
                </c:pt>
                <c:pt idx="355">
                  <c:v>45994</c:v>
                </c:pt>
                <c:pt idx="356">
                  <c:v>45995</c:v>
                </c:pt>
                <c:pt idx="357">
                  <c:v>45996</c:v>
                </c:pt>
                <c:pt idx="358">
                  <c:v>45999</c:v>
                </c:pt>
                <c:pt idx="359">
                  <c:v>46000</c:v>
                </c:pt>
                <c:pt idx="360">
                  <c:v>46001</c:v>
                </c:pt>
                <c:pt idx="361">
                  <c:v>46002</c:v>
                </c:pt>
                <c:pt idx="362">
                  <c:v>46003</c:v>
                </c:pt>
                <c:pt idx="363">
                  <c:v>46006</c:v>
                </c:pt>
                <c:pt idx="364">
                  <c:v>46007</c:v>
                </c:pt>
                <c:pt idx="365">
                  <c:v>46008</c:v>
                </c:pt>
                <c:pt idx="366">
                  <c:v>46009</c:v>
                </c:pt>
                <c:pt idx="367">
                  <c:v>46010</c:v>
                </c:pt>
                <c:pt idx="368">
                  <c:v>46013</c:v>
                </c:pt>
                <c:pt idx="369">
                  <c:v>46014</c:v>
                </c:pt>
                <c:pt idx="370">
                  <c:v>46015</c:v>
                </c:pt>
                <c:pt idx="371">
                  <c:v>46017</c:v>
                </c:pt>
                <c:pt idx="372">
                  <c:v>46020</c:v>
                </c:pt>
                <c:pt idx="373">
                  <c:v>46021</c:v>
                </c:pt>
                <c:pt idx="374">
                  <c:v>46022</c:v>
                </c:pt>
                <c:pt idx="375">
                  <c:v>46023</c:v>
                </c:pt>
                <c:pt idx="376">
                  <c:v>46024</c:v>
                </c:pt>
                <c:pt idx="377">
                  <c:v>46027</c:v>
                </c:pt>
                <c:pt idx="378">
                  <c:v>46028</c:v>
                </c:pt>
                <c:pt idx="379">
                  <c:v>46029</c:v>
                </c:pt>
                <c:pt idx="380">
                  <c:v>46030</c:v>
                </c:pt>
                <c:pt idx="381">
                  <c:v>46031</c:v>
                </c:pt>
                <c:pt idx="382">
                  <c:v>46034</c:v>
                </c:pt>
                <c:pt idx="383">
                  <c:v>46035</c:v>
                </c:pt>
                <c:pt idx="384">
                  <c:v>46036</c:v>
                </c:pt>
                <c:pt idx="385">
                  <c:v>46038</c:v>
                </c:pt>
                <c:pt idx="386">
                  <c:v>46041</c:v>
                </c:pt>
                <c:pt idx="387">
                  <c:v>46042</c:v>
                </c:pt>
                <c:pt idx="388">
                  <c:v>46043</c:v>
                </c:pt>
                <c:pt idx="389">
                  <c:v>46044</c:v>
                </c:pt>
                <c:pt idx="390">
                  <c:v>46045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46062</c:v>
                </c:pt>
                <c:pt idx="402">
                  <c:v>46063</c:v>
                </c:pt>
                <c:pt idx="403">
                  <c:v>46064</c:v>
                </c:pt>
                <c:pt idx="404">
                  <c:v>46065</c:v>
                </c:pt>
                <c:pt idx="405">
                  <c:v>46066</c:v>
                </c:pt>
                <c:pt idx="406">
                  <c:v>46069</c:v>
                </c:pt>
                <c:pt idx="407">
                  <c:v>46070</c:v>
                </c:pt>
                <c:pt idx="408">
                  <c:v>46071</c:v>
                </c:pt>
                <c:pt idx="409">
                  <c:v>46072</c:v>
                </c:pt>
                <c:pt idx="410">
                  <c:v>46073</c:v>
                </c:pt>
                <c:pt idx="411">
                  <c:v>46076</c:v>
                </c:pt>
                <c:pt idx="412">
                  <c:v>46077</c:v>
                </c:pt>
                <c:pt idx="413">
                  <c:v>46078</c:v>
                </c:pt>
                <c:pt idx="414">
                  <c:v>46079</c:v>
                </c:pt>
                <c:pt idx="415">
                  <c:v>46080</c:v>
                </c:pt>
                <c:pt idx="416">
                  <c:v>46083</c:v>
                </c:pt>
                <c:pt idx="417">
                  <c:v>46085</c:v>
                </c:pt>
                <c:pt idx="418">
                  <c:v>46086</c:v>
                </c:pt>
                <c:pt idx="419">
                  <c:v>46087</c:v>
                </c:pt>
                <c:pt idx="420">
                  <c:v>46090</c:v>
                </c:pt>
                <c:pt idx="421">
                  <c:v>46091</c:v>
                </c:pt>
                <c:pt idx="422">
                  <c:v>46092</c:v>
                </c:pt>
                <c:pt idx="423">
                  <c:v>46093</c:v>
                </c:pt>
                <c:pt idx="424">
                  <c:v>46094</c:v>
                </c:pt>
                <c:pt idx="425">
                  <c:v>46097</c:v>
                </c:pt>
                <c:pt idx="426">
                  <c:v>46098</c:v>
                </c:pt>
                <c:pt idx="427">
                  <c:v>46099</c:v>
                </c:pt>
                <c:pt idx="428">
                  <c:v>46100</c:v>
                </c:pt>
                <c:pt idx="429">
                  <c:v>46101</c:v>
                </c:pt>
                <c:pt idx="430">
                  <c:v>46104</c:v>
                </c:pt>
                <c:pt idx="431">
                  <c:v>46105</c:v>
                </c:pt>
                <c:pt idx="432">
                  <c:v>46106</c:v>
                </c:pt>
                <c:pt idx="433">
                  <c:v>46108</c:v>
                </c:pt>
                <c:pt idx="434">
                  <c:v>46111</c:v>
                </c:pt>
                <c:pt idx="435">
                  <c:v>46113</c:v>
                </c:pt>
                <c:pt idx="436">
                  <c:v>46114</c:v>
                </c:pt>
                <c:pt idx="437">
                  <c:v>46118</c:v>
                </c:pt>
                <c:pt idx="438">
                  <c:v>46119</c:v>
                </c:pt>
                <c:pt idx="439">
                  <c:v>46120</c:v>
                </c:pt>
                <c:pt idx="440">
                  <c:v>46121</c:v>
                </c:pt>
                <c:pt idx="441">
                  <c:v>46122</c:v>
                </c:pt>
                <c:pt idx="442">
                  <c:v>46125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46132</c:v>
                </c:pt>
                <c:pt idx="447">
                  <c:v>46133</c:v>
                </c:pt>
                <c:pt idx="448">
                  <c:v>46134</c:v>
                </c:pt>
                <c:pt idx="449">
                  <c:v>46135</c:v>
                </c:pt>
                <c:pt idx="450">
                  <c:v>46136</c:v>
                </c:pt>
                <c:pt idx="451">
                  <c:v>46139</c:v>
                </c:pt>
                <c:pt idx="452">
                  <c:v>46140</c:v>
                </c:pt>
                <c:pt idx="453">
                  <c:v>46141</c:v>
                </c:pt>
                <c:pt idx="454">
                  <c:v>46142</c:v>
                </c:pt>
                <c:pt idx="455">
                  <c:v>46146</c:v>
                </c:pt>
                <c:pt idx="456">
                  <c:v>46147</c:v>
                </c:pt>
                <c:pt idx="457">
                  <c:v>46148</c:v>
                </c:pt>
                <c:pt idx="458">
                  <c:v>46149</c:v>
                </c:pt>
                <c:pt idx="459">
                  <c:v>46150</c:v>
                </c:pt>
                <c:pt idx="460">
                  <c:v>46153</c:v>
                </c:pt>
                <c:pt idx="461">
                  <c:v>46154</c:v>
                </c:pt>
                <c:pt idx="462">
                  <c:v>46155</c:v>
                </c:pt>
                <c:pt idx="463">
                  <c:v>46156</c:v>
                </c:pt>
                <c:pt idx="464">
                  <c:v>46157</c:v>
                </c:pt>
                <c:pt idx="465">
                  <c:v>46160</c:v>
                </c:pt>
                <c:pt idx="466">
                  <c:v>46161</c:v>
                </c:pt>
                <c:pt idx="467">
                  <c:v>46162</c:v>
                </c:pt>
                <c:pt idx="468">
                  <c:v>46163</c:v>
                </c:pt>
                <c:pt idx="469">
                  <c:v>46164</c:v>
                </c:pt>
                <c:pt idx="470">
                  <c:v>46167</c:v>
                </c:pt>
                <c:pt idx="471">
                  <c:v>46168</c:v>
                </c:pt>
                <c:pt idx="472">
                  <c:v>46169</c:v>
                </c:pt>
                <c:pt idx="473">
                  <c:v>46171</c:v>
                </c:pt>
                <c:pt idx="474">
                  <c:v>46174</c:v>
                </c:pt>
                <c:pt idx="475">
                  <c:v>46175</c:v>
                </c:pt>
                <c:pt idx="476">
                  <c:v>46176</c:v>
                </c:pt>
                <c:pt idx="477">
                  <c:v>46177</c:v>
                </c:pt>
                <c:pt idx="478">
                  <c:v>46178</c:v>
                </c:pt>
                <c:pt idx="479">
                  <c:v>46181</c:v>
                </c:pt>
                <c:pt idx="480">
                  <c:v>46182</c:v>
                </c:pt>
                <c:pt idx="481">
                  <c:v>46183</c:v>
                </c:pt>
                <c:pt idx="482">
                  <c:v>46184</c:v>
                </c:pt>
                <c:pt idx="483">
                  <c:v>46185</c:v>
                </c:pt>
                <c:pt idx="484">
                  <c:v>46188</c:v>
                </c:pt>
                <c:pt idx="485">
                  <c:v>46189</c:v>
                </c:pt>
                <c:pt idx="486">
                  <c:v>46190</c:v>
                </c:pt>
                <c:pt idx="487">
                  <c:v>46191</c:v>
                </c:pt>
                <c:pt idx="488">
                  <c:v>46192</c:v>
                </c:pt>
                <c:pt idx="489">
                  <c:v>46195</c:v>
                </c:pt>
                <c:pt idx="490">
                  <c:v>46196</c:v>
                </c:pt>
                <c:pt idx="491">
                  <c:v>46197</c:v>
                </c:pt>
                <c:pt idx="492">
                  <c:v>46198</c:v>
                </c:pt>
                <c:pt idx="493">
                  <c:v>46202</c:v>
                </c:pt>
                <c:pt idx="494">
                  <c:v>46203</c:v>
                </c:pt>
              </c:numCache>
            </c:numRef>
          </c:cat>
          <c:val>
            <c:numRef>
              <c:f>HDFCBANK!$H$2:$H$496</c:f>
              <c:numCache>
                <c:formatCode>#,##0.00</c:formatCode>
                <c:ptCount val="495"/>
                <c:pt idx="0">
                  <c:v>1705.2</c:v>
                </c:pt>
                <c:pt idx="1">
                  <c:v>1730.6</c:v>
                </c:pt>
                <c:pt idx="2">
                  <c:v>1768.65</c:v>
                </c:pt>
                <c:pt idx="3">
                  <c:v>1727.15</c:v>
                </c:pt>
                <c:pt idx="4">
                  <c:v>1648.1</c:v>
                </c:pt>
                <c:pt idx="5">
                  <c:v>1635.35</c:v>
                </c:pt>
                <c:pt idx="6">
                  <c:v>1636.5</c:v>
                </c:pt>
                <c:pt idx="7">
                  <c:v>1626.1</c:v>
                </c:pt>
                <c:pt idx="8">
                  <c:v>1621.9</c:v>
                </c:pt>
                <c:pt idx="9">
                  <c:v>1622.7</c:v>
                </c:pt>
                <c:pt idx="10">
                  <c:v>1622.1</c:v>
                </c:pt>
                <c:pt idx="11">
                  <c:v>1619.75</c:v>
                </c:pt>
                <c:pt idx="12">
                  <c:v>1614.8</c:v>
                </c:pt>
                <c:pt idx="13">
                  <c:v>1607.3</c:v>
                </c:pt>
                <c:pt idx="14">
                  <c:v>1642.55</c:v>
                </c:pt>
                <c:pt idx="15">
                  <c:v>1618.4</c:v>
                </c:pt>
                <c:pt idx="16">
                  <c:v>1604.05</c:v>
                </c:pt>
                <c:pt idx="17">
                  <c:v>1616.6</c:v>
                </c:pt>
                <c:pt idx="18">
                  <c:v>1618.15</c:v>
                </c:pt>
                <c:pt idx="19">
                  <c:v>1605.05</c:v>
                </c:pt>
                <c:pt idx="20">
                  <c:v>1615.55</c:v>
                </c:pt>
                <c:pt idx="21">
                  <c:v>1615.75</c:v>
                </c:pt>
                <c:pt idx="22">
                  <c:v>1638.8</c:v>
                </c:pt>
                <c:pt idx="23">
                  <c:v>1659.15</c:v>
                </c:pt>
                <c:pt idx="24">
                  <c:v>1615.75</c:v>
                </c:pt>
                <c:pt idx="25">
                  <c:v>1601.2</c:v>
                </c:pt>
                <c:pt idx="26">
                  <c:v>1623.5</c:v>
                </c:pt>
                <c:pt idx="27">
                  <c:v>1642.7</c:v>
                </c:pt>
                <c:pt idx="28">
                  <c:v>1650.2</c:v>
                </c:pt>
                <c:pt idx="29">
                  <c:v>1660.1</c:v>
                </c:pt>
                <c:pt idx="30">
                  <c:v>1603.2</c:v>
                </c:pt>
                <c:pt idx="31">
                  <c:v>1607.8</c:v>
                </c:pt>
                <c:pt idx="32">
                  <c:v>1632.1</c:v>
                </c:pt>
                <c:pt idx="33">
                  <c:v>1631.55</c:v>
                </c:pt>
                <c:pt idx="34">
                  <c:v>1637.7</c:v>
                </c:pt>
                <c:pt idx="35">
                  <c:v>1625.8</c:v>
                </c:pt>
                <c:pt idx="36">
                  <c:v>1631.3</c:v>
                </c:pt>
                <c:pt idx="37">
                  <c:v>1625.05</c:v>
                </c:pt>
                <c:pt idx="38">
                  <c:v>1639.95</c:v>
                </c:pt>
                <c:pt idx="39">
                  <c:v>1637.75</c:v>
                </c:pt>
                <c:pt idx="40">
                  <c:v>1637.1</c:v>
                </c:pt>
                <c:pt idx="41">
                  <c:v>1638.55</c:v>
                </c:pt>
                <c:pt idx="42">
                  <c:v>1636.9</c:v>
                </c:pt>
                <c:pt idx="43">
                  <c:v>1626.95</c:v>
                </c:pt>
                <c:pt idx="44">
                  <c:v>1637.35</c:v>
                </c:pt>
                <c:pt idx="45">
                  <c:v>1641.8</c:v>
                </c:pt>
                <c:pt idx="46">
                  <c:v>1645.45</c:v>
                </c:pt>
                <c:pt idx="47">
                  <c:v>1636.95</c:v>
                </c:pt>
                <c:pt idx="48">
                  <c:v>1646.5</c:v>
                </c:pt>
                <c:pt idx="49">
                  <c:v>1650.35</c:v>
                </c:pt>
                <c:pt idx="50">
                  <c:v>1643.9</c:v>
                </c:pt>
                <c:pt idx="51">
                  <c:v>1666.6</c:v>
                </c:pt>
                <c:pt idx="52">
                  <c:v>1665.95</c:v>
                </c:pt>
                <c:pt idx="53">
                  <c:v>1670.95</c:v>
                </c:pt>
                <c:pt idx="54">
                  <c:v>1668.8</c:v>
                </c:pt>
                <c:pt idx="55">
                  <c:v>1694.8</c:v>
                </c:pt>
                <c:pt idx="56">
                  <c:v>1708.5</c:v>
                </c:pt>
                <c:pt idx="57">
                  <c:v>1741.2</c:v>
                </c:pt>
                <c:pt idx="58">
                  <c:v>1759.8</c:v>
                </c:pt>
                <c:pt idx="59">
                  <c:v>1768.05</c:v>
                </c:pt>
                <c:pt idx="60">
                  <c:v>1779.1</c:v>
                </c:pt>
                <c:pt idx="61">
                  <c:v>1783.45</c:v>
                </c:pt>
                <c:pt idx="62">
                  <c:v>1752.65</c:v>
                </c:pt>
                <c:pt idx="63">
                  <c:v>1732.05</c:v>
                </c:pt>
                <c:pt idx="64">
                  <c:v>1726.2</c:v>
                </c:pt>
                <c:pt idx="65">
                  <c:v>1682</c:v>
                </c:pt>
                <c:pt idx="66">
                  <c:v>1657.65</c:v>
                </c:pt>
                <c:pt idx="67">
                  <c:v>1617.8</c:v>
                </c:pt>
                <c:pt idx="68">
                  <c:v>1651.05</c:v>
                </c:pt>
                <c:pt idx="69">
                  <c:v>1633.15</c:v>
                </c:pt>
                <c:pt idx="70">
                  <c:v>1662.4</c:v>
                </c:pt>
                <c:pt idx="71">
                  <c:v>1651</c:v>
                </c:pt>
                <c:pt idx="72">
                  <c:v>1688.1</c:v>
                </c:pt>
                <c:pt idx="73">
                  <c:v>1684.1</c:v>
                </c:pt>
                <c:pt idx="74">
                  <c:v>1699.8</c:v>
                </c:pt>
                <c:pt idx="75">
                  <c:v>1673.15</c:v>
                </c:pt>
                <c:pt idx="76">
                  <c:v>1681.85</c:v>
                </c:pt>
                <c:pt idx="77">
                  <c:v>1728.7</c:v>
                </c:pt>
                <c:pt idx="78">
                  <c:v>1714.55</c:v>
                </c:pt>
                <c:pt idx="79">
                  <c:v>1735.8</c:v>
                </c:pt>
                <c:pt idx="80">
                  <c:v>1749.65</c:v>
                </c:pt>
                <c:pt idx="81">
                  <c:v>1743.4</c:v>
                </c:pt>
                <c:pt idx="82">
                  <c:v>1734.2</c:v>
                </c:pt>
                <c:pt idx="83">
                  <c:v>1751.85</c:v>
                </c:pt>
                <c:pt idx="84">
                  <c:v>1734.6</c:v>
                </c:pt>
                <c:pt idx="85">
                  <c:v>1735.7</c:v>
                </c:pt>
                <c:pt idx="86">
                  <c:v>1737.3</c:v>
                </c:pt>
                <c:pt idx="87">
                  <c:v>1714.1</c:v>
                </c:pt>
                <c:pt idx="88">
                  <c:v>1757.85</c:v>
                </c:pt>
                <c:pt idx="89">
                  <c:v>1755.25</c:v>
                </c:pt>
                <c:pt idx="90">
                  <c:v>1746.55</c:v>
                </c:pt>
                <c:pt idx="91">
                  <c:v>1754.45</c:v>
                </c:pt>
                <c:pt idx="92">
                  <c:v>1766.3</c:v>
                </c:pt>
                <c:pt idx="93">
                  <c:v>1718.2</c:v>
                </c:pt>
                <c:pt idx="94">
                  <c:v>1681.35</c:v>
                </c:pt>
                <c:pt idx="95">
                  <c:v>1692.75</c:v>
                </c:pt>
                <c:pt idx="96">
                  <c:v>1705.1</c:v>
                </c:pt>
                <c:pt idx="97">
                  <c:v>1742.25</c:v>
                </c:pt>
                <c:pt idx="98">
                  <c:v>1741.2</c:v>
                </c:pt>
                <c:pt idx="99">
                  <c:v>1745.6</c:v>
                </c:pt>
                <c:pt idx="100">
                  <c:v>1785.6</c:v>
                </c:pt>
                <c:pt idx="101">
                  <c:v>1785.55</c:v>
                </c:pt>
                <c:pt idx="102">
                  <c:v>1812.3</c:v>
                </c:pt>
                <c:pt idx="103">
                  <c:v>1793.15</c:v>
                </c:pt>
                <c:pt idx="104">
                  <c:v>1796.05</c:v>
                </c:pt>
                <c:pt idx="105">
                  <c:v>1804.7</c:v>
                </c:pt>
                <c:pt idx="106">
                  <c:v>1826.3</c:v>
                </c:pt>
                <c:pt idx="107">
                  <c:v>1860.1</c:v>
                </c:pt>
                <c:pt idx="108">
                  <c:v>1865.75</c:v>
                </c:pt>
                <c:pt idx="109">
                  <c:v>1855.85</c:v>
                </c:pt>
                <c:pt idx="110">
                  <c:v>1870</c:v>
                </c:pt>
                <c:pt idx="111">
                  <c:v>1868.1</c:v>
                </c:pt>
                <c:pt idx="112">
                  <c:v>1863.1</c:v>
                </c:pt>
                <c:pt idx="113">
                  <c:v>1859.25</c:v>
                </c:pt>
                <c:pt idx="114">
                  <c:v>1871.75</c:v>
                </c:pt>
                <c:pt idx="115">
                  <c:v>1865.2</c:v>
                </c:pt>
                <c:pt idx="116">
                  <c:v>1833.25</c:v>
                </c:pt>
                <c:pt idx="117">
                  <c:v>1810.7</c:v>
                </c:pt>
                <c:pt idx="118">
                  <c:v>1793.5</c:v>
                </c:pt>
                <c:pt idx="119">
                  <c:v>1771.5</c:v>
                </c:pt>
                <c:pt idx="120">
                  <c:v>1801</c:v>
                </c:pt>
                <c:pt idx="121">
                  <c:v>1798.1</c:v>
                </c:pt>
                <c:pt idx="122">
                  <c:v>1790.75</c:v>
                </c:pt>
                <c:pt idx="123">
                  <c:v>1798.25</c:v>
                </c:pt>
                <c:pt idx="124">
                  <c:v>1777.9</c:v>
                </c:pt>
                <c:pt idx="125">
                  <c:v>1772.85</c:v>
                </c:pt>
                <c:pt idx="126">
                  <c:v>1782.75</c:v>
                </c:pt>
                <c:pt idx="127">
                  <c:v>1793.75</c:v>
                </c:pt>
                <c:pt idx="128">
                  <c:v>1749.2</c:v>
                </c:pt>
                <c:pt idx="129">
                  <c:v>1710.5</c:v>
                </c:pt>
                <c:pt idx="130">
                  <c:v>1713.4</c:v>
                </c:pt>
                <c:pt idx="131">
                  <c:v>1694.3</c:v>
                </c:pt>
                <c:pt idx="132">
                  <c:v>1667.8</c:v>
                </c:pt>
                <c:pt idx="133">
                  <c:v>1656.75</c:v>
                </c:pt>
                <c:pt idx="134">
                  <c:v>1630.85</c:v>
                </c:pt>
                <c:pt idx="135">
                  <c:v>1646.6</c:v>
                </c:pt>
                <c:pt idx="136">
                  <c:v>1643.05</c:v>
                </c:pt>
                <c:pt idx="137">
                  <c:v>1652.05</c:v>
                </c:pt>
                <c:pt idx="138">
                  <c:v>1636.75</c:v>
                </c:pt>
                <c:pt idx="139">
                  <c:v>1651.25</c:v>
                </c:pt>
                <c:pt idx="140">
                  <c:v>1642.4</c:v>
                </c:pt>
                <c:pt idx="141">
                  <c:v>1666.05</c:v>
                </c:pt>
                <c:pt idx="142">
                  <c:v>1664.9</c:v>
                </c:pt>
                <c:pt idx="143">
                  <c:v>1649.8</c:v>
                </c:pt>
                <c:pt idx="144">
                  <c:v>1629.8</c:v>
                </c:pt>
                <c:pt idx="145">
                  <c:v>1670.4</c:v>
                </c:pt>
                <c:pt idx="146">
                  <c:v>1677.3</c:v>
                </c:pt>
                <c:pt idx="147">
                  <c:v>1691.5</c:v>
                </c:pt>
                <c:pt idx="148">
                  <c:v>1698.75</c:v>
                </c:pt>
                <c:pt idx="149">
                  <c:v>1690.95</c:v>
                </c:pt>
                <c:pt idx="150">
                  <c:v>1678</c:v>
                </c:pt>
                <c:pt idx="151">
                  <c:v>1720.9</c:v>
                </c:pt>
                <c:pt idx="152">
                  <c:v>1737.8</c:v>
                </c:pt>
                <c:pt idx="153">
                  <c:v>1743.85</c:v>
                </c:pt>
                <c:pt idx="154">
                  <c:v>1732.75</c:v>
                </c:pt>
                <c:pt idx="155">
                  <c:v>1715.75</c:v>
                </c:pt>
                <c:pt idx="156">
                  <c:v>1701.4</c:v>
                </c:pt>
                <c:pt idx="157">
                  <c:v>1706.8</c:v>
                </c:pt>
                <c:pt idx="158">
                  <c:v>1697.7</c:v>
                </c:pt>
                <c:pt idx="159">
                  <c:v>1694.85</c:v>
                </c:pt>
                <c:pt idx="160">
                  <c:v>1717.35</c:v>
                </c:pt>
                <c:pt idx="161">
                  <c:v>1723.05</c:v>
                </c:pt>
                <c:pt idx="162">
                  <c:v>1727.2</c:v>
                </c:pt>
                <c:pt idx="163">
                  <c:v>1687.1</c:v>
                </c:pt>
                <c:pt idx="164">
                  <c:v>1692.5</c:v>
                </c:pt>
                <c:pt idx="165">
                  <c:v>1677.1</c:v>
                </c:pt>
                <c:pt idx="166">
                  <c:v>1682.35</c:v>
                </c:pt>
                <c:pt idx="167">
                  <c:v>1700.7</c:v>
                </c:pt>
                <c:pt idx="168">
                  <c:v>1732.4</c:v>
                </c:pt>
                <c:pt idx="169">
                  <c:v>1701.55</c:v>
                </c:pt>
                <c:pt idx="170">
                  <c:v>1710</c:v>
                </c:pt>
                <c:pt idx="171">
                  <c:v>1690</c:v>
                </c:pt>
                <c:pt idx="172">
                  <c:v>1691.2</c:v>
                </c:pt>
                <c:pt idx="173">
                  <c:v>1689.25</c:v>
                </c:pt>
                <c:pt idx="174">
                  <c:v>1687.5</c:v>
                </c:pt>
                <c:pt idx="175">
                  <c:v>1685.5</c:v>
                </c:pt>
                <c:pt idx="176">
                  <c:v>1711.15</c:v>
                </c:pt>
                <c:pt idx="177">
                  <c:v>1706.6</c:v>
                </c:pt>
                <c:pt idx="178">
                  <c:v>1710.4</c:v>
                </c:pt>
                <c:pt idx="179">
                  <c:v>1732.2</c:v>
                </c:pt>
                <c:pt idx="180">
                  <c:v>1744.1</c:v>
                </c:pt>
                <c:pt idx="181">
                  <c:v>1768.75</c:v>
                </c:pt>
                <c:pt idx="182">
                  <c:v>1770.35</c:v>
                </c:pt>
                <c:pt idx="183">
                  <c:v>1800</c:v>
                </c:pt>
                <c:pt idx="184">
                  <c:v>1821.45</c:v>
                </c:pt>
                <c:pt idx="185">
                  <c:v>1806.55</c:v>
                </c:pt>
                <c:pt idx="186">
                  <c:v>1825.35</c:v>
                </c:pt>
                <c:pt idx="187">
                  <c:v>1828.2</c:v>
                </c:pt>
                <c:pt idx="188">
                  <c:v>1767.85</c:v>
                </c:pt>
                <c:pt idx="189">
                  <c:v>1796.9</c:v>
                </c:pt>
                <c:pt idx="190">
                  <c:v>1794.85</c:v>
                </c:pt>
                <c:pt idx="191">
                  <c:v>1817.3</c:v>
                </c:pt>
                <c:pt idx="192">
                  <c:v>1757.7</c:v>
                </c:pt>
                <c:pt idx="193">
                  <c:v>1769.15</c:v>
                </c:pt>
                <c:pt idx="194">
                  <c:v>1765</c:v>
                </c:pt>
                <c:pt idx="195">
                  <c:v>1806.75</c:v>
                </c:pt>
                <c:pt idx="196">
                  <c:v>1864.9</c:v>
                </c:pt>
                <c:pt idx="197">
                  <c:v>1878</c:v>
                </c:pt>
                <c:pt idx="198">
                  <c:v>1906.7</c:v>
                </c:pt>
                <c:pt idx="199">
                  <c:v>1927.1</c:v>
                </c:pt>
                <c:pt idx="200">
                  <c:v>1961.7</c:v>
                </c:pt>
                <c:pt idx="201">
                  <c:v>1923.9</c:v>
                </c:pt>
                <c:pt idx="202">
                  <c:v>1916.8</c:v>
                </c:pt>
                <c:pt idx="203">
                  <c:v>1911.2</c:v>
                </c:pt>
                <c:pt idx="204">
                  <c:v>1920.2</c:v>
                </c:pt>
                <c:pt idx="205">
                  <c:v>1908.8</c:v>
                </c:pt>
                <c:pt idx="206">
                  <c:v>1925</c:v>
                </c:pt>
                <c:pt idx="207">
                  <c:v>1925</c:v>
                </c:pt>
                <c:pt idx="208">
                  <c:v>1936.8</c:v>
                </c:pt>
                <c:pt idx="209">
                  <c:v>1931.7</c:v>
                </c:pt>
                <c:pt idx="210">
                  <c:v>1945.6</c:v>
                </c:pt>
                <c:pt idx="211">
                  <c:v>1928.5</c:v>
                </c:pt>
                <c:pt idx="212">
                  <c:v>1889.7</c:v>
                </c:pt>
                <c:pt idx="213">
                  <c:v>1957.2</c:v>
                </c:pt>
                <c:pt idx="214">
                  <c:v>1922.6</c:v>
                </c:pt>
                <c:pt idx="215">
                  <c:v>1910.6</c:v>
                </c:pt>
                <c:pt idx="216">
                  <c:v>1933.8</c:v>
                </c:pt>
                <c:pt idx="217">
                  <c:v>1934.7</c:v>
                </c:pt>
                <c:pt idx="218">
                  <c:v>1938.7</c:v>
                </c:pt>
                <c:pt idx="219">
                  <c:v>1914.9</c:v>
                </c:pt>
                <c:pt idx="220">
                  <c:v>1926.8</c:v>
                </c:pt>
                <c:pt idx="221">
                  <c:v>1919.9</c:v>
                </c:pt>
                <c:pt idx="222">
                  <c:v>1933.6</c:v>
                </c:pt>
                <c:pt idx="223">
                  <c:v>1940.2</c:v>
                </c:pt>
                <c:pt idx="224">
                  <c:v>1926.3</c:v>
                </c:pt>
                <c:pt idx="225">
                  <c:v>1923.5</c:v>
                </c:pt>
                <c:pt idx="226">
                  <c:v>1927.5</c:v>
                </c:pt>
                <c:pt idx="227">
                  <c:v>1944.9</c:v>
                </c:pt>
                <c:pt idx="228">
                  <c:v>1932.1</c:v>
                </c:pt>
                <c:pt idx="229">
                  <c:v>1924.6</c:v>
                </c:pt>
                <c:pt idx="230">
                  <c:v>1941.2</c:v>
                </c:pt>
                <c:pt idx="231">
                  <c:v>1949.6</c:v>
                </c:pt>
                <c:pt idx="232">
                  <c:v>1978.7</c:v>
                </c:pt>
                <c:pt idx="233">
                  <c:v>1978.9</c:v>
                </c:pt>
                <c:pt idx="234">
                  <c:v>1965.3</c:v>
                </c:pt>
                <c:pt idx="235">
                  <c:v>1950.4</c:v>
                </c:pt>
                <c:pt idx="236">
                  <c:v>1943.4</c:v>
                </c:pt>
                <c:pt idx="237">
                  <c:v>1917.6</c:v>
                </c:pt>
                <c:pt idx="238">
                  <c:v>1935.4</c:v>
                </c:pt>
                <c:pt idx="239">
                  <c:v>1929.6</c:v>
                </c:pt>
                <c:pt idx="240">
                  <c:v>1933.9</c:v>
                </c:pt>
                <c:pt idx="241">
                  <c:v>1935.3</c:v>
                </c:pt>
                <c:pt idx="242">
                  <c:v>1964.7</c:v>
                </c:pt>
                <c:pt idx="243">
                  <c:v>1948.4</c:v>
                </c:pt>
                <c:pt idx="244">
                  <c:v>1960.9</c:v>
                </c:pt>
                <c:pt idx="245">
                  <c:v>1980.2</c:v>
                </c:pt>
                <c:pt idx="246">
                  <c:v>2021.8</c:v>
                </c:pt>
                <c:pt idx="247">
                  <c:v>2014.9</c:v>
                </c:pt>
                <c:pt idx="248">
                  <c:v>2001.5</c:v>
                </c:pt>
                <c:pt idx="249">
                  <c:v>2012.1</c:v>
                </c:pt>
                <c:pt idx="250">
                  <c:v>1986</c:v>
                </c:pt>
                <c:pt idx="251">
                  <c:v>1987.1</c:v>
                </c:pt>
                <c:pt idx="252">
                  <c:v>1989.3</c:v>
                </c:pt>
                <c:pt idx="253">
                  <c:v>1987.4</c:v>
                </c:pt>
                <c:pt idx="254">
                  <c:v>2001.4</c:v>
                </c:pt>
                <c:pt idx="255">
                  <c:v>2011.2</c:v>
                </c:pt>
                <c:pt idx="256">
                  <c:v>2006.2</c:v>
                </c:pt>
                <c:pt idx="257">
                  <c:v>1983.7</c:v>
                </c:pt>
                <c:pt idx="258">
                  <c:v>1983</c:v>
                </c:pt>
                <c:pt idx="259">
                  <c:v>1995.5</c:v>
                </c:pt>
                <c:pt idx="260">
                  <c:v>1996.3</c:v>
                </c:pt>
                <c:pt idx="261">
                  <c:v>1986.9</c:v>
                </c:pt>
                <c:pt idx="262">
                  <c:v>1957.4</c:v>
                </c:pt>
                <c:pt idx="263">
                  <c:v>2000.5</c:v>
                </c:pt>
                <c:pt idx="264">
                  <c:v>2007.1</c:v>
                </c:pt>
                <c:pt idx="265">
                  <c:v>2024.3</c:v>
                </c:pt>
                <c:pt idx="266">
                  <c:v>2014.2</c:v>
                </c:pt>
                <c:pt idx="267">
                  <c:v>2004.6</c:v>
                </c:pt>
                <c:pt idx="268">
                  <c:v>2008.5</c:v>
                </c:pt>
                <c:pt idx="269">
                  <c:v>2021.6</c:v>
                </c:pt>
                <c:pt idx="270">
                  <c:v>2025.8</c:v>
                </c:pt>
                <c:pt idx="271">
                  <c:v>2018.2</c:v>
                </c:pt>
                <c:pt idx="272">
                  <c:v>2012.2</c:v>
                </c:pt>
                <c:pt idx="273">
                  <c:v>1992</c:v>
                </c:pt>
                <c:pt idx="274">
                  <c:v>1977.6</c:v>
                </c:pt>
                <c:pt idx="275">
                  <c:v>1985.3</c:v>
                </c:pt>
                <c:pt idx="276">
                  <c:v>1995.4</c:v>
                </c:pt>
                <c:pt idx="277">
                  <c:v>1973.9</c:v>
                </c:pt>
                <c:pt idx="278">
                  <c:v>1995.6</c:v>
                </c:pt>
                <c:pt idx="279">
                  <c:v>1969.9</c:v>
                </c:pt>
                <c:pt idx="280">
                  <c:v>1980.3</c:v>
                </c:pt>
                <c:pt idx="281">
                  <c:v>1991.1</c:v>
                </c:pt>
                <c:pt idx="282">
                  <c:v>2003.6</c:v>
                </c:pt>
                <c:pt idx="283">
                  <c:v>1991.1</c:v>
                </c:pt>
                <c:pt idx="284">
                  <c:v>1988.2</c:v>
                </c:pt>
                <c:pt idx="285">
                  <c:v>1991.2</c:v>
                </c:pt>
                <c:pt idx="286">
                  <c:v>1964.6</c:v>
                </c:pt>
                <c:pt idx="287">
                  <c:v>1964.1</c:v>
                </c:pt>
                <c:pt idx="288" formatCode="General">
                  <c:v>973.4</c:v>
                </c:pt>
                <c:pt idx="289" formatCode="General">
                  <c:v>957.8</c:v>
                </c:pt>
                <c:pt idx="290" formatCode="General">
                  <c:v>951.6</c:v>
                </c:pt>
                <c:pt idx="291" formatCode="General">
                  <c:v>950.6</c:v>
                </c:pt>
                <c:pt idx="292" formatCode="General">
                  <c:v>944.5</c:v>
                </c:pt>
                <c:pt idx="293" formatCode="General">
                  <c:v>954.45</c:v>
                </c:pt>
                <c:pt idx="294" formatCode="General">
                  <c:v>961.25</c:v>
                </c:pt>
                <c:pt idx="295" formatCode="General">
                  <c:v>963.4</c:v>
                </c:pt>
                <c:pt idx="296" formatCode="General">
                  <c:v>966</c:v>
                </c:pt>
                <c:pt idx="297" formatCode="General">
                  <c:v>965.15</c:v>
                </c:pt>
                <c:pt idx="298" formatCode="General">
                  <c:v>965.9</c:v>
                </c:pt>
                <c:pt idx="299" formatCode="General">
                  <c:v>967.8</c:v>
                </c:pt>
                <c:pt idx="300" formatCode="General">
                  <c:v>967.3</c:v>
                </c:pt>
                <c:pt idx="301" formatCode="General">
                  <c:v>967.05</c:v>
                </c:pt>
                <c:pt idx="302" formatCode="General">
                  <c:v>966.85</c:v>
                </c:pt>
                <c:pt idx="303" formatCode="General">
                  <c:v>966.5</c:v>
                </c:pt>
                <c:pt idx="304" formatCode="General">
                  <c:v>976.9</c:v>
                </c:pt>
                <c:pt idx="305" formatCode="General">
                  <c:v>966.9</c:v>
                </c:pt>
                <c:pt idx="306" formatCode="General">
                  <c:v>964.2</c:v>
                </c:pt>
                <c:pt idx="307" formatCode="General">
                  <c:v>957.2</c:v>
                </c:pt>
                <c:pt idx="308" formatCode="General">
                  <c:v>951.05</c:v>
                </c:pt>
                <c:pt idx="309" formatCode="General">
                  <c:v>949.85</c:v>
                </c:pt>
                <c:pt idx="310" formatCode="General">
                  <c:v>945.05</c:v>
                </c:pt>
                <c:pt idx="311" formatCode="General">
                  <c:v>950.3</c:v>
                </c:pt>
                <c:pt idx="312" formatCode="General">
                  <c:v>951</c:v>
                </c:pt>
                <c:pt idx="313" formatCode="General">
                  <c:v>965.25</c:v>
                </c:pt>
                <c:pt idx="314" formatCode="General">
                  <c:v>965.15</c:v>
                </c:pt>
                <c:pt idx="315" formatCode="General">
                  <c:v>973.45</c:v>
                </c:pt>
                <c:pt idx="316" formatCode="General">
                  <c:v>982.5</c:v>
                </c:pt>
                <c:pt idx="317" formatCode="General">
                  <c:v>978.7</c:v>
                </c:pt>
                <c:pt idx="318" formatCode="General">
                  <c:v>977.1</c:v>
                </c:pt>
                <c:pt idx="319" formatCode="General">
                  <c:v>980.9</c:v>
                </c:pt>
                <c:pt idx="320" formatCode="General">
                  <c:v>977</c:v>
                </c:pt>
                <c:pt idx="321" formatCode="General">
                  <c:v>977.15</c:v>
                </c:pt>
                <c:pt idx="322" formatCode="General">
                  <c:v>978.25</c:v>
                </c:pt>
                <c:pt idx="323" formatCode="General">
                  <c:v>994.35</c:v>
                </c:pt>
                <c:pt idx="324">
                  <c:v>1002.55</c:v>
                </c:pt>
                <c:pt idx="325">
                  <c:v>1002.95</c:v>
                </c:pt>
                <c:pt idx="326">
                  <c:v>1007.7</c:v>
                </c:pt>
                <c:pt idx="327">
                  <c:v>1008.8</c:v>
                </c:pt>
                <c:pt idx="328" formatCode="General">
                  <c:v>994.75</c:v>
                </c:pt>
                <c:pt idx="329">
                  <c:v>1002.95</c:v>
                </c:pt>
                <c:pt idx="330">
                  <c:v>1003.55</c:v>
                </c:pt>
                <c:pt idx="331">
                  <c:v>1007.85</c:v>
                </c:pt>
                <c:pt idx="332" formatCode="General">
                  <c:v>998.15</c:v>
                </c:pt>
                <c:pt idx="333" formatCode="General">
                  <c:v>987.3</c:v>
                </c:pt>
                <c:pt idx="334" formatCode="General">
                  <c:v>992.65</c:v>
                </c:pt>
                <c:pt idx="335" formatCode="General">
                  <c:v>985.25</c:v>
                </c:pt>
                <c:pt idx="336" formatCode="General">
                  <c:v>984.65</c:v>
                </c:pt>
                <c:pt idx="337" formatCode="General">
                  <c:v>982.3</c:v>
                </c:pt>
                <c:pt idx="338" formatCode="General">
                  <c:v>984.5</c:v>
                </c:pt>
                <c:pt idx="339" formatCode="General">
                  <c:v>991.7</c:v>
                </c:pt>
                <c:pt idx="340" formatCode="General">
                  <c:v>989.5</c:v>
                </c:pt>
                <c:pt idx="341" formatCode="General">
                  <c:v>986.65</c:v>
                </c:pt>
                <c:pt idx="342" formatCode="General">
                  <c:v>989.6</c:v>
                </c:pt>
                <c:pt idx="343" formatCode="General">
                  <c:v>996.55</c:v>
                </c:pt>
                <c:pt idx="344" formatCode="General">
                  <c:v>992.45</c:v>
                </c:pt>
                <c:pt idx="345" formatCode="General">
                  <c:v>994.6</c:v>
                </c:pt>
                <c:pt idx="346">
                  <c:v>1008.85</c:v>
                </c:pt>
                <c:pt idx="347" formatCode="General">
                  <c:v>998.05</c:v>
                </c:pt>
                <c:pt idx="348" formatCode="General">
                  <c:v>999.15</c:v>
                </c:pt>
                <c:pt idx="349" formatCode="General">
                  <c:v>989.8</c:v>
                </c:pt>
                <c:pt idx="350">
                  <c:v>1003.9</c:v>
                </c:pt>
                <c:pt idx="351">
                  <c:v>1009.5</c:v>
                </c:pt>
                <c:pt idx="352">
                  <c:v>1007.6</c:v>
                </c:pt>
                <c:pt idx="353">
                  <c:v>1002.1</c:v>
                </c:pt>
                <c:pt idx="354" formatCode="General">
                  <c:v>989.8</c:v>
                </c:pt>
                <c:pt idx="355">
                  <c:v>1000.5</c:v>
                </c:pt>
                <c:pt idx="356" formatCode="General">
                  <c:v>997.2</c:v>
                </c:pt>
                <c:pt idx="357">
                  <c:v>1003.3</c:v>
                </c:pt>
                <c:pt idx="358">
                  <c:v>1003.1</c:v>
                </c:pt>
                <c:pt idx="359" formatCode="General">
                  <c:v>997.1</c:v>
                </c:pt>
                <c:pt idx="360" formatCode="General">
                  <c:v>989.8</c:v>
                </c:pt>
                <c:pt idx="361">
                  <c:v>1000.3</c:v>
                </c:pt>
                <c:pt idx="362">
                  <c:v>1001.5</c:v>
                </c:pt>
                <c:pt idx="363" formatCode="General">
                  <c:v>996.1</c:v>
                </c:pt>
                <c:pt idx="364" formatCode="General">
                  <c:v>994.3</c:v>
                </c:pt>
                <c:pt idx="365" formatCode="General">
                  <c:v>984</c:v>
                </c:pt>
                <c:pt idx="366" formatCode="General">
                  <c:v>979.7</c:v>
                </c:pt>
                <c:pt idx="367" formatCode="General">
                  <c:v>985.5</c:v>
                </c:pt>
                <c:pt idx="368" formatCode="General">
                  <c:v>987.7</c:v>
                </c:pt>
                <c:pt idx="369" formatCode="General">
                  <c:v>996.6</c:v>
                </c:pt>
                <c:pt idx="370" formatCode="General">
                  <c:v>997.2</c:v>
                </c:pt>
                <c:pt idx="371" formatCode="General">
                  <c:v>992.1</c:v>
                </c:pt>
                <c:pt idx="372" formatCode="General">
                  <c:v>991.7</c:v>
                </c:pt>
                <c:pt idx="373" formatCode="General">
                  <c:v>990.9</c:v>
                </c:pt>
                <c:pt idx="374" formatCode="General">
                  <c:v>991.2</c:v>
                </c:pt>
                <c:pt idx="375" formatCode="General">
                  <c:v>991.15</c:v>
                </c:pt>
                <c:pt idx="376">
                  <c:v>1001.6</c:v>
                </c:pt>
                <c:pt idx="377" formatCode="General">
                  <c:v>977.5</c:v>
                </c:pt>
                <c:pt idx="378" formatCode="General">
                  <c:v>962.2</c:v>
                </c:pt>
                <c:pt idx="379" formatCode="General">
                  <c:v>949.05</c:v>
                </c:pt>
                <c:pt idx="380" formatCode="General">
                  <c:v>946.7</c:v>
                </c:pt>
                <c:pt idx="381" formatCode="General">
                  <c:v>939</c:v>
                </c:pt>
                <c:pt idx="382" formatCode="General">
                  <c:v>936.95</c:v>
                </c:pt>
                <c:pt idx="383" formatCode="General">
                  <c:v>937.35</c:v>
                </c:pt>
                <c:pt idx="384" formatCode="General">
                  <c:v>925.45</c:v>
                </c:pt>
                <c:pt idx="385" formatCode="General">
                  <c:v>931.1</c:v>
                </c:pt>
                <c:pt idx="386" formatCode="General">
                  <c:v>927.9</c:v>
                </c:pt>
                <c:pt idx="387" formatCode="General">
                  <c:v>931.2</c:v>
                </c:pt>
                <c:pt idx="388" formatCode="General">
                  <c:v>920.35</c:v>
                </c:pt>
                <c:pt idx="389" formatCode="General">
                  <c:v>918.7</c:v>
                </c:pt>
                <c:pt idx="390" formatCode="General">
                  <c:v>916.1</c:v>
                </c:pt>
                <c:pt idx="391" formatCode="General">
                  <c:v>926.4</c:v>
                </c:pt>
                <c:pt idx="392" formatCode="General">
                  <c:v>932.7</c:v>
                </c:pt>
                <c:pt idx="393" formatCode="General">
                  <c:v>935.5</c:v>
                </c:pt>
                <c:pt idx="394" formatCode="General">
                  <c:v>929.25</c:v>
                </c:pt>
                <c:pt idx="395" formatCode="General">
                  <c:v>922.1</c:v>
                </c:pt>
                <c:pt idx="396" formatCode="General">
                  <c:v>928.1</c:v>
                </c:pt>
                <c:pt idx="397" formatCode="General">
                  <c:v>948.7</c:v>
                </c:pt>
                <c:pt idx="398" formatCode="General">
                  <c:v>953.1</c:v>
                </c:pt>
                <c:pt idx="399" formatCode="General">
                  <c:v>949.7</c:v>
                </c:pt>
                <c:pt idx="400" formatCode="General">
                  <c:v>941.1</c:v>
                </c:pt>
                <c:pt idx="401" formatCode="General">
                  <c:v>937.25</c:v>
                </c:pt>
                <c:pt idx="402" formatCode="General">
                  <c:v>932.4</c:v>
                </c:pt>
                <c:pt idx="403" formatCode="General">
                  <c:v>927.1</c:v>
                </c:pt>
                <c:pt idx="404" formatCode="General">
                  <c:v>920.6</c:v>
                </c:pt>
                <c:pt idx="405" formatCode="General">
                  <c:v>903.9</c:v>
                </c:pt>
                <c:pt idx="406" formatCode="General">
                  <c:v>925.8</c:v>
                </c:pt>
                <c:pt idx="407" formatCode="General">
                  <c:v>925.7</c:v>
                </c:pt>
                <c:pt idx="408" formatCode="General">
                  <c:v>924.7</c:v>
                </c:pt>
                <c:pt idx="409" formatCode="General">
                  <c:v>915.6</c:v>
                </c:pt>
                <c:pt idx="410" formatCode="General">
                  <c:v>911.85</c:v>
                </c:pt>
                <c:pt idx="411" formatCode="General">
                  <c:v>923.6</c:v>
                </c:pt>
                <c:pt idx="412" formatCode="General">
                  <c:v>910.5</c:v>
                </c:pt>
                <c:pt idx="413" formatCode="General">
                  <c:v>907.6</c:v>
                </c:pt>
                <c:pt idx="414" formatCode="General">
                  <c:v>898.6</c:v>
                </c:pt>
                <c:pt idx="415" formatCode="General">
                  <c:v>887.75</c:v>
                </c:pt>
                <c:pt idx="416" formatCode="General">
                  <c:v>879.4</c:v>
                </c:pt>
                <c:pt idx="417" formatCode="General">
                  <c:v>868.65</c:v>
                </c:pt>
                <c:pt idx="418" formatCode="General">
                  <c:v>877.75</c:v>
                </c:pt>
                <c:pt idx="419" formatCode="General">
                  <c:v>857.05</c:v>
                </c:pt>
                <c:pt idx="420" formatCode="General">
                  <c:v>840.7</c:v>
                </c:pt>
                <c:pt idx="421" formatCode="General">
                  <c:v>849.45</c:v>
                </c:pt>
                <c:pt idx="422" formatCode="General">
                  <c:v>833.95</c:v>
                </c:pt>
                <c:pt idx="423" formatCode="General">
                  <c:v>832.75</c:v>
                </c:pt>
                <c:pt idx="424" formatCode="General">
                  <c:v>817</c:v>
                </c:pt>
                <c:pt idx="425" formatCode="General">
                  <c:v>840.6</c:v>
                </c:pt>
                <c:pt idx="426" formatCode="General">
                  <c:v>845.35</c:v>
                </c:pt>
                <c:pt idx="427" formatCode="General">
                  <c:v>843.05</c:v>
                </c:pt>
                <c:pt idx="428" formatCode="General">
                  <c:v>798.2</c:v>
                </c:pt>
                <c:pt idx="429" formatCode="General">
                  <c:v>780.45</c:v>
                </c:pt>
                <c:pt idx="430" formatCode="General">
                  <c:v>744.15</c:v>
                </c:pt>
                <c:pt idx="431" formatCode="General">
                  <c:v>764.9</c:v>
                </c:pt>
                <c:pt idx="432" formatCode="General">
                  <c:v>782.3</c:v>
                </c:pt>
                <c:pt idx="433" formatCode="General">
                  <c:v>756.2</c:v>
                </c:pt>
                <c:pt idx="434" formatCode="General">
                  <c:v>731.55</c:v>
                </c:pt>
                <c:pt idx="435" formatCode="General">
                  <c:v>742.25</c:v>
                </c:pt>
                <c:pt idx="436" formatCode="General">
                  <c:v>750.9</c:v>
                </c:pt>
                <c:pt idx="437" formatCode="General">
                  <c:v>771</c:v>
                </c:pt>
                <c:pt idx="438" formatCode="General">
                  <c:v>772</c:v>
                </c:pt>
                <c:pt idx="439" formatCode="General">
                  <c:v>816.1</c:v>
                </c:pt>
                <c:pt idx="440" formatCode="General">
                  <c:v>797.7</c:v>
                </c:pt>
                <c:pt idx="441" formatCode="General">
                  <c:v>810.3</c:v>
                </c:pt>
                <c:pt idx="442" formatCode="General">
                  <c:v>794.7</c:v>
                </c:pt>
                <c:pt idx="443" formatCode="General">
                  <c:v>809.9</c:v>
                </c:pt>
                <c:pt idx="444" formatCode="General">
                  <c:v>795.45</c:v>
                </c:pt>
                <c:pt idx="445" formatCode="General">
                  <c:v>799.9</c:v>
                </c:pt>
                <c:pt idx="446" formatCode="General">
                  <c:v>795.45</c:v>
                </c:pt>
                <c:pt idx="447" formatCode="General">
                  <c:v>811.75</c:v>
                </c:pt>
                <c:pt idx="448" formatCode="General">
                  <c:v>799.9</c:v>
                </c:pt>
                <c:pt idx="449" formatCode="General">
                  <c:v>784.35</c:v>
                </c:pt>
                <c:pt idx="450" formatCode="General">
                  <c:v>784.85</c:v>
                </c:pt>
                <c:pt idx="451" formatCode="General">
                  <c:v>789.8</c:v>
                </c:pt>
                <c:pt idx="452" formatCode="General">
                  <c:v>782.55</c:v>
                </c:pt>
                <c:pt idx="453" formatCode="General">
                  <c:v>779</c:v>
                </c:pt>
                <c:pt idx="454" formatCode="General">
                  <c:v>771.7</c:v>
                </c:pt>
                <c:pt idx="455" formatCode="General">
                  <c:v>779.4</c:v>
                </c:pt>
                <c:pt idx="456" formatCode="General">
                  <c:v>772.3</c:v>
                </c:pt>
                <c:pt idx="457" formatCode="General">
                  <c:v>796.55</c:v>
                </c:pt>
                <c:pt idx="458" formatCode="General">
                  <c:v>796.05</c:v>
                </c:pt>
                <c:pt idx="459" formatCode="General">
                  <c:v>780.85</c:v>
                </c:pt>
                <c:pt idx="460" formatCode="General">
                  <c:v>763.65</c:v>
                </c:pt>
                <c:pt idx="461" formatCode="General">
                  <c:v>750.45</c:v>
                </c:pt>
                <c:pt idx="462" formatCode="General">
                  <c:v>749.6</c:v>
                </c:pt>
                <c:pt idx="463" formatCode="General">
                  <c:v>769.55</c:v>
                </c:pt>
                <c:pt idx="464" formatCode="General">
                  <c:v>767.5</c:v>
                </c:pt>
                <c:pt idx="465" formatCode="General">
                  <c:v>768.65</c:v>
                </c:pt>
                <c:pt idx="466" formatCode="General">
                  <c:v>762.45</c:v>
                </c:pt>
                <c:pt idx="467" formatCode="General">
                  <c:v>759.5</c:v>
                </c:pt>
                <c:pt idx="468" formatCode="General">
                  <c:v>759.15</c:v>
                </c:pt>
                <c:pt idx="469" formatCode="General">
                  <c:v>766.8</c:v>
                </c:pt>
                <c:pt idx="470" formatCode="General">
                  <c:v>786.85</c:v>
                </c:pt>
                <c:pt idx="471" formatCode="General">
                  <c:v>778.9</c:v>
                </c:pt>
                <c:pt idx="472" formatCode="General">
                  <c:v>758.65</c:v>
                </c:pt>
                <c:pt idx="473" formatCode="General">
                  <c:v>744.55</c:v>
                </c:pt>
                <c:pt idx="474" formatCode="General">
                  <c:v>742.7</c:v>
                </c:pt>
                <c:pt idx="475" formatCode="General">
                  <c:v>748.25</c:v>
                </c:pt>
                <c:pt idx="476" formatCode="General">
                  <c:v>753.65</c:v>
                </c:pt>
                <c:pt idx="477" formatCode="General">
                  <c:v>754.2</c:v>
                </c:pt>
                <c:pt idx="478" formatCode="General">
                  <c:v>747.05</c:v>
                </c:pt>
                <c:pt idx="479" formatCode="General">
                  <c:v>738.65</c:v>
                </c:pt>
                <c:pt idx="480" formatCode="General">
                  <c:v>738.35</c:v>
                </c:pt>
                <c:pt idx="481" formatCode="General">
                  <c:v>746.85</c:v>
                </c:pt>
                <c:pt idx="482" formatCode="General">
                  <c:v>744.6</c:v>
                </c:pt>
                <c:pt idx="483" formatCode="General">
                  <c:v>772.45</c:v>
                </c:pt>
                <c:pt idx="484" formatCode="General">
                  <c:v>777.35</c:v>
                </c:pt>
                <c:pt idx="485" formatCode="General">
                  <c:v>784.9</c:v>
                </c:pt>
                <c:pt idx="486" formatCode="General">
                  <c:v>787.1</c:v>
                </c:pt>
                <c:pt idx="487" formatCode="General">
                  <c:v>799</c:v>
                </c:pt>
                <c:pt idx="488" formatCode="General">
                  <c:v>779.8</c:v>
                </c:pt>
                <c:pt idx="489" formatCode="General">
                  <c:v>786.4</c:v>
                </c:pt>
                <c:pt idx="490" formatCode="General">
                  <c:v>774.65</c:v>
                </c:pt>
                <c:pt idx="491" formatCode="General">
                  <c:v>793.2</c:v>
                </c:pt>
                <c:pt idx="492" formatCode="General">
                  <c:v>796.3</c:v>
                </c:pt>
                <c:pt idx="493" formatCode="General">
                  <c:v>798.9</c:v>
                </c:pt>
                <c:pt idx="494" formatCode="General">
                  <c:v>797.95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49B-43D5-9C84-2570577E1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460696"/>
        <c:axId val="77160455"/>
      </c:lineChart>
      <c:dateAx>
        <c:axId val="420817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85253"/>
        <c:crosses val="autoZero"/>
        <c:auto val="1"/>
        <c:lblOffset val="100"/>
        <c:baseTimeUnit val="days"/>
      </c:dateAx>
      <c:valAx>
        <c:axId val="5538525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081753"/>
        <c:crosses val="autoZero"/>
        <c:crossBetween val="between"/>
      </c:valAx>
      <c:dateAx>
        <c:axId val="34606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160455"/>
        <c:crosses val="autoZero"/>
        <c:auto val="1"/>
        <c:lblOffset val="100"/>
        <c:baseTimeUnit val="days"/>
      </c:dateAx>
      <c:valAx>
        <c:axId val="7716045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Close Price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069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MARUTI: Price vs Volume (2Y Daily)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MARUTI!$L$1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MARUTI!$A$2:$A$496</c:f>
              <c:numCache>
                <c:formatCode>d\-mmm\-yy</c:formatCode>
                <c:ptCount val="495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45614</c:v>
                </c:pt>
                <c:pt idx="97">
                  <c:v>45615</c:v>
                </c:pt>
                <c:pt idx="98">
                  <c:v>45617</c:v>
                </c:pt>
                <c:pt idx="99">
                  <c:v>45618</c:v>
                </c:pt>
                <c:pt idx="100">
                  <c:v>45621</c:v>
                </c:pt>
                <c:pt idx="101">
                  <c:v>45622</c:v>
                </c:pt>
                <c:pt idx="102">
                  <c:v>45623</c:v>
                </c:pt>
                <c:pt idx="103">
                  <c:v>45624</c:v>
                </c:pt>
                <c:pt idx="104">
                  <c:v>45625</c:v>
                </c:pt>
                <c:pt idx="105">
                  <c:v>45628</c:v>
                </c:pt>
                <c:pt idx="106">
                  <c:v>45629</c:v>
                </c:pt>
                <c:pt idx="107">
                  <c:v>45630</c:v>
                </c:pt>
                <c:pt idx="108">
                  <c:v>45631</c:v>
                </c:pt>
                <c:pt idx="109">
                  <c:v>45632</c:v>
                </c:pt>
                <c:pt idx="110">
                  <c:v>45635</c:v>
                </c:pt>
                <c:pt idx="111">
                  <c:v>45636</c:v>
                </c:pt>
                <c:pt idx="112">
                  <c:v>45637</c:v>
                </c:pt>
                <c:pt idx="113">
                  <c:v>45638</c:v>
                </c:pt>
                <c:pt idx="114">
                  <c:v>45639</c:v>
                </c:pt>
                <c:pt idx="115">
                  <c:v>45642</c:v>
                </c:pt>
                <c:pt idx="116">
                  <c:v>45643</c:v>
                </c:pt>
                <c:pt idx="117">
                  <c:v>45644</c:v>
                </c:pt>
                <c:pt idx="118">
                  <c:v>45645</c:v>
                </c:pt>
                <c:pt idx="119">
                  <c:v>45646</c:v>
                </c:pt>
                <c:pt idx="120">
                  <c:v>45649</c:v>
                </c:pt>
                <c:pt idx="121">
                  <c:v>45650</c:v>
                </c:pt>
                <c:pt idx="122">
                  <c:v>45652</c:v>
                </c:pt>
                <c:pt idx="123">
                  <c:v>45653</c:v>
                </c:pt>
                <c:pt idx="124">
                  <c:v>45656</c:v>
                </c:pt>
                <c:pt idx="125">
                  <c:v>45657</c:v>
                </c:pt>
                <c:pt idx="126">
                  <c:v>45658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45666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45677</c:v>
                </c:pt>
                <c:pt idx="140">
                  <c:v>45678</c:v>
                </c:pt>
                <c:pt idx="141">
                  <c:v>45679</c:v>
                </c:pt>
                <c:pt idx="142">
                  <c:v>45680</c:v>
                </c:pt>
                <c:pt idx="143">
                  <c:v>45681</c:v>
                </c:pt>
                <c:pt idx="144">
                  <c:v>45684</c:v>
                </c:pt>
                <c:pt idx="145">
                  <c:v>45685</c:v>
                </c:pt>
                <c:pt idx="146">
                  <c:v>45686</c:v>
                </c:pt>
                <c:pt idx="147">
                  <c:v>45687</c:v>
                </c:pt>
                <c:pt idx="148">
                  <c:v>45688</c:v>
                </c:pt>
                <c:pt idx="149">
                  <c:v>45689</c:v>
                </c:pt>
                <c:pt idx="150">
                  <c:v>45691</c:v>
                </c:pt>
                <c:pt idx="151">
                  <c:v>45692</c:v>
                </c:pt>
                <c:pt idx="152">
                  <c:v>45693</c:v>
                </c:pt>
                <c:pt idx="153">
                  <c:v>45694</c:v>
                </c:pt>
                <c:pt idx="154">
                  <c:v>45695</c:v>
                </c:pt>
                <c:pt idx="155">
                  <c:v>45698</c:v>
                </c:pt>
                <c:pt idx="156">
                  <c:v>45699</c:v>
                </c:pt>
                <c:pt idx="157">
                  <c:v>45700</c:v>
                </c:pt>
                <c:pt idx="158">
                  <c:v>45701</c:v>
                </c:pt>
                <c:pt idx="159">
                  <c:v>45702</c:v>
                </c:pt>
                <c:pt idx="160">
                  <c:v>45705</c:v>
                </c:pt>
                <c:pt idx="161">
                  <c:v>45706</c:v>
                </c:pt>
                <c:pt idx="162">
                  <c:v>45707</c:v>
                </c:pt>
                <c:pt idx="163">
                  <c:v>45708</c:v>
                </c:pt>
                <c:pt idx="164">
                  <c:v>45709</c:v>
                </c:pt>
                <c:pt idx="165">
                  <c:v>45712</c:v>
                </c:pt>
                <c:pt idx="166">
                  <c:v>45713</c:v>
                </c:pt>
                <c:pt idx="167">
                  <c:v>45715</c:v>
                </c:pt>
                <c:pt idx="168">
                  <c:v>45716</c:v>
                </c:pt>
                <c:pt idx="169">
                  <c:v>45719</c:v>
                </c:pt>
                <c:pt idx="170">
                  <c:v>45720</c:v>
                </c:pt>
                <c:pt idx="171">
                  <c:v>45721</c:v>
                </c:pt>
                <c:pt idx="172">
                  <c:v>45722</c:v>
                </c:pt>
                <c:pt idx="173">
                  <c:v>45723</c:v>
                </c:pt>
                <c:pt idx="174">
                  <c:v>45726</c:v>
                </c:pt>
                <c:pt idx="175">
                  <c:v>45727</c:v>
                </c:pt>
                <c:pt idx="176">
                  <c:v>45728</c:v>
                </c:pt>
                <c:pt idx="177">
                  <c:v>45729</c:v>
                </c:pt>
                <c:pt idx="178">
                  <c:v>45733</c:v>
                </c:pt>
                <c:pt idx="179">
                  <c:v>45734</c:v>
                </c:pt>
                <c:pt idx="180">
                  <c:v>45735</c:v>
                </c:pt>
                <c:pt idx="181">
                  <c:v>45736</c:v>
                </c:pt>
                <c:pt idx="182">
                  <c:v>45737</c:v>
                </c:pt>
                <c:pt idx="183">
                  <c:v>45740</c:v>
                </c:pt>
                <c:pt idx="184">
                  <c:v>45741</c:v>
                </c:pt>
                <c:pt idx="185">
                  <c:v>45742</c:v>
                </c:pt>
                <c:pt idx="186">
                  <c:v>45743</c:v>
                </c:pt>
                <c:pt idx="187">
                  <c:v>45744</c:v>
                </c:pt>
                <c:pt idx="188">
                  <c:v>45748</c:v>
                </c:pt>
                <c:pt idx="189">
                  <c:v>45749</c:v>
                </c:pt>
                <c:pt idx="190">
                  <c:v>45750</c:v>
                </c:pt>
                <c:pt idx="191">
                  <c:v>45751</c:v>
                </c:pt>
                <c:pt idx="192">
                  <c:v>45754</c:v>
                </c:pt>
                <c:pt idx="193">
                  <c:v>45755</c:v>
                </c:pt>
                <c:pt idx="194">
                  <c:v>45756</c:v>
                </c:pt>
                <c:pt idx="195">
                  <c:v>45758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45798</c:v>
                </c:pt>
                <c:pt idx="221">
                  <c:v>45799</c:v>
                </c:pt>
                <c:pt idx="222">
                  <c:v>45800</c:v>
                </c:pt>
                <c:pt idx="223">
                  <c:v>45803</c:v>
                </c:pt>
                <c:pt idx="224">
                  <c:v>45804</c:v>
                </c:pt>
                <c:pt idx="225">
                  <c:v>45805</c:v>
                </c:pt>
                <c:pt idx="226">
                  <c:v>45806</c:v>
                </c:pt>
                <c:pt idx="227">
                  <c:v>45807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45817</c:v>
                </c:pt>
                <c:pt idx="234">
                  <c:v>45818</c:v>
                </c:pt>
                <c:pt idx="235">
                  <c:v>45819</c:v>
                </c:pt>
                <c:pt idx="236">
                  <c:v>45820</c:v>
                </c:pt>
                <c:pt idx="237">
                  <c:v>45821</c:v>
                </c:pt>
                <c:pt idx="238">
                  <c:v>45824</c:v>
                </c:pt>
                <c:pt idx="239">
                  <c:v>45825</c:v>
                </c:pt>
                <c:pt idx="240">
                  <c:v>45826</c:v>
                </c:pt>
                <c:pt idx="241">
                  <c:v>45827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45842</c:v>
                </c:pt>
                <c:pt idx="253">
                  <c:v>45845</c:v>
                </c:pt>
                <c:pt idx="254">
                  <c:v>45846</c:v>
                </c:pt>
                <c:pt idx="255">
                  <c:v>45847</c:v>
                </c:pt>
                <c:pt idx="256">
                  <c:v>45848</c:v>
                </c:pt>
                <c:pt idx="257">
                  <c:v>45849</c:v>
                </c:pt>
                <c:pt idx="258">
                  <c:v>45852</c:v>
                </c:pt>
                <c:pt idx="259">
                  <c:v>45853</c:v>
                </c:pt>
                <c:pt idx="260">
                  <c:v>45854</c:v>
                </c:pt>
                <c:pt idx="261">
                  <c:v>45855</c:v>
                </c:pt>
                <c:pt idx="262">
                  <c:v>45856</c:v>
                </c:pt>
                <c:pt idx="263">
                  <c:v>45859</c:v>
                </c:pt>
                <c:pt idx="264">
                  <c:v>45860</c:v>
                </c:pt>
                <c:pt idx="265">
                  <c:v>45861</c:v>
                </c:pt>
                <c:pt idx="266">
                  <c:v>45862</c:v>
                </c:pt>
                <c:pt idx="267">
                  <c:v>45863</c:v>
                </c:pt>
                <c:pt idx="268">
                  <c:v>45866</c:v>
                </c:pt>
                <c:pt idx="269">
                  <c:v>45867</c:v>
                </c:pt>
                <c:pt idx="270">
                  <c:v>45868</c:v>
                </c:pt>
                <c:pt idx="271">
                  <c:v>45869</c:v>
                </c:pt>
                <c:pt idx="272">
                  <c:v>45870</c:v>
                </c:pt>
                <c:pt idx="273">
                  <c:v>45873</c:v>
                </c:pt>
                <c:pt idx="274">
                  <c:v>45874</c:v>
                </c:pt>
                <c:pt idx="275">
                  <c:v>45875</c:v>
                </c:pt>
                <c:pt idx="276">
                  <c:v>45876</c:v>
                </c:pt>
                <c:pt idx="277">
                  <c:v>45877</c:v>
                </c:pt>
                <c:pt idx="278">
                  <c:v>45880</c:v>
                </c:pt>
                <c:pt idx="279">
                  <c:v>45881</c:v>
                </c:pt>
                <c:pt idx="280">
                  <c:v>45882</c:v>
                </c:pt>
                <c:pt idx="281">
                  <c:v>45883</c:v>
                </c:pt>
                <c:pt idx="282">
                  <c:v>45887</c:v>
                </c:pt>
                <c:pt idx="283">
                  <c:v>45888</c:v>
                </c:pt>
                <c:pt idx="284">
                  <c:v>45889</c:v>
                </c:pt>
                <c:pt idx="285">
                  <c:v>45890</c:v>
                </c:pt>
                <c:pt idx="286">
                  <c:v>45891</c:v>
                </c:pt>
                <c:pt idx="287">
                  <c:v>45894</c:v>
                </c:pt>
                <c:pt idx="288">
                  <c:v>45895</c:v>
                </c:pt>
                <c:pt idx="289">
                  <c:v>45897</c:v>
                </c:pt>
                <c:pt idx="290">
                  <c:v>45898</c:v>
                </c:pt>
                <c:pt idx="291">
                  <c:v>45901</c:v>
                </c:pt>
                <c:pt idx="292">
                  <c:v>45902</c:v>
                </c:pt>
                <c:pt idx="293">
                  <c:v>45903</c:v>
                </c:pt>
                <c:pt idx="294">
                  <c:v>45904</c:v>
                </c:pt>
                <c:pt idx="295">
                  <c:v>45905</c:v>
                </c:pt>
                <c:pt idx="296">
                  <c:v>45908</c:v>
                </c:pt>
                <c:pt idx="297">
                  <c:v>45909</c:v>
                </c:pt>
                <c:pt idx="298">
                  <c:v>45910</c:v>
                </c:pt>
                <c:pt idx="299">
                  <c:v>45911</c:v>
                </c:pt>
                <c:pt idx="300">
                  <c:v>45912</c:v>
                </c:pt>
                <c:pt idx="301">
                  <c:v>45915</c:v>
                </c:pt>
                <c:pt idx="302">
                  <c:v>45916</c:v>
                </c:pt>
                <c:pt idx="303">
                  <c:v>45917</c:v>
                </c:pt>
                <c:pt idx="304">
                  <c:v>45918</c:v>
                </c:pt>
                <c:pt idx="305">
                  <c:v>45919</c:v>
                </c:pt>
                <c:pt idx="306">
                  <c:v>45922</c:v>
                </c:pt>
                <c:pt idx="307">
                  <c:v>45923</c:v>
                </c:pt>
                <c:pt idx="308">
                  <c:v>45924</c:v>
                </c:pt>
                <c:pt idx="309">
                  <c:v>45925</c:v>
                </c:pt>
                <c:pt idx="310">
                  <c:v>45926</c:v>
                </c:pt>
                <c:pt idx="311">
                  <c:v>45929</c:v>
                </c:pt>
                <c:pt idx="312">
                  <c:v>45930</c:v>
                </c:pt>
                <c:pt idx="313">
                  <c:v>45931</c:v>
                </c:pt>
                <c:pt idx="314">
                  <c:v>45933</c:v>
                </c:pt>
                <c:pt idx="315">
                  <c:v>45936</c:v>
                </c:pt>
                <c:pt idx="316">
                  <c:v>45937</c:v>
                </c:pt>
                <c:pt idx="317">
                  <c:v>45938</c:v>
                </c:pt>
                <c:pt idx="318">
                  <c:v>45939</c:v>
                </c:pt>
                <c:pt idx="319">
                  <c:v>45940</c:v>
                </c:pt>
                <c:pt idx="320">
                  <c:v>45943</c:v>
                </c:pt>
                <c:pt idx="321">
                  <c:v>45944</c:v>
                </c:pt>
                <c:pt idx="322">
                  <c:v>45945</c:v>
                </c:pt>
                <c:pt idx="323">
                  <c:v>45946</c:v>
                </c:pt>
                <c:pt idx="324">
                  <c:v>45947</c:v>
                </c:pt>
                <c:pt idx="325">
                  <c:v>45950</c:v>
                </c:pt>
                <c:pt idx="326">
                  <c:v>45951</c:v>
                </c:pt>
                <c:pt idx="327">
                  <c:v>45953</c:v>
                </c:pt>
                <c:pt idx="328">
                  <c:v>45954</c:v>
                </c:pt>
                <c:pt idx="329">
                  <c:v>45957</c:v>
                </c:pt>
                <c:pt idx="330">
                  <c:v>45958</c:v>
                </c:pt>
                <c:pt idx="331">
                  <c:v>45959</c:v>
                </c:pt>
                <c:pt idx="332">
                  <c:v>45960</c:v>
                </c:pt>
                <c:pt idx="333">
                  <c:v>45961</c:v>
                </c:pt>
                <c:pt idx="334">
                  <c:v>45964</c:v>
                </c:pt>
                <c:pt idx="335">
                  <c:v>45965</c:v>
                </c:pt>
                <c:pt idx="336">
                  <c:v>45967</c:v>
                </c:pt>
                <c:pt idx="337">
                  <c:v>45968</c:v>
                </c:pt>
                <c:pt idx="338">
                  <c:v>45971</c:v>
                </c:pt>
                <c:pt idx="339">
                  <c:v>45972</c:v>
                </c:pt>
                <c:pt idx="340">
                  <c:v>45973</c:v>
                </c:pt>
                <c:pt idx="341">
                  <c:v>45974</c:v>
                </c:pt>
                <c:pt idx="342">
                  <c:v>45975</c:v>
                </c:pt>
                <c:pt idx="343">
                  <c:v>45978</c:v>
                </c:pt>
                <c:pt idx="344">
                  <c:v>45979</c:v>
                </c:pt>
                <c:pt idx="345">
                  <c:v>45980</c:v>
                </c:pt>
                <c:pt idx="346">
                  <c:v>45981</c:v>
                </c:pt>
                <c:pt idx="347">
                  <c:v>45982</c:v>
                </c:pt>
                <c:pt idx="348">
                  <c:v>45985</c:v>
                </c:pt>
                <c:pt idx="349">
                  <c:v>45986</c:v>
                </c:pt>
                <c:pt idx="350">
                  <c:v>45987</c:v>
                </c:pt>
                <c:pt idx="351">
                  <c:v>45988</c:v>
                </c:pt>
                <c:pt idx="352">
                  <c:v>45989</c:v>
                </c:pt>
                <c:pt idx="353">
                  <c:v>45992</c:v>
                </c:pt>
                <c:pt idx="354">
                  <c:v>45993</c:v>
                </c:pt>
                <c:pt idx="355">
                  <c:v>45994</c:v>
                </c:pt>
                <c:pt idx="356">
                  <c:v>45995</c:v>
                </c:pt>
                <c:pt idx="357">
                  <c:v>45996</c:v>
                </c:pt>
                <c:pt idx="358">
                  <c:v>45999</c:v>
                </c:pt>
                <c:pt idx="359">
                  <c:v>46000</c:v>
                </c:pt>
                <c:pt idx="360">
                  <c:v>46001</c:v>
                </c:pt>
                <c:pt idx="361">
                  <c:v>46002</c:v>
                </c:pt>
                <c:pt idx="362">
                  <c:v>46003</c:v>
                </c:pt>
                <c:pt idx="363">
                  <c:v>46006</c:v>
                </c:pt>
                <c:pt idx="364">
                  <c:v>46007</c:v>
                </c:pt>
                <c:pt idx="365">
                  <c:v>46008</c:v>
                </c:pt>
                <c:pt idx="366">
                  <c:v>46009</c:v>
                </c:pt>
                <c:pt idx="367">
                  <c:v>46010</c:v>
                </c:pt>
                <c:pt idx="368">
                  <c:v>46013</c:v>
                </c:pt>
                <c:pt idx="369">
                  <c:v>46014</c:v>
                </c:pt>
                <c:pt idx="370">
                  <c:v>46015</c:v>
                </c:pt>
                <c:pt idx="371">
                  <c:v>46017</c:v>
                </c:pt>
                <c:pt idx="372">
                  <c:v>46020</c:v>
                </c:pt>
                <c:pt idx="373">
                  <c:v>46021</c:v>
                </c:pt>
                <c:pt idx="374">
                  <c:v>46022</c:v>
                </c:pt>
                <c:pt idx="375">
                  <c:v>46023</c:v>
                </c:pt>
                <c:pt idx="376">
                  <c:v>46024</c:v>
                </c:pt>
                <c:pt idx="377">
                  <c:v>46027</c:v>
                </c:pt>
                <c:pt idx="378">
                  <c:v>46028</c:v>
                </c:pt>
                <c:pt idx="379">
                  <c:v>46029</c:v>
                </c:pt>
                <c:pt idx="380">
                  <c:v>46030</c:v>
                </c:pt>
                <c:pt idx="381">
                  <c:v>46031</c:v>
                </c:pt>
                <c:pt idx="382">
                  <c:v>46034</c:v>
                </c:pt>
                <c:pt idx="383">
                  <c:v>46035</c:v>
                </c:pt>
                <c:pt idx="384">
                  <c:v>46036</c:v>
                </c:pt>
                <c:pt idx="385">
                  <c:v>46038</c:v>
                </c:pt>
                <c:pt idx="386">
                  <c:v>46041</c:v>
                </c:pt>
                <c:pt idx="387">
                  <c:v>46042</c:v>
                </c:pt>
                <c:pt idx="388">
                  <c:v>46043</c:v>
                </c:pt>
                <c:pt idx="389">
                  <c:v>46044</c:v>
                </c:pt>
                <c:pt idx="390">
                  <c:v>46045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46062</c:v>
                </c:pt>
                <c:pt idx="402">
                  <c:v>46063</c:v>
                </c:pt>
                <c:pt idx="403">
                  <c:v>46064</c:v>
                </c:pt>
                <c:pt idx="404">
                  <c:v>46065</c:v>
                </c:pt>
                <c:pt idx="405">
                  <c:v>46066</c:v>
                </c:pt>
                <c:pt idx="406">
                  <c:v>46069</c:v>
                </c:pt>
                <c:pt idx="407">
                  <c:v>46070</c:v>
                </c:pt>
                <c:pt idx="408">
                  <c:v>46071</c:v>
                </c:pt>
                <c:pt idx="409">
                  <c:v>46072</c:v>
                </c:pt>
                <c:pt idx="410">
                  <c:v>46073</c:v>
                </c:pt>
                <c:pt idx="411">
                  <c:v>46076</c:v>
                </c:pt>
                <c:pt idx="412">
                  <c:v>46077</c:v>
                </c:pt>
                <c:pt idx="413">
                  <c:v>46078</c:v>
                </c:pt>
                <c:pt idx="414">
                  <c:v>46079</c:v>
                </c:pt>
                <c:pt idx="415">
                  <c:v>46080</c:v>
                </c:pt>
                <c:pt idx="416">
                  <c:v>46083</c:v>
                </c:pt>
                <c:pt idx="417">
                  <c:v>46085</c:v>
                </c:pt>
                <c:pt idx="418">
                  <c:v>46086</c:v>
                </c:pt>
                <c:pt idx="419">
                  <c:v>46087</c:v>
                </c:pt>
                <c:pt idx="420">
                  <c:v>46090</c:v>
                </c:pt>
                <c:pt idx="421">
                  <c:v>46091</c:v>
                </c:pt>
                <c:pt idx="422">
                  <c:v>46092</c:v>
                </c:pt>
                <c:pt idx="423">
                  <c:v>46093</c:v>
                </c:pt>
                <c:pt idx="424">
                  <c:v>46094</c:v>
                </c:pt>
                <c:pt idx="425">
                  <c:v>46097</c:v>
                </c:pt>
                <c:pt idx="426">
                  <c:v>46098</c:v>
                </c:pt>
                <c:pt idx="427">
                  <c:v>46099</c:v>
                </c:pt>
                <c:pt idx="428">
                  <c:v>46100</c:v>
                </c:pt>
                <c:pt idx="429">
                  <c:v>46101</c:v>
                </c:pt>
                <c:pt idx="430">
                  <c:v>46104</c:v>
                </c:pt>
                <c:pt idx="431">
                  <c:v>46105</c:v>
                </c:pt>
                <c:pt idx="432">
                  <c:v>46106</c:v>
                </c:pt>
                <c:pt idx="433">
                  <c:v>46108</c:v>
                </c:pt>
                <c:pt idx="434">
                  <c:v>46111</c:v>
                </c:pt>
                <c:pt idx="435">
                  <c:v>46113</c:v>
                </c:pt>
                <c:pt idx="436">
                  <c:v>46114</c:v>
                </c:pt>
                <c:pt idx="437">
                  <c:v>46118</c:v>
                </c:pt>
                <c:pt idx="438">
                  <c:v>46119</c:v>
                </c:pt>
                <c:pt idx="439">
                  <c:v>46120</c:v>
                </c:pt>
                <c:pt idx="440">
                  <c:v>46121</c:v>
                </c:pt>
                <c:pt idx="441">
                  <c:v>46122</c:v>
                </c:pt>
                <c:pt idx="442">
                  <c:v>46125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46132</c:v>
                </c:pt>
                <c:pt idx="447">
                  <c:v>46133</c:v>
                </c:pt>
                <c:pt idx="448">
                  <c:v>46134</c:v>
                </c:pt>
                <c:pt idx="449">
                  <c:v>46135</c:v>
                </c:pt>
                <c:pt idx="450">
                  <c:v>46136</c:v>
                </c:pt>
                <c:pt idx="451">
                  <c:v>46139</c:v>
                </c:pt>
                <c:pt idx="452">
                  <c:v>46140</c:v>
                </c:pt>
                <c:pt idx="453">
                  <c:v>46141</c:v>
                </c:pt>
                <c:pt idx="454">
                  <c:v>46142</c:v>
                </c:pt>
                <c:pt idx="455">
                  <c:v>46146</c:v>
                </c:pt>
                <c:pt idx="456">
                  <c:v>46147</c:v>
                </c:pt>
                <c:pt idx="457">
                  <c:v>46148</c:v>
                </c:pt>
                <c:pt idx="458">
                  <c:v>46149</c:v>
                </c:pt>
                <c:pt idx="459">
                  <c:v>46150</c:v>
                </c:pt>
                <c:pt idx="460">
                  <c:v>46153</c:v>
                </c:pt>
                <c:pt idx="461">
                  <c:v>46154</c:v>
                </c:pt>
                <c:pt idx="462">
                  <c:v>46155</c:v>
                </c:pt>
                <c:pt idx="463">
                  <c:v>46156</c:v>
                </c:pt>
                <c:pt idx="464">
                  <c:v>46157</c:v>
                </c:pt>
                <c:pt idx="465">
                  <c:v>46160</c:v>
                </c:pt>
                <c:pt idx="466">
                  <c:v>46161</c:v>
                </c:pt>
                <c:pt idx="467">
                  <c:v>46162</c:v>
                </c:pt>
                <c:pt idx="468">
                  <c:v>46163</c:v>
                </c:pt>
                <c:pt idx="469">
                  <c:v>46164</c:v>
                </c:pt>
                <c:pt idx="470">
                  <c:v>46167</c:v>
                </c:pt>
                <c:pt idx="471">
                  <c:v>46168</c:v>
                </c:pt>
                <c:pt idx="472">
                  <c:v>46169</c:v>
                </c:pt>
                <c:pt idx="473">
                  <c:v>46171</c:v>
                </c:pt>
                <c:pt idx="474">
                  <c:v>46174</c:v>
                </c:pt>
                <c:pt idx="475">
                  <c:v>46175</c:v>
                </c:pt>
                <c:pt idx="476">
                  <c:v>46176</c:v>
                </c:pt>
                <c:pt idx="477">
                  <c:v>46177</c:v>
                </c:pt>
                <c:pt idx="478">
                  <c:v>46178</c:v>
                </c:pt>
                <c:pt idx="479">
                  <c:v>46181</c:v>
                </c:pt>
                <c:pt idx="480">
                  <c:v>46182</c:v>
                </c:pt>
                <c:pt idx="481">
                  <c:v>46183</c:v>
                </c:pt>
                <c:pt idx="482">
                  <c:v>46184</c:v>
                </c:pt>
                <c:pt idx="483">
                  <c:v>46185</c:v>
                </c:pt>
                <c:pt idx="484">
                  <c:v>46188</c:v>
                </c:pt>
                <c:pt idx="485">
                  <c:v>46189</c:v>
                </c:pt>
                <c:pt idx="486">
                  <c:v>46190</c:v>
                </c:pt>
                <c:pt idx="487">
                  <c:v>46191</c:v>
                </c:pt>
                <c:pt idx="488">
                  <c:v>46192</c:v>
                </c:pt>
                <c:pt idx="489">
                  <c:v>46195</c:v>
                </c:pt>
                <c:pt idx="490">
                  <c:v>46196</c:v>
                </c:pt>
                <c:pt idx="491">
                  <c:v>46197</c:v>
                </c:pt>
                <c:pt idx="492">
                  <c:v>46198</c:v>
                </c:pt>
                <c:pt idx="493">
                  <c:v>46202</c:v>
                </c:pt>
                <c:pt idx="494">
                  <c:v>46203</c:v>
                </c:pt>
              </c:numCache>
            </c:numRef>
          </c:cat>
          <c:val>
            <c:numRef>
              <c:f>MARUTI!$L$2:$L$496</c:f>
              <c:numCache>
                <c:formatCode>#,##0</c:formatCode>
                <c:ptCount val="495"/>
                <c:pt idx="0">
                  <c:v>1134926</c:v>
                </c:pt>
                <c:pt idx="1">
                  <c:v>687181</c:v>
                </c:pt>
                <c:pt idx="2">
                  <c:v>467532</c:v>
                </c:pt>
                <c:pt idx="3">
                  <c:v>299684</c:v>
                </c:pt>
                <c:pt idx="4">
                  <c:v>406926</c:v>
                </c:pt>
                <c:pt idx="5">
                  <c:v>496933</c:v>
                </c:pt>
                <c:pt idx="6">
                  <c:v>2114130</c:v>
                </c:pt>
                <c:pt idx="7">
                  <c:v>2070520</c:v>
                </c:pt>
                <c:pt idx="8">
                  <c:v>608983</c:v>
                </c:pt>
                <c:pt idx="9">
                  <c:v>674746</c:v>
                </c:pt>
                <c:pt idx="10">
                  <c:v>697192</c:v>
                </c:pt>
                <c:pt idx="11">
                  <c:v>347810</c:v>
                </c:pt>
                <c:pt idx="12">
                  <c:v>391216</c:v>
                </c:pt>
                <c:pt idx="13">
                  <c:v>351955</c:v>
                </c:pt>
                <c:pt idx="14">
                  <c:v>249631</c:v>
                </c:pt>
                <c:pt idx="15">
                  <c:v>332258</c:v>
                </c:pt>
                <c:pt idx="16">
                  <c:v>285860</c:v>
                </c:pt>
                <c:pt idx="17">
                  <c:v>396789</c:v>
                </c:pt>
                <c:pt idx="18">
                  <c:v>537693</c:v>
                </c:pt>
                <c:pt idx="19">
                  <c:v>388263</c:v>
                </c:pt>
                <c:pt idx="20">
                  <c:v>526539</c:v>
                </c:pt>
                <c:pt idx="21">
                  <c:v>836405</c:v>
                </c:pt>
                <c:pt idx="22">
                  <c:v>2040384</c:v>
                </c:pt>
                <c:pt idx="23">
                  <c:v>1333355</c:v>
                </c:pt>
                <c:pt idx="24">
                  <c:v>1131415</c:v>
                </c:pt>
                <c:pt idx="25">
                  <c:v>623565</c:v>
                </c:pt>
                <c:pt idx="26">
                  <c:v>433514</c:v>
                </c:pt>
                <c:pt idx="27">
                  <c:v>358577</c:v>
                </c:pt>
                <c:pt idx="28">
                  <c:v>320211</c:v>
                </c:pt>
                <c:pt idx="29">
                  <c:v>291212</c:v>
                </c:pt>
                <c:pt idx="30">
                  <c:v>464483</c:v>
                </c:pt>
                <c:pt idx="31">
                  <c:v>449827</c:v>
                </c:pt>
                <c:pt idx="32">
                  <c:v>552732</c:v>
                </c:pt>
                <c:pt idx="33">
                  <c:v>277319</c:v>
                </c:pt>
                <c:pt idx="34">
                  <c:v>471927</c:v>
                </c:pt>
                <c:pt idx="35">
                  <c:v>295984</c:v>
                </c:pt>
                <c:pt idx="36">
                  <c:v>501316</c:v>
                </c:pt>
                <c:pt idx="37">
                  <c:v>440809</c:v>
                </c:pt>
                <c:pt idx="38">
                  <c:v>232805</c:v>
                </c:pt>
                <c:pt idx="39">
                  <c:v>477609</c:v>
                </c:pt>
                <c:pt idx="40">
                  <c:v>313227</c:v>
                </c:pt>
                <c:pt idx="41">
                  <c:v>608598</c:v>
                </c:pt>
                <c:pt idx="42">
                  <c:v>2271179</c:v>
                </c:pt>
                <c:pt idx="43">
                  <c:v>331514</c:v>
                </c:pt>
                <c:pt idx="44">
                  <c:v>445514</c:v>
                </c:pt>
                <c:pt idx="45">
                  <c:v>735076</c:v>
                </c:pt>
                <c:pt idx="46">
                  <c:v>595865</c:v>
                </c:pt>
                <c:pt idx="47">
                  <c:v>733354</c:v>
                </c:pt>
                <c:pt idx="48">
                  <c:v>415790</c:v>
                </c:pt>
                <c:pt idx="49">
                  <c:v>285122</c:v>
                </c:pt>
                <c:pt idx="50">
                  <c:v>349799</c:v>
                </c:pt>
                <c:pt idx="51">
                  <c:v>547830</c:v>
                </c:pt>
                <c:pt idx="52">
                  <c:v>361093</c:v>
                </c:pt>
                <c:pt idx="53">
                  <c:v>170114</c:v>
                </c:pt>
                <c:pt idx="54">
                  <c:v>568161</c:v>
                </c:pt>
                <c:pt idx="55">
                  <c:v>182282</c:v>
                </c:pt>
                <c:pt idx="56">
                  <c:v>465608</c:v>
                </c:pt>
                <c:pt idx="57">
                  <c:v>875654</c:v>
                </c:pt>
                <c:pt idx="58">
                  <c:v>235586</c:v>
                </c:pt>
                <c:pt idx="59">
                  <c:v>425916</c:v>
                </c:pt>
                <c:pt idx="60">
                  <c:v>341172</c:v>
                </c:pt>
                <c:pt idx="61">
                  <c:v>1471069</c:v>
                </c:pt>
                <c:pt idx="62">
                  <c:v>865698</c:v>
                </c:pt>
                <c:pt idx="63">
                  <c:v>415743</c:v>
                </c:pt>
                <c:pt idx="64">
                  <c:v>388888</c:v>
                </c:pt>
                <c:pt idx="65">
                  <c:v>863520</c:v>
                </c:pt>
                <c:pt idx="66">
                  <c:v>679362</c:v>
                </c:pt>
                <c:pt idx="67">
                  <c:v>465500</c:v>
                </c:pt>
                <c:pt idx="68">
                  <c:v>387060</c:v>
                </c:pt>
                <c:pt idx="69">
                  <c:v>465231</c:v>
                </c:pt>
                <c:pt idx="70">
                  <c:v>492698</c:v>
                </c:pt>
                <c:pt idx="71">
                  <c:v>274243</c:v>
                </c:pt>
                <c:pt idx="72">
                  <c:v>488067</c:v>
                </c:pt>
                <c:pt idx="73">
                  <c:v>532135</c:v>
                </c:pt>
                <c:pt idx="74">
                  <c:v>418138</c:v>
                </c:pt>
                <c:pt idx="75">
                  <c:v>875937</c:v>
                </c:pt>
                <c:pt idx="76">
                  <c:v>506871</c:v>
                </c:pt>
                <c:pt idx="77">
                  <c:v>375275</c:v>
                </c:pt>
                <c:pt idx="78">
                  <c:v>904901</c:v>
                </c:pt>
                <c:pt idx="79">
                  <c:v>412638</c:v>
                </c:pt>
                <c:pt idx="80">
                  <c:v>552495</c:v>
                </c:pt>
                <c:pt idx="81">
                  <c:v>624582</c:v>
                </c:pt>
                <c:pt idx="82">
                  <c:v>613830</c:v>
                </c:pt>
                <c:pt idx="83">
                  <c:v>2268683</c:v>
                </c:pt>
                <c:pt idx="84">
                  <c:v>1672966</c:v>
                </c:pt>
                <c:pt idx="85">
                  <c:v>838211</c:v>
                </c:pt>
                <c:pt idx="86">
                  <c:v>65670</c:v>
                </c:pt>
                <c:pt idx="87">
                  <c:v>444462</c:v>
                </c:pt>
                <c:pt idx="88">
                  <c:v>321159</c:v>
                </c:pt>
                <c:pt idx="89">
                  <c:v>416027</c:v>
                </c:pt>
                <c:pt idx="90">
                  <c:v>530194</c:v>
                </c:pt>
                <c:pt idx="91">
                  <c:v>269993</c:v>
                </c:pt>
                <c:pt idx="92">
                  <c:v>450681</c:v>
                </c:pt>
                <c:pt idx="93">
                  <c:v>549747</c:v>
                </c:pt>
                <c:pt idx="94">
                  <c:v>507710</c:v>
                </c:pt>
                <c:pt idx="95">
                  <c:v>431348</c:v>
                </c:pt>
                <c:pt idx="96">
                  <c:v>333440</c:v>
                </c:pt>
                <c:pt idx="97">
                  <c:v>864067</c:v>
                </c:pt>
                <c:pt idx="98">
                  <c:v>540201</c:v>
                </c:pt>
                <c:pt idx="99">
                  <c:v>493678</c:v>
                </c:pt>
                <c:pt idx="100">
                  <c:v>635726</c:v>
                </c:pt>
                <c:pt idx="101">
                  <c:v>406586</c:v>
                </c:pt>
                <c:pt idx="102">
                  <c:v>343332</c:v>
                </c:pt>
                <c:pt idx="103">
                  <c:v>607669</c:v>
                </c:pt>
                <c:pt idx="104">
                  <c:v>338207</c:v>
                </c:pt>
                <c:pt idx="105">
                  <c:v>446880</c:v>
                </c:pt>
                <c:pt idx="106">
                  <c:v>258644</c:v>
                </c:pt>
                <c:pt idx="107">
                  <c:v>554674</c:v>
                </c:pt>
                <c:pt idx="108">
                  <c:v>545501</c:v>
                </c:pt>
                <c:pt idx="109">
                  <c:v>417214</c:v>
                </c:pt>
                <c:pt idx="110">
                  <c:v>254485</c:v>
                </c:pt>
                <c:pt idx="111">
                  <c:v>410569</c:v>
                </c:pt>
                <c:pt idx="112">
                  <c:v>226584</c:v>
                </c:pt>
                <c:pt idx="113">
                  <c:v>396561</c:v>
                </c:pt>
                <c:pt idx="114">
                  <c:v>263579</c:v>
                </c:pt>
                <c:pt idx="115">
                  <c:v>223389</c:v>
                </c:pt>
                <c:pt idx="116">
                  <c:v>295445</c:v>
                </c:pt>
                <c:pt idx="117">
                  <c:v>497103</c:v>
                </c:pt>
                <c:pt idx="118">
                  <c:v>435360</c:v>
                </c:pt>
                <c:pt idx="119">
                  <c:v>404608</c:v>
                </c:pt>
                <c:pt idx="120">
                  <c:v>237165</c:v>
                </c:pt>
                <c:pt idx="121">
                  <c:v>151149</c:v>
                </c:pt>
                <c:pt idx="122">
                  <c:v>349811</c:v>
                </c:pt>
                <c:pt idx="123">
                  <c:v>257973</c:v>
                </c:pt>
                <c:pt idx="124">
                  <c:v>335481</c:v>
                </c:pt>
                <c:pt idx="125">
                  <c:v>198997</c:v>
                </c:pt>
                <c:pt idx="126">
                  <c:v>383202</c:v>
                </c:pt>
                <c:pt idx="127">
                  <c:v>1417042</c:v>
                </c:pt>
                <c:pt idx="128">
                  <c:v>701315</c:v>
                </c:pt>
                <c:pt idx="129">
                  <c:v>383268</c:v>
                </c:pt>
                <c:pt idx="130">
                  <c:v>308104</c:v>
                </c:pt>
                <c:pt idx="131">
                  <c:v>303100</c:v>
                </c:pt>
                <c:pt idx="132">
                  <c:v>266413</c:v>
                </c:pt>
                <c:pt idx="133">
                  <c:v>218246</c:v>
                </c:pt>
                <c:pt idx="134">
                  <c:v>253524</c:v>
                </c:pt>
                <c:pt idx="135">
                  <c:v>627463</c:v>
                </c:pt>
                <c:pt idx="136">
                  <c:v>692822</c:v>
                </c:pt>
                <c:pt idx="137">
                  <c:v>551211</c:v>
                </c:pt>
                <c:pt idx="138">
                  <c:v>285370</c:v>
                </c:pt>
                <c:pt idx="139">
                  <c:v>251731</c:v>
                </c:pt>
                <c:pt idx="140">
                  <c:v>300038</c:v>
                </c:pt>
                <c:pt idx="141">
                  <c:v>396590</c:v>
                </c:pt>
                <c:pt idx="142">
                  <c:v>480876</c:v>
                </c:pt>
                <c:pt idx="143">
                  <c:v>310343</c:v>
                </c:pt>
                <c:pt idx="144">
                  <c:v>251783</c:v>
                </c:pt>
                <c:pt idx="145">
                  <c:v>533451</c:v>
                </c:pt>
                <c:pt idx="146">
                  <c:v>817549</c:v>
                </c:pt>
                <c:pt idx="147">
                  <c:v>418442</c:v>
                </c:pt>
                <c:pt idx="148">
                  <c:v>709009</c:v>
                </c:pt>
                <c:pt idx="149">
                  <c:v>1101170</c:v>
                </c:pt>
                <c:pt idx="150">
                  <c:v>926127</c:v>
                </c:pt>
                <c:pt idx="151">
                  <c:v>530749</c:v>
                </c:pt>
                <c:pt idx="152">
                  <c:v>271633</c:v>
                </c:pt>
                <c:pt idx="153">
                  <c:v>414134</c:v>
                </c:pt>
                <c:pt idx="154">
                  <c:v>355223</c:v>
                </c:pt>
                <c:pt idx="155">
                  <c:v>294142</c:v>
                </c:pt>
                <c:pt idx="156">
                  <c:v>354195</c:v>
                </c:pt>
                <c:pt idx="157">
                  <c:v>425735</c:v>
                </c:pt>
                <c:pt idx="158">
                  <c:v>186742</c:v>
                </c:pt>
                <c:pt idx="159">
                  <c:v>233454</c:v>
                </c:pt>
                <c:pt idx="160">
                  <c:v>192210</c:v>
                </c:pt>
                <c:pt idx="161">
                  <c:v>267936</c:v>
                </c:pt>
                <c:pt idx="162">
                  <c:v>288694</c:v>
                </c:pt>
                <c:pt idx="163">
                  <c:v>423739</c:v>
                </c:pt>
                <c:pt idx="164">
                  <c:v>477013</c:v>
                </c:pt>
                <c:pt idx="165">
                  <c:v>399571</c:v>
                </c:pt>
                <c:pt idx="166">
                  <c:v>363355</c:v>
                </c:pt>
                <c:pt idx="167">
                  <c:v>236805</c:v>
                </c:pt>
                <c:pt idx="168">
                  <c:v>605149</c:v>
                </c:pt>
                <c:pt idx="169">
                  <c:v>186884</c:v>
                </c:pt>
                <c:pt idx="170">
                  <c:v>255726</c:v>
                </c:pt>
                <c:pt idx="171">
                  <c:v>349730</c:v>
                </c:pt>
                <c:pt idx="172">
                  <c:v>315309</c:v>
                </c:pt>
                <c:pt idx="173">
                  <c:v>259055</c:v>
                </c:pt>
                <c:pt idx="174">
                  <c:v>153894</c:v>
                </c:pt>
                <c:pt idx="175">
                  <c:v>245822</c:v>
                </c:pt>
                <c:pt idx="176">
                  <c:v>249361</c:v>
                </c:pt>
                <c:pt idx="177">
                  <c:v>260736</c:v>
                </c:pt>
                <c:pt idx="178">
                  <c:v>275581</c:v>
                </c:pt>
                <c:pt idx="179">
                  <c:v>373219</c:v>
                </c:pt>
                <c:pt idx="180">
                  <c:v>476555</c:v>
                </c:pt>
                <c:pt idx="181">
                  <c:v>379421</c:v>
                </c:pt>
                <c:pt idx="182">
                  <c:v>560565</c:v>
                </c:pt>
                <c:pt idx="183">
                  <c:v>359033</c:v>
                </c:pt>
                <c:pt idx="184">
                  <c:v>514283</c:v>
                </c:pt>
                <c:pt idx="185">
                  <c:v>478517</c:v>
                </c:pt>
                <c:pt idx="186">
                  <c:v>645787</c:v>
                </c:pt>
                <c:pt idx="187">
                  <c:v>541795</c:v>
                </c:pt>
                <c:pt idx="188">
                  <c:v>498244</c:v>
                </c:pt>
                <c:pt idx="189">
                  <c:v>452994</c:v>
                </c:pt>
                <c:pt idx="190">
                  <c:v>326624</c:v>
                </c:pt>
                <c:pt idx="191">
                  <c:v>355785</c:v>
                </c:pt>
                <c:pt idx="192">
                  <c:v>602353</c:v>
                </c:pt>
                <c:pt idx="193">
                  <c:v>629968</c:v>
                </c:pt>
                <c:pt idx="194">
                  <c:v>255114</c:v>
                </c:pt>
                <c:pt idx="195">
                  <c:v>231420</c:v>
                </c:pt>
                <c:pt idx="196">
                  <c:v>458593</c:v>
                </c:pt>
                <c:pt idx="197">
                  <c:v>470494</c:v>
                </c:pt>
                <c:pt idx="198">
                  <c:v>302146</c:v>
                </c:pt>
                <c:pt idx="199">
                  <c:v>318493</c:v>
                </c:pt>
                <c:pt idx="200">
                  <c:v>516753</c:v>
                </c:pt>
                <c:pt idx="201">
                  <c:v>493839</c:v>
                </c:pt>
                <c:pt idx="202">
                  <c:v>387863</c:v>
                </c:pt>
                <c:pt idx="203">
                  <c:v>906266</c:v>
                </c:pt>
                <c:pt idx="204">
                  <c:v>457303</c:v>
                </c:pt>
                <c:pt idx="205">
                  <c:v>455596</c:v>
                </c:pt>
                <c:pt idx="206">
                  <c:v>967250</c:v>
                </c:pt>
                <c:pt idx="207">
                  <c:v>786089</c:v>
                </c:pt>
                <c:pt idx="208">
                  <c:v>270014</c:v>
                </c:pt>
                <c:pt idx="209">
                  <c:v>414921</c:v>
                </c:pt>
                <c:pt idx="210">
                  <c:v>303619</c:v>
                </c:pt>
                <c:pt idx="211">
                  <c:v>485326</c:v>
                </c:pt>
                <c:pt idx="212">
                  <c:v>278112</c:v>
                </c:pt>
                <c:pt idx="213">
                  <c:v>185165</c:v>
                </c:pt>
                <c:pt idx="214">
                  <c:v>378269</c:v>
                </c:pt>
                <c:pt idx="215">
                  <c:v>306050</c:v>
                </c:pt>
                <c:pt idx="216">
                  <c:v>561496</c:v>
                </c:pt>
                <c:pt idx="217">
                  <c:v>425275</c:v>
                </c:pt>
                <c:pt idx="218">
                  <c:v>244277</c:v>
                </c:pt>
                <c:pt idx="219">
                  <c:v>361111</c:v>
                </c:pt>
                <c:pt idx="220">
                  <c:v>209104</c:v>
                </c:pt>
                <c:pt idx="221">
                  <c:v>434848</c:v>
                </c:pt>
                <c:pt idx="222">
                  <c:v>169465</c:v>
                </c:pt>
                <c:pt idx="223">
                  <c:v>214703</c:v>
                </c:pt>
                <c:pt idx="224">
                  <c:v>344679</c:v>
                </c:pt>
                <c:pt idx="225">
                  <c:v>178181</c:v>
                </c:pt>
                <c:pt idx="226">
                  <c:v>191097</c:v>
                </c:pt>
                <c:pt idx="227">
                  <c:v>351353</c:v>
                </c:pt>
                <c:pt idx="228">
                  <c:v>264972</c:v>
                </c:pt>
                <c:pt idx="229">
                  <c:v>369114</c:v>
                </c:pt>
                <c:pt idx="230">
                  <c:v>205846</c:v>
                </c:pt>
                <c:pt idx="231">
                  <c:v>319783</c:v>
                </c:pt>
                <c:pt idx="232">
                  <c:v>456129</c:v>
                </c:pt>
                <c:pt idx="233">
                  <c:v>323443</c:v>
                </c:pt>
                <c:pt idx="234">
                  <c:v>325292</c:v>
                </c:pt>
                <c:pt idx="235">
                  <c:v>306061</c:v>
                </c:pt>
                <c:pt idx="236">
                  <c:v>347339</c:v>
                </c:pt>
                <c:pt idx="237">
                  <c:v>385493</c:v>
                </c:pt>
                <c:pt idx="238">
                  <c:v>184242</c:v>
                </c:pt>
                <c:pt idx="239">
                  <c:v>226597</c:v>
                </c:pt>
                <c:pt idx="240">
                  <c:v>467738</c:v>
                </c:pt>
                <c:pt idx="241">
                  <c:v>339117</c:v>
                </c:pt>
                <c:pt idx="242">
                  <c:v>652128</c:v>
                </c:pt>
                <c:pt idx="243">
                  <c:v>192037</c:v>
                </c:pt>
                <c:pt idx="244">
                  <c:v>332717</c:v>
                </c:pt>
                <c:pt idx="245">
                  <c:v>316536</c:v>
                </c:pt>
                <c:pt idx="246">
                  <c:v>354735</c:v>
                </c:pt>
                <c:pt idx="247">
                  <c:v>346403</c:v>
                </c:pt>
                <c:pt idx="248">
                  <c:v>448956</c:v>
                </c:pt>
                <c:pt idx="249">
                  <c:v>283481</c:v>
                </c:pt>
                <c:pt idx="250">
                  <c:v>609735</c:v>
                </c:pt>
                <c:pt idx="251">
                  <c:v>606221</c:v>
                </c:pt>
                <c:pt idx="252">
                  <c:v>225607</c:v>
                </c:pt>
                <c:pt idx="253">
                  <c:v>220116</c:v>
                </c:pt>
                <c:pt idx="254">
                  <c:v>241050</c:v>
                </c:pt>
                <c:pt idx="255">
                  <c:v>174203</c:v>
                </c:pt>
                <c:pt idx="256">
                  <c:v>277325</c:v>
                </c:pt>
                <c:pt idx="257">
                  <c:v>194420</c:v>
                </c:pt>
                <c:pt idx="258">
                  <c:v>246737</c:v>
                </c:pt>
                <c:pt idx="259">
                  <c:v>147377</c:v>
                </c:pt>
                <c:pt idx="260">
                  <c:v>204480</c:v>
                </c:pt>
                <c:pt idx="261">
                  <c:v>189207</c:v>
                </c:pt>
                <c:pt idx="262">
                  <c:v>124068</c:v>
                </c:pt>
                <c:pt idx="263">
                  <c:v>232066</c:v>
                </c:pt>
                <c:pt idx="264">
                  <c:v>169006</c:v>
                </c:pt>
                <c:pt idx="265">
                  <c:v>342005</c:v>
                </c:pt>
                <c:pt idx="266">
                  <c:v>157163</c:v>
                </c:pt>
                <c:pt idx="267">
                  <c:v>260700</c:v>
                </c:pt>
                <c:pt idx="268">
                  <c:v>292879</c:v>
                </c:pt>
                <c:pt idx="269">
                  <c:v>285115</c:v>
                </c:pt>
                <c:pt idx="270">
                  <c:v>203847</c:v>
                </c:pt>
                <c:pt idx="271">
                  <c:v>709783</c:v>
                </c:pt>
                <c:pt idx="272">
                  <c:v>346024</c:v>
                </c:pt>
                <c:pt idx="273">
                  <c:v>255693</c:v>
                </c:pt>
                <c:pt idx="274">
                  <c:v>233560</c:v>
                </c:pt>
                <c:pt idx="275">
                  <c:v>151608</c:v>
                </c:pt>
                <c:pt idx="276">
                  <c:v>173393</c:v>
                </c:pt>
                <c:pt idx="277">
                  <c:v>247048</c:v>
                </c:pt>
                <c:pt idx="278">
                  <c:v>187230</c:v>
                </c:pt>
                <c:pt idx="279">
                  <c:v>504476</c:v>
                </c:pt>
                <c:pt idx="280">
                  <c:v>252065</c:v>
                </c:pt>
                <c:pt idx="281">
                  <c:v>318580</c:v>
                </c:pt>
                <c:pt idx="282">
                  <c:v>2154781</c:v>
                </c:pt>
                <c:pt idx="283">
                  <c:v>906623</c:v>
                </c:pt>
                <c:pt idx="284">
                  <c:v>391425</c:v>
                </c:pt>
                <c:pt idx="285">
                  <c:v>513460</c:v>
                </c:pt>
                <c:pt idx="286">
                  <c:v>458935</c:v>
                </c:pt>
                <c:pt idx="287">
                  <c:v>357110</c:v>
                </c:pt>
                <c:pt idx="288">
                  <c:v>962974</c:v>
                </c:pt>
                <c:pt idx="289">
                  <c:v>666635</c:v>
                </c:pt>
                <c:pt idx="290">
                  <c:v>621560</c:v>
                </c:pt>
                <c:pt idx="291">
                  <c:v>572927</c:v>
                </c:pt>
                <c:pt idx="292">
                  <c:v>379167</c:v>
                </c:pt>
                <c:pt idx="293">
                  <c:v>561656</c:v>
                </c:pt>
                <c:pt idx="294">
                  <c:v>784369</c:v>
                </c:pt>
                <c:pt idx="295">
                  <c:v>473806</c:v>
                </c:pt>
                <c:pt idx="296">
                  <c:v>691077</c:v>
                </c:pt>
                <c:pt idx="297">
                  <c:v>605860</c:v>
                </c:pt>
                <c:pt idx="298">
                  <c:v>489062</c:v>
                </c:pt>
                <c:pt idx="299">
                  <c:v>657161</c:v>
                </c:pt>
                <c:pt idx="300">
                  <c:v>420101</c:v>
                </c:pt>
                <c:pt idx="301">
                  <c:v>170587</c:v>
                </c:pt>
                <c:pt idx="302">
                  <c:v>381944</c:v>
                </c:pt>
                <c:pt idx="303">
                  <c:v>624986</c:v>
                </c:pt>
                <c:pt idx="304">
                  <c:v>642175</c:v>
                </c:pt>
                <c:pt idx="305">
                  <c:v>652443</c:v>
                </c:pt>
                <c:pt idx="306">
                  <c:v>302234</c:v>
                </c:pt>
                <c:pt idx="307">
                  <c:v>873114</c:v>
                </c:pt>
                <c:pt idx="308">
                  <c:v>663647</c:v>
                </c:pt>
                <c:pt idx="309">
                  <c:v>490262</c:v>
                </c:pt>
                <c:pt idx="310">
                  <c:v>490957</c:v>
                </c:pt>
                <c:pt idx="311">
                  <c:v>627326</c:v>
                </c:pt>
                <c:pt idx="312">
                  <c:v>390006</c:v>
                </c:pt>
                <c:pt idx="313">
                  <c:v>426075</c:v>
                </c:pt>
                <c:pt idx="314">
                  <c:v>470216</c:v>
                </c:pt>
                <c:pt idx="315">
                  <c:v>268497</c:v>
                </c:pt>
                <c:pt idx="316">
                  <c:v>330326</c:v>
                </c:pt>
                <c:pt idx="317">
                  <c:v>306518</c:v>
                </c:pt>
                <c:pt idx="318">
                  <c:v>300499</c:v>
                </c:pt>
                <c:pt idx="319">
                  <c:v>423031</c:v>
                </c:pt>
                <c:pt idx="320">
                  <c:v>337617</c:v>
                </c:pt>
                <c:pt idx="321">
                  <c:v>307925</c:v>
                </c:pt>
                <c:pt idx="322">
                  <c:v>266435</c:v>
                </c:pt>
                <c:pt idx="323">
                  <c:v>265727</c:v>
                </c:pt>
                <c:pt idx="324">
                  <c:v>411608</c:v>
                </c:pt>
                <c:pt idx="325">
                  <c:v>374246</c:v>
                </c:pt>
                <c:pt idx="326">
                  <c:v>28990</c:v>
                </c:pt>
                <c:pt idx="327">
                  <c:v>481753</c:v>
                </c:pt>
                <c:pt idx="328">
                  <c:v>208520</c:v>
                </c:pt>
                <c:pt idx="329">
                  <c:v>209829</c:v>
                </c:pt>
                <c:pt idx="330">
                  <c:v>383383</c:v>
                </c:pt>
                <c:pt idx="331">
                  <c:v>232815</c:v>
                </c:pt>
                <c:pt idx="332">
                  <c:v>230383</c:v>
                </c:pt>
                <c:pt idx="333">
                  <c:v>719402</c:v>
                </c:pt>
                <c:pt idx="334">
                  <c:v>942850</c:v>
                </c:pt>
                <c:pt idx="335">
                  <c:v>748848</c:v>
                </c:pt>
                <c:pt idx="336">
                  <c:v>429800</c:v>
                </c:pt>
                <c:pt idx="337">
                  <c:v>227247</c:v>
                </c:pt>
                <c:pt idx="338">
                  <c:v>274191</c:v>
                </c:pt>
                <c:pt idx="339">
                  <c:v>181524</c:v>
                </c:pt>
                <c:pt idx="340">
                  <c:v>244015</c:v>
                </c:pt>
                <c:pt idx="341">
                  <c:v>250711</c:v>
                </c:pt>
                <c:pt idx="342">
                  <c:v>253698</c:v>
                </c:pt>
                <c:pt idx="343">
                  <c:v>301069</c:v>
                </c:pt>
                <c:pt idx="344">
                  <c:v>392903</c:v>
                </c:pt>
                <c:pt idx="345">
                  <c:v>286434</c:v>
                </c:pt>
                <c:pt idx="346">
                  <c:v>249492</c:v>
                </c:pt>
                <c:pt idx="347">
                  <c:v>586351</c:v>
                </c:pt>
                <c:pt idx="348">
                  <c:v>525788</c:v>
                </c:pt>
                <c:pt idx="349">
                  <c:v>214525</c:v>
                </c:pt>
                <c:pt idx="350">
                  <c:v>314946</c:v>
                </c:pt>
                <c:pt idx="351">
                  <c:v>339986</c:v>
                </c:pt>
                <c:pt idx="352">
                  <c:v>352340</c:v>
                </c:pt>
                <c:pt idx="353">
                  <c:v>434052</c:v>
                </c:pt>
                <c:pt idx="354">
                  <c:v>383165</c:v>
                </c:pt>
                <c:pt idx="355">
                  <c:v>264397</c:v>
                </c:pt>
                <c:pt idx="356">
                  <c:v>248812</c:v>
                </c:pt>
                <c:pt idx="357">
                  <c:v>332032</c:v>
                </c:pt>
                <c:pt idx="358">
                  <c:v>220513</c:v>
                </c:pt>
                <c:pt idx="359">
                  <c:v>276388</c:v>
                </c:pt>
                <c:pt idx="360">
                  <c:v>293374</c:v>
                </c:pt>
                <c:pt idx="361">
                  <c:v>268701</c:v>
                </c:pt>
                <c:pt idx="362">
                  <c:v>404711</c:v>
                </c:pt>
                <c:pt idx="363">
                  <c:v>225221</c:v>
                </c:pt>
                <c:pt idx="364">
                  <c:v>156134</c:v>
                </c:pt>
                <c:pt idx="365">
                  <c:v>257406</c:v>
                </c:pt>
                <c:pt idx="366">
                  <c:v>213981</c:v>
                </c:pt>
                <c:pt idx="367">
                  <c:v>360190</c:v>
                </c:pt>
                <c:pt idx="368">
                  <c:v>271590</c:v>
                </c:pt>
                <c:pt idx="369">
                  <c:v>215650</c:v>
                </c:pt>
                <c:pt idx="370">
                  <c:v>258486</c:v>
                </c:pt>
                <c:pt idx="371">
                  <c:v>212925</c:v>
                </c:pt>
                <c:pt idx="372">
                  <c:v>251796</c:v>
                </c:pt>
                <c:pt idx="373">
                  <c:v>1055843</c:v>
                </c:pt>
                <c:pt idx="374">
                  <c:v>314427</c:v>
                </c:pt>
                <c:pt idx="375">
                  <c:v>171293</c:v>
                </c:pt>
                <c:pt idx="376">
                  <c:v>388562</c:v>
                </c:pt>
                <c:pt idx="377">
                  <c:v>305668</c:v>
                </c:pt>
                <c:pt idx="378">
                  <c:v>192182</c:v>
                </c:pt>
                <c:pt idx="379">
                  <c:v>427979</c:v>
                </c:pt>
                <c:pt idx="380">
                  <c:v>238421</c:v>
                </c:pt>
                <c:pt idx="381">
                  <c:v>286302</c:v>
                </c:pt>
                <c:pt idx="382">
                  <c:v>288686</c:v>
                </c:pt>
                <c:pt idx="383">
                  <c:v>312205</c:v>
                </c:pt>
                <c:pt idx="384">
                  <c:v>240043</c:v>
                </c:pt>
                <c:pt idx="385">
                  <c:v>703056</c:v>
                </c:pt>
                <c:pt idx="386">
                  <c:v>385141</c:v>
                </c:pt>
                <c:pt idx="387">
                  <c:v>289609</c:v>
                </c:pt>
                <c:pt idx="388">
                  <c:v>345738</c:v>
                </c:pt>
                <c:pt idx="389">
                  <c:v>352320</c:v>
                </c:pt>
                <c:pt idx="390">
                  <c:v>338669</c:v>
                </c:pt>
                <c:pt idx="391">
                  <c:v>565768</c:v>
                </c:pt>
                <c:pt idx="392">
                  <c:v>1584483</c:v>
                </c:pt>
                <c:pt idx="393">
                  <c:v>716545</c:v>
                </c:pt>
                <c:pt idx="394">
                  <c:v>946509</c:v>
                </c:pt>
                <c:pt idx="395">
                  <c:v>393678</c:v>
                </c:pt>
                <c:pt idx="396">
                  <c:v>621514</c:v>
                </c:pt>
                <c:pt idx="397">
                  <c:v>638870</c:v>
                </c:pt>
                <c:pt idx="398">
                  <c:v>451065</c:v>
                </c:pt>
                <c:pt idx="399">
                  <c:v>374759</c:v>
                </c:pt>
                <c:pt idx="400">
                  <c:v>276529</c:v>
                </c:pt>
                <c:pt idx="401">
                  <c:v>200034</c:v>
                </c:pt>
                <c:pt idx="402">
                  <c:v>360240</c:v>
                </c:pt>
                <c:pt idx="403">
                  <c:v>360742</c:v>
                </c:pt>
                <c:pt idx="404">
                  <c:v>201895</c:v>
                </c:pt>
                <c:pt idx="405">
                  <c:v>208645</c:v>
                </c:pt>
                <c:pt idx="406">
                  <c:v>210175</c:v>
                </c:pt>
                <c:pt idx="407">
                  <c:v>166765</c:v>
                </c:pt>
                <c:pt idx="408">
                  <c:v>280772</c:v>
                </c:pt>
                <c:pt idx="409">
                  <c:v>152788</c:v>
                </c:pt>
                <c:pt idx="410">
                  <c:v>515847</c:v>
                </c:pt>
                <c:pt idx="411">
                  <c:v>242968</c:v>
                </c:pt>
                <c:pt idx="412">
                  <c:v>300991</c:v>
                </c:pt>
                <c:pt idx="413">
                  <c:v>356495</c:v>
                </c:pt>
                <c:pt idx="414">
                  <c:v>308213</c:v>
                </c:pt>
                <c:pt idx="415">
                  <c:v>478164</c:v>
                </c:pt>
                <c:pt idx="416">
                  <c:v>603744</c:v>
                </c:pt>
                <c:pt idx="417">
                  <c:v>710366</c:v>
                </c:pt>
                <c:pt idx="418">
                  <c:v>448650</c:v>
                </c:pt>
                <c:pt idx="419">
                  <c:v>390629</c:v>
                </c:pt>
                <c:pt idx="420">
                  <c:v>676224</c:v>
                </c:pt>
                <c:pt idx="421">
                  <c:v>353715</c:v>
                </c:pt>
                <c:pt idx="422">
                  <c:v>392182</c:v>
                </c:pt>
                <c:pt idx="423">
                  <c:v>544683</c:v>
                </c:pt>
                <c:pt idx="424">
                  <c:v>939594</c:v>
                </c:pt>
                <c:pt idx="425">
                  <c:v>1416170</c:v>
                </c:pt>
                <c:pt idx="426">
                  <c:v>1178941</c:v>
                </c:pt>
                <c:pt idx="427">
                  <c:v>458827</c:v>
                </c:pt>
                <c:pt idx="428">
                  <c:v>569346</c:v>
                </c:pt>
                <c:pt idx="429">
                  <c:v>725481</c:v>
                </c:pt>
                <c:pt idx="430">
                  <c:v>517985</c:v>
                </c:pt>
                <c:pt idx="431">
                  <c:v>583568</c:v>
                </c:pt>
                <c:pt idx="432">
                  <c:v>540649</c:v>
                </c:pt>
                <c:pt idx="433">
                  <c:v>775339</c:v>
                </c:pt>
                <c:pt idx="434">
                  <c:v>635675</c:v>
                </c:pt>
                <c:pt idx="435">
                  <c:v>501882</c:v>
                </c:pt>
                <c:pt idx="436">
                  <c:v>438227</c:v>
                </c:pt>
                <c:pt idx="437">
                  <c:v>382650</c:v>
                </c:pt>
                <c:pt idx="438">
                  <c:v>359542</c:v>
                </c:pt>
                <c:pt idx="439">
                  <c:v>1026292</c:v>
                </c:pt>
                <c:pt idx="440">
                  <c:v>549914</c:v>
                </c:pt>
                <c:pt idx="441">
                  <c:v>471921</c:v>
                </c:pt>
                <c:pt idx="442">
                  <c:v>1347910</c:v>
                </c:pt>
                <c:pt idx="443">
                  <c:v>699458</c:v>
                </c:pt>
                <c:pt idx="444">
                  <c:v>527309</c:v>
                </c:pt>
                <c:pt idx="445">
                  <c:v>549308</c:v>
                </c:pt>
                <c:pt idx="446">
                  <c:v>348629</c:v>
                </c:pt>
                <c:pt idx="447">
                  <c:v>292879</c:v>
                </c:pt>
                <c:pt idx="448">
                  <c:v>434640</c:v>
                </c:pt>
                <c:pt idx="449">
                  <c:v>541086</c:v>
                </c:pt>
                <c:pt idx="450">
                  <c:v>464098</c:v>
                </c:pt>
                <c:pt idx="451">
                  <c:v>312786</c:v>
                </c:pt>
                <c:pt idx="452">
                  <c:v>836679</c:v>
                </c:pt>
                <c:pt idx="453">
                  <c:v>754798</c:v>
                </c:pt>
                <c:pt idx="454">
                  <c:v>612975</c:v>
                </c:pt>
                <c:pt idx="455">
                  <c:v>722127</c:v>
                </c:pt>
                <c:pt idx="456">
                  <c:v>419490</c:v>
                </c:pt>
                <c:pt idx="457">
                  <c:v>435208</c:v>
                </c:pt>
                <c:pt idx="458">
                  <c:v>726199</c:v>
                </c:pt>
                <c:pt idx="459">
                  <c:v>270505</c:v>
                </c:pt>
                <c:pt idx="460">
                  <c:v>634354</c:v>
                </c:pt>
                <c:pt idx="461">
                  <c:v>302512</c:v>
                </c:pt>
                <c:pt idx="462">
                  <c:v>307027</c:v>
                </c:pt>
                <c:pt idx="463">
                  <c:v>286648</c:v>
                </c:pt>
                <c:pt idx="464">
                  <c:v>268206</c:v>
                </c:pt>
                <c:pt idx="465">
                  <c:v>373184</c:v>
                </c:pt>
                <c:pt idx="466">
                  <c:v>342737</c:v>
                </c:pt>
                <c:pt idx="467">
                  <c:v>300695</c:v>
                </c:pt>
                <c:pt idx="468">
                  <c:v>213095</c:v>
                </c:pt>
                <c:pt idx="469">
                  <c:v>387975</c:v>
                </c:pt>
                <c:pt idx="470">
                  <c:v>276553</c:v>
                </c:pt>
                <c:pt idx="471">
                  <c:v>256901</c:v>
                </c:pt>
                <c:pt idx="472">
                  <c:v>322020</c:v>
                </c:pt>
                <c:pt idx="473">
                  <c:v>963291</c:v>
                </c:pt>
                <c:pt idx="474">
                  <c:v>295359</c:v>
                </c:pt>
                <c:pt idx="475">
                  <c:v>586599</c:v>
                </c:pt>
                <c:pt idx="476">
                  <c:v>607808</c:v>
                </c:pt>
                <c:pt idx="477">
                  <c:v>465070</c:v>
                </c:pt>
                <c:pt idx="478">
                  <c:v>295703</c:v>
                </c:pt>
                <c:pt idx="479">
                  <c:v>372902</c:v>
                </c:pt>
                <c:pt idx="480">
                  <c:v>428323</c:v>
                </c:pt>
                <c:pt idx="481">
                  <c:v>203885</c:v>
                </c:pt>
                <c:pt idx="482">
                  <c:v>308710</c:v>
                </c:pt>
                <c:pt idx="483">
                  <c:v>559038</c:v>
                </c:pt>
                <c:pt idx="484">
                  <c:v>613280</c:v>
                </c:pt>
                <c:pt idx="485">
                  <c:v>280511</c:v>
                </c:pt>
                <c:pt idx="486">
                  <c:v>241534</c:v>
                </c:pt>
                <c:pt idx="487">
                  <c:v>373512</c:v>
                </c:pt>
                <c:pt idx="488">
                  <c:v>719756</c:v>
                </c:pt>
                <c:pt idx="489">
                  <c:v>254533</c:v>
                </c:pt>
                <c:pt idx="490">
                  <c:v>398558</c:v>
                </c:pt>
                <c:pt idx="491">
                  <c:v>327495</c:v>
                </c:pt>
                <c:pt idx="492">
                  <c:v>981556</c:v>
                </c:pt>
                <c:pt idx="493">
                  <c:v>1358592</c:v>
                </c:pt>
                <c:pt idx="494">
                  <c:v>1511415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0-431E-A499-07379691D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76372"/>
        <c:axId val="98735375"/>
      </c:barChart>
      <c:lineChart>
        <c:grouping val="standard"/>
        <c:varyColors val="0"/>
        <c:ser>
          <c:idx val="1"/>
          <c:order val="1"/>
          <c:tx>
            <c:strRef>
              <c:f>MARUTI!$H$1</c:f>
              <c:strCache>
                <c:ptCount val="1"/>
                <c:pt idx="0">
                  <c:v>CLOSE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MARUTI!$A$2:$A$496</c:f>
              <c:numCache>
                <c:formatCode>d\-mmm\-yy</c:formatCode>
                <c:ptCount val="495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45614</c:v>
                </c:pt>
                <c:pt idx="97">
                  <c:v>45615</c:v>
                </c:pt>
                <c:pt idx="98">
                  <c:v>45617</c:v>
                </c:pt>
                <c:pt idx="99">
                  <c:v>45618</c:v>
                </c:pt>
                <c:pt idx="100">
                  <c:v>45621</c:v>
                </c:pt>
                <c:pt idx="101">
                  <c:v>45622</c:v>
                </c:pt>
                <c:pt idx="102">
                  <c:v>45623</c:v>
                </c:pt>
                <c:pt idx="103">
                  <c:v>45624</c:v>
                </c:pt>
                <c:pt idx="104">
                  <c:v>45625</c:v>
                </c:pt>
                <c:pt idx="105">
                  <c:v>45628</c:v>
                </c:pt>
                <c:pt idx="106">
                  <c:v>45629</c:v>
                </c:pt>
                <c:pt idx="107">
                  <c:v>45630</c:v>
                </c:pt>
                <c:pt idx="108">
                  <c:v>45631</c:v>
                </c:pt>
                <c:pt idx="109">
                  <c:v>45632</c:v>
                </c:pt>
                <c:pt idx="110">
                  <c:v>45635</c:v>
                </c:pt>
                <c:pt idx="111">
                  <c:v>45636</c:v>
                </c:pt>
                <c:pt idx="112">
                  <c:v>45637</c:v>
                </c:pt>
                <c:pt idx="113">
                  <c:v>45638</c:v>
                </c:pt>
                <c:pt idx="114">
                  <c:v>45639</c:v>
                </c:pt>
                <c:pt idx="115">
                  <c:v>45642</c:v>
                </c:pt>
                <c:pt idx="116">
                  <c:v>45643</c:v>
                </c:pt>
                <c:pt idx="117">
                  <c:v>45644</c:v>
                </c:pt>
                <c:pt idx="118">
                  <c:v>45645</c:v>
                </c:pt>
                <c:pt idx="119">
                  <c:v>45646</c:v>
                </c:pt>
                <c:pt idx="120">
                  <c:v>45649</c:v>
                </c:pt>
                <c:pt idx="121">
                  <c:v>45650</c:v>
                </c:pt>
                <c:pt idx="122">
                  <c:v>45652</c:v>
                </c:pt>
                <c:pt idx="123">
                  <c:v>45653</c:v>
                </c:pt>
                <c:pt idx="124">
                  <c:v>45656</c:v>
                </c:pt>
                <c:pt idx="125">
                  <c:v>45657</c:v>
                </c:pt>
                <c:pt idx="126">
                  <c:v>45658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45666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45677</c:v>
                </c:pt>
                <c:pt idx="140">
                  <c:v>45678</c:v>
                </c:pt>
                <c:pt idx="141">
                  <c:v>45679</c:v>
                </c:pt>
                <c:pt idx="142">
                  <c:v>45680</c:v>
                </c:pt>
                <c:pt idx="143">
                  <c:v>45681</c:v>
                </c:pt>
                <c:pt idx="144">
                  <c:v>45684</c:v>
                </c:pt>
                <c:pt idx="145">
                  <c:v>45685</c:v>
                </c:pt>
                <c:pt idx="146">
                  <c:v>45686</c:v>
                </c:pt>
                <c:pt idx="147">
                  <c:v>45687</c:v>
                </c:pt>
                <c:pt idx="148">
                  <c:v>45688</c:v>
                </c:pt>
                <c:pt idx="149">
                  <c:v>45689</c:v>
                </c:pt>
                <c:pt idx="150">
                  <c:v>45691</c:v>
                </c:pt>
                <c:pt idx="151">
                  <c:v>45692</c:v>
                </c:pt>
                <c:pt idx="152">
                  <c:v>45693</c:v>
                </c:pt>
                <c:pt idx="153">
                  <c:v>45694</c:v>
                </c:pt>
                <c:pt idx="154">
                  <c:v>45695</c:v>
                </c:pt>
                <c:pt idx="155">
                  <c:v>45698</c:v>
                </c:pt>
                <c:pt idx="156">
                  <c:v>45699</c:v>
                </c:pt>
                <c:pt idx="157">
                  <c:v>45700</c:v>
                </c:pt>
                <c:pt idx="158">
                  <c:v>45701</c:v>
                </c:pt>
                <c:pt idx="159">
                  <c:v>45702</c:v>
                </c:pt>
                <c:pt idx="160">
                  <c:v>45705</c:v>
                </c:pt>
                <c:pt idx="161">
                  <c:v>45706</c:v>
                </c:pt>
                <c:pt idx="162">
                  <c:v>45707</c:v>
                </c:pt>
                <c:pt idx="163">
                  <c:v>45708</c:v>
                </c:pt>
                <c:pt idx="164">
                  <c:v>45709</c:v>
                </c:pt>
                <c:pt idx="165">
                  <c:v>45712</c:v>
                </c:pt>
                <c:pt idx="166">
                  <c:v>45713</c:v>
                </c:pt>
                <c:pt idx="167">
                  <c:v>45715</c:v>
                </c:pt>
                <c:pt idx="168">
                  <c:v>45716</c:v>
                </c:pt>
                <c:pt idx="169">
                  <c:v>45719</c:v>
                </c:pt>
                <c:pt idx="170">
                  <c:v>45720</c:v>
                </c:pt>
                <c:pt idx="171">
                  <c:v>45721</c:v>
                </c:pt>
                <c:pt idx="172">
                  <c:v>45722</c:v>
                </c:pt>
                <c:pt idx="173">
                  <c:v>45723</c:v>
                </c:pt>
                <c:pt idx="174">
                  <c:v>45726</c:v>
                </c:pt>
                <c:pt idx="175">
                  <c:v>45727</c:v>
                </c:pt>
                <c:pt idx="176">
                  <c:v>45728</c:v>
                </c:pt>
                <c:pt idx="177">
                  <c:v>45729</c:v>
                </c:pt>
                <c:pt idx="178">
                  <c:v>45733</c:v>
                </c:pt>
                <c:pt idx="179">
                  <c:v>45734</c:v>
                </c:pt>
                <c:pt idx="180">
                  <c:v>45735</c:v>
                </c:pt>
                <c:pt idx="181">
                  <c:v>45736</c:v>
                </c:pt>
                <c:pt idx="182">
                  <c:v>45737</c:v>
                </c:pt>
                <c:pt idx="183">
                  <c:v>45740</c:v>
                </c:pt>
                <c:pt idx="184">
                  <c:v>45741</c:v>
                </c:pt>
                <c:pt idx="185">
                  <c:v>45742</c:v>
                </c:pt>
                <c:pt idx="186">
                  <c:v>45743</c:v>
                </c:pt>
                <c:pt idx="187">
                  <c:v>45744</c:v>
                </c:pt>
                <c:pt idx="188">
                  <c:v>45748</c:v>
                </c:pt>
                <c:pt idx="189">
                  <c:v>45749</c:v>
                </c:pt>
                <c:pt idx="190">
                  <c:v>45750</c:v>
                </c:pt>
                <c:pt idx="191">
                  <c:v>45751</c:v>
                </c:pt>
                <c:pt idx="192">
                  <c:v>45754</c:v>
                </c:pt>
                <c:pt idx="193">
                  <c:v>45755</c:v>
                </c:pt>
                <c:pt idx="194">
                  <c:v>45756</c:v>
                </c:pt>
                <c:pt idx="195">
                  <c:v>45758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45798</c:v>
                </c:pt>
                <c:pt idx="221">
                  <c:v>45799</c:v>
                </c:pt>
                <c:pt idx="222">
                  <c:v>45800</c:v>
                </c:pt>
                <c:pt idx="223">
                  <c:v>45803</c:v>
                </c:pt>
                <c:pt idx="224">
                  <c:v>45804</c:v>
                </c:pt>
                <c:pt idx="225">
                  <c:v>45805</c:v>
                </c:pt>
                <c:pt idx="226">
                  <c:v>45806</c:v>
                </c:pt>
                <c:pt idx="227">
                  <c:v>45807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45817</c:v>
                </c:pt>
                <c:pt idx="234">
                  <c:v>45818</c:v>
                </c:pt>
                <c:pt idx="235">
                  <c:v>45819</c:v>
                </c:pt>
                <c:pt idx="236">
                  <c:v>45820</c:v>
                </c:pt>
                <c:pt idx="237">
                  <c:v>45821</c:v>
                </c:pt>
                <c:pt idx="238">
                  <c:v>45824</c:v>
                </c:pt>
                <c:pt idx="239">
                  <c:v>45825</c:v>
                </c:pt>
                <c:pt idx="240">
                  <c:v>45826</c:v>
                </c:pt>
                <c:pt idx="241">
                  <c:v>45827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45842</c:v>
                </c:pt>
                <c:pt idx="253">
                  <c:v>45845</c:v>
                </c:pt>
                <c:pt idx="254">
                  <c:v>45846</c:v>
                </c:pt>
                <c:pt idx="255">
                  <c:v>45847</c:v>
                </c:pt>
                <c:pt idx="256">
                  <c:v>45848</c:v>
                </c:pt>
                <c:pt idx="257">
                  <c:v>45849</c:v>
                </c:pt>
                <c:pt idx="258">
                  <c:v>45852</c:v>
                </c:pt>
                <c:pt idx="259">
                  <c:v>45853</c:v>
                </c:pt>
                <c:pt idx="260">
                  <c:v>45854</c:v>
                </c:pt>
                <c:pt idx="261">
                  <c:v>45855</c:v>
                </c:pt>
                <c:pt idx="262">
                  <c:v>45856</c:v>
                </c:pt>
                <c:pt idx="263">
                  <c:v>45859</c:v>
                </c:pt>
                <c:pt idx="264">
                  <c:v>45860</c:v>
                </c:pt>
                <c:pt idx="265">
                  <c:v>45861</c:v>
                </c:pt>
                <c:pt idx="266">
                  <c:v>45862</c:v>
                </c:pt>
                <c:pt idx="267">
                  <c:v>45863</c:v>
                </c:pt>
                <c:pt idx="268">
                  <c:v>45866</c:v>
                </c:pt>
                <c:pt idx="269">
                  <c:v>45867</c:v>
                </c:pt>
                <c:pt idx="270">
                  <c:v>45868</c:v>
                </c:pt>
                <c:pt idx="271">
                  <c:v>45869</c:v>
                </c:pt>
                <c:pt idx="272">
                  <c:v>45870</c:v>
                </c:pt>
                <c:pt idx="273">
                  <c:v>45873</c:v>
                </c:pt>
                <c:pt idx="274">
                  <c:v>45874</c:v>
                </c:pt>
                <c:pt idx="275">
                  <c:v>45875</c:v>
                </c:pt>
                <c:pt idx="276">
                  <c:v>45876</c:v>
                </c:pt>
                <c:pt idx="277">
                  <c:v>45877</c:v>
                </c:pt>
                <c:pt idx="278">
                  <c:v>45880</c:v>
                </c:pt>
                <c:pt idx="279">
                  <c:v>45881</c:v>
                </c:pt>
                <c:pt idx="280">
                  <c:v>45882</c:v>
                </c:pt>
                <c:pt idx="281">
                  <c:v>45883</c:v>
                </c:pt>
                <c:pt idx="282">
                  <c:v>45887</c:v>
                </c:pt>
                <c:pt idx="283">
                  <c:v>45888</c:v>
                </c:pt>
                <c:pt idx="284">
                  <c:v>45889</c:v>
                </c:pt>
                <c:pt idx="285">
                  <c:v>45890</c:v>
                </c:pt>
                <c:pt idx="286">
                  <c:v>45891</c:v>
                </c:pt>
                <c:pt idx="287">
                  <c:v>45894</c:v>
                </c:pt>
                <c:pt idx="288">
                  <c:v>45895</c:v>
                </c:pt>
                <c:pt idx="289">
                  <c:v>45897</c:v>
                </c:pt>
                <c:pt idx="290">
                  <c:v>45898</c:v>
                </c:pt>
                <c:pt idx="291">
                  <c:v>45901</c:v>
                </c:pt>
                <c:pt idx="292">
                  <c:v>45902</c:v>
                </c:pt>
                <c:pt idx="293">
                  <c:v>45903</c:v>
                </c:pt>
                <c:pt idx="294">
                  <c:v>45904</c:v>
                </c:pt>
                <c:pt idx="295">
                  <c:v>45905</c:v>
                </c:pt>
                <c:pt idx="296">
                  <c:v>45908</c:v>
                </c:pt>
                <c:pt idx="297">
                  <c:v>45909</c:v>
                </c:pt>
                <c:pt idx="298">
                  <c:v>45910</c:v>
                </c:pt>
                <c:pt idx="299">
                  <c:v>45911</c:v>
                </c:pt>
                <c:pt idx="300">
                  <c:v>45912</c:v>
                </c:pt>
                <c:pt idx="301">
                  <c:v>45915</c:v>
                </c:pt>
                <c:pt idx="302">
                  <c:v>45916</c:v>
                </c:pt>
                <c:pt idx="303">
                  <c:v>45917</c:v>
                </c:pt>
                <c:pt idx="304">
                  <c:v>45918</c:v>
                </c:pt>
                <c:pt idx="305">
                  <c:v>45919</c:v>
                </c:pt>
                <c:pt idx="306">
                  <c:v>45922</c:v>
                </c:pt>
                <c:pt idx="307">
                  <c:v>45923</c:v>
                </c:pt>
                <c:pt idx="308">
                  <c:v>45924</c:v>
                </c:pt>
                <c:pt idx="309">
                  <c:v>45925</c:v>
                </c:pt>
                <c:pt idx="310">
                  <c:v>45926</c:v>
                </c:pt>
                <c:pt idx="311">
                  <c:v>45929</c:v>
                </c:pt>
                <c:pt idx="312">
                  <c:v>45930</c:v>
                </c:pt>
                <c:pt idx="313">
                  <c:v>45931</c:v>
                </c:pt>
                <c:pt idx="314">
                  <c:v>45933</c:v>
                </c:pt>
                <c:pt idx="315">
                  <c:v>45936</c:v>
                </c:pt>
                <c:pt idx="316">
                  <c:v>45937</c:v>
                </c:pt>
                <c:pt idx="317">
                  <c:v>45938</c:v>
                </c:pt>
                <c:pt idx="318">
                  <c:v>45939</c:v>
                </c:pt>
                <c:pt idx="319">
                  <c:v>45940</c:v>
                </c:pt>
                <c:pt idx="320">
                  <c:v>45943</c:v>
                </c:pt>
                <c:pt idx="321">
                  <c:v>45944</c:v>
                </c:pt>
                <c:pt idx="322">
                  <c:v>45945</c:v>
                </c:pt>
                <c:pt idx="323">
                  <c:v>45946</c:v>
                </c:pt>
                <c:pt idx="324">
                  <c:v>45947</c:v>
                </c:pt>
                <c:pt idx="325">
                  <c:v>45950</c:v>
                </c:pt>
                <c:pt idx="326">
                  <c:v>45951</c:v>
                </c:pt>
                <c:pt idx="327">
                  <c:v>45953</c:v>
                </c:pt>
                <c:pt idx="328">
                  <c:v>45954</c:v>
                </c:pt>
                <c:pt idx="329">
                  <c:v>45957</c:v>
                </c:pt>
                <c:pt idx="330">
                  <c:v>45958</c:v>
                </c:pt>
                <c:pt idx="331">
                  <c:v>45959</c:v>
                </c:pt>
                <c:pt idx="332">
                  <c:v>45960</c:v>
                </c:pt>
                <c:pt idx="333">
                  <c:v>45961</c:v>
                </c:pt>
                <c:pt idx="334">
                  <c:v>45964</c:v>
                </c:pt>
                <c:pt idx="335">
                  <c:v>45965</c:v>
                </c:pt>
                <c:pt idx="336">
                  <c:v>45967</c:v>
                </c:pt>
                <c:pt idx="337">
                  <c:v>45968</c:v>
                </c:pt>
                <c:pt idx="338">
                  <c:v>45971</c:v>
                </c:pt>
                <c:pt idx="339">
                  <c:v>45972</c:v>
                </c:pt>
                <c:pt idx="340">
                  <c:v>45973</c:v>
                </c:pt>
                <c:pt idx="341">
                  <c:v>45974</c:v>
                </c:pt>
                <c:pt idx="342">
                  <c:v>45975</c:v>
                </c:pt>
                <c:pt idx="343">
                  <c:v>45978</c:v>
                </c:pt>
                <c:pt idx="344">
                  <c:v>45979</c:v>
                </c:pt>
                <c:pt idx="345">
                  <c:v>45980</c:v>
                </c:pt>
                <c:pt idx="346">
                  <c:v>45981</c:v>
                </c:pt>
                <c:pt idx="347">
                  <c:v>45982</c:v>
                </c:pt>
                <c:pt idx="348">
                  <c:v>45985</c:v>
                </c:pt>
                <c:pt idx="349">
                  <c:v>45986</c:v>
                </c:pt>
                <c:pt idx="350">
                  <c:v>45987</c:v>
                </c:pt>
                <c:pt idx="351">
                  <c:v>45988</c:v>
                </c:pt>
                <c:pt idx="352">
                  <c:v>45989</c:v>
                </c:pt>
                <c:pt idx="353">
                  <c:v>45992</c:v>
                </c:pt>
                <c:pt idx="354">
                  <c:v>45993</c:v>
                </c:pt>
                <c:pt idx="355">
                  <c:v>45994</c:v>
                </c:pt>
                <c:pt idx="356">
                  <c:v>45995</c:v>
                </c:pt>
                <c:pt idx="357">
                  <c:v>45996</c:v>
                </c:pt>
                <c:pt idx="358">
                  <c:v>45999</c:v>
                </c:pt>
                <c:pt idx="359">
                  <c:v>46000</c:v>
                </c:pt>
                <c:pt idx="360">
                  <c:v>46001</c:v>
                </c:pt>
                <c:pt idx="361">
                  <c:v>46002</c:v>
                </c:pt>
                <c:pt idx="362">
                  <c:v>46003</c:v>
                </c:pt>
                <c:pt idx="363">
                  <c:v>46006</c:v>
                </c:pt>
                <c:pt idx="364">
                  <c:v>46007</c:v>
                </c:pt>
                <c:pt idx="365">
                  <c:v>46008</c:v>
                </c:pt>
                <c:pt idx="366">
                  <c:v>46009</c:v>
                </c:pt>
                <c:pt idx="367">
                  <c:v>46010</c:v>
                </c:pt>
                <c:pt idx="368">
                  <c:v>46013</c:v>
                </c:pt>
                <c:pt idx="369">
                  <c:v>46014</c:v>
                </c:pt>
                <c:pt idx="370">
                  <c:v>46015</c:v>
                </c:pt>
                <c:pt idx="371">
                  <c:v>46017</c:v>
                </c:pt>
                <c:pt idx="372">
                  <c:v>46020</c:v>
                </c:pt>
                <c:pt idx="373">
                  <c:v>46021</c:v>
                </c:pt>
                <c:pt idx="374">
                  <c:v>46022</c:v>
                </c:pt>
                <c:pt idx="375">
                  <c:v>46023</c:v>
                </c:pt>
                <c:pt idx="376">
                  <c:v>46024</c:v>
                </c:pt>
                <c:pt idx="377">
                  <c:v>46027</c:v>
                </c:pt>
                <c:pt idx="378">
                  <c:v>46028</c:v>
                </c:pt>
                <c:pt idx="379">
                  <c:v>46029</c:v>
                </c:pt>
                <c:pt idx="380">
                  <c:v>46030</c:v>
                </c:pt>
                <c:pt idx="381">
                  <c:v>46031</c:v>
                </c:pt>
                <c:pt idx="382">
                  <c:v>46034</c:v>
                </c:pt>
                <c:pt idx="383">
                  <c:v>46035</c:v>
                </c:pt>
                <c:pt idx="384">
                  <c:v>46036</c:v>
                </c:pt>
                <c:pt idx="385">
                  <c:v>46038</c:v>
                </c:pt>
                <c:pt idx="386">
                  <c:v>46041</c:v>
                </c:pt>
                <c:pt idx="387">
                  <c:v>46042</c:v>
                </c:pt>
                <c:pt idx="388">
                  <c:v>46043</c:v>
                </c:pt>
                <c:pt idx="389">
                  <c:v>46044</c:v>
                </c:pt>
                <c:pt idx="390">
                  <c:v>46045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46062</c:v>
                </c:pt>
                <c:pt idx="402">
                  <c:v>46063</c:v>
                </c:pt>
                <c:pt idx="403">
                  <c:v>46064</c:v>
                </c:pt>
                <c:pt idx="404">
                  <c:v>46065</c:v>
                </c:pt>
                <c:pt idx="405">
                  <c:v>46066</c:v>
                </c:pt>
                <c:pt idx="406">
                  <c:v>46069</c:v>
                </c:pt>
                <c:pt idx="407">
                  <c:v>46070</c:v>
                </c:pt>
                <c:pt idx="408">
                  <c:v>46071</c:v>
                </c:pt>
                <c:pt idx="409">
                  <c:v>46072</c:v>
                </c:pt>
                <c:pt idx="410">
                  <c:v>46073</c:v>
                </c:pt>
                <c:pt idx="411">
                  <c:v>46076</c:v>
                </c:pt>
                <c:pt idx="412">
                  <c:v>46077</c:v>
                </c:pt>
                <c:pt idx="413">
                  <c:v>46078</c:v>
                </c:pt>
                <c:pt idx="414">
                  <c:v>46079</c:v>
                </c:pt>
                <c:pt idx="415">
                  <c:v>46080</c:v>
                </c:pt>
                <c:pt idx="416">
                  <c:v>46083</c:v>
                </c:pt>
                <c:pt idx="417">
                  <c:v>46085</c:v>
                </c:pt>
                <c:pt idx="418">
                  <c:v>46086</c:v>
                </c:pt>
                <c:pt idx="419">
                  <c:v>46087</c:v>
                </c:pt>
                <c:pt idx="420">
                  <c:v>46090</c:v>
                </c:pt>
                <c:pt idx="421">
                  <c:v>46091</c:v>
                </c:pt>
                <c:pt idx="422">
                  <c:v>46092</c:v>
                </c:pt>
                <c:pt idx="423">
                  <c:v>46093</c:v>
                </c:pt>
                <c:pt idx="424">
                  <c:v>46094</c:v>
                </c:pt>
                <c:pt idx="425">
                  <c:v>46097</c:v>
                </c:pt>
                <c:pt idx="426">
                  <c:v>46098</c:v>
                </c:pt>
                <c:pt idx="427">
                  <c:v>46099</c:v>
                </c:pt>
                <c:pt idx="428">
                  <c:v>46100</c:v>
                </c:pt>
                <c:pt idx="429">
                  <c:v>46101</c:v>
                </c:pt>
                <c:pt idx="430">
                  <c:v>46104</c:v>
                </c:pt>
                <c:pt idx="431">
                  <c:v>46105</c:v>
                </c:pt>
                <c:pt idx="432">
                  <c:v>46106</c:v>
                </c:pt>
                <c:pt idx="433">
                  <c:v>46108</c:v>
                </c:pt>
                <c:pt idx="434">
                  <c:v>46111</c:v>
                </c:pt>
                <c:pt idx="435">
                  <c:v>46113</c:v>
                </c:pt>
                <c:pt idx="436">
                  <c:v>46114</c:v>
                </c:pt>
                <c:pt idx="437">
                  <c:v>46118</c:v>
                </c:pt>
                <c:pt idx="438">
                  <c:v>46119</c:v>
                </c:pt>
                <c:pt idx="439">
                  <c:v>46120</c:v>
                </c:pt>
                <c:pt idx="440">
                  <c:v>46121</c:v>
                </c:pt>
                <c:pt idx="441">
                  <c:v>46122</c:v>
                </c:pt>
                <c:pt idx="442">
                  <c:v>46125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46132</c:v>
                </c:pt>
                <c:pt idx="447">
                  <c:v>46133</c:v>
                </c:pt>
                <c:pt idx="448">
                  <c:v>46134</c:v>
                </c:pt>
                <c:pt idx="449">
                  <c:v>46135</c:v>
                </c:pt>
                <c:pt idx="450">
                  <c:v>46136</c:v>
                </c:pt>
                <c:pt idx="451">
                  <c:v>46139</c:v>
                </c:pt>
                <c:pt idx="452">
                  <c:v>46140</c:v>
                </c:pt>
                <c:pt idx="453">
                  <c:v>46141</c:v>
                </c:pt>
                <c:pt idx="454">
                  <c:v>46142</c:v>
                </c:pt>
                <c:pt idx="455">
                  <c:v>46146</c:v>
                </c:pt>
                <c:pt idx="456">
                  <c:v>46147</c:v>
                </c:pt>
                <c:pt idx="457">
                  <c:v>46148</c:v>
                </c:pt>
                <c:pt idx="458">
                  <c:v>46149</c:v>
                </c:pt>
                <c:pt idx="459">
                  <c:v>46150</c:v>
                </c:pt>
                <c:pt idx="460">
                  <c:v>46153</c:v>
                </c:pt>
                <c:pt idx="461">
                  <c:v>46154</c:v>
                </c:pt>
                <c:pt idx="462">
                  <c:v>46155</c:v>
                </c:pt>
                <c:pt idx="463">
                  <c:v>46156</c:v>
                </c:pt>
                <c:pt idx="464">
                  <c:v>46157</c:v>
                </c:pt>
                <c:pt idx="465">
                  <c:v>46160</c:v>
                </c:pt>
                <c:pt idx="466">
                  <c:v>46161</c:v>
                </c:pt>
                <c:pt idx="467">
                  <c:v>46162</c:v>
                </c:pt>
                <c:pt idx="468">
                  <c:v>46163</c:v>
                </c:pt>
                <c:pt idx="469">
                  <c:v>46164</c:v>
                </c:pt>
                <c:pt idx="470">
                  <c:v>46167</c:v>
                </c:pt>
                <c:pt idx="471">
                  <c:v>46168</c:v>
                </c:pt>
                <c:pt idx="472">
                  <c:v>46169</c:v>
                </c:pt>
                <c:pt idx="473">
                  <c:v>46171</c:v>
                </c:pt>
                <c:pt idx="474">
                  <c:v>46174</c:v>
                </c:pt>
                <c:pt idx="475">
                  <c:v>46175</c:v>
                </c:pt>
                <c:pt idx="476">
                  <c:v>46176</c:v>
                </c:pt>
                <c:pt idx="477">
                  <c:v>46177</c:v>
                </c:pt>
                <c:pt idx="478">
                  <c:v>46178</c:v>
                </c:pt>
                <c:pt idx="479">
                  <c:v>46181</c:v>
                </c:pt>
                <c:pt idx="480">
                  <c:v>46182</c:v>
                </c:pt>
                <c:pt idx="481">
                  <c:v>46183</c:v>
                </c:pt>
                <c:pt idx="482">
                  <c:v>46184</c:v>
                </c:pt>
                <c:pt idx="483">
                  <c:v>46185</c:v>
                </c:pt>
                <c:pt idx="484">
                  <c:v>46188</c:v>
                </c:pt>
                <c:pt idx="485">
                  <c:v>46189</c:v>
                </c:pt>
                <c:pt idx="486">
                  <c:v>46190</c:v>
                </c:pt>
                <c:pt idx="487">
                  <c:v>46191</c:v>
                </c:pt>
                <c:pt idx="488">
                  <c:v>46192</c:v>
                </c:pt>
                <c:pt idx="489">
                  <c:v>46195</c:v>
                </c:pt>
                <c:pt idx="490">
                  <c:v>46196</c:v>
                </c:pt>
                <c:pt idx="491">
                  <c:v>46197</c:v>
                </c:pt>
                <c:pt idx="492">
                  <c:v>46198</c:v>
                </c:pt>
                <c:pt idx="493">
                  <c:v>46202</c:v>
                </c:pt>
                <c:pt idx="494">
                  <c:v>46203</c:v>
                </c:pt>
              </c:numCache>
            </c:numRef>
          </c:cat>
          <c:val>
            <c:numRef>
              <c:f>MARUTI!$H$2:$H$496</c:f>
              <c:numCache>
                <c:formatCode>#,##0.00</c:formatCode>
                <c:ptCount val="495"/>
                <c:pt idx="0">
                  <c:v>12108.65</c:v>
                </c:pt>
                <c:pt idx="1">
                  <c:v>12042.6</c:v>
                </c:pt>
                <c:pt idx="2">
                  <c:v>12123.65</c:v>
                </c:pt>
                <c:pt idx="3">
                  <c:v>12089.6</c:v>
                </c:pt>
                <c:pt idx="4">
                  <c:v>12104.05</c:v>
                </c:pt>
                <c:pt idx="5">
                  <c:v>12023.6</c:v>
                </c:pt>
                <c:pt idx="6">
                  <c:v>12827.7</c:v>
                </c:pt>
                <c:pt idx="7">
                  <c:v>12772.8</c:v>
                </c:pt>
                <c:pt idx="8">
                  <c:v>12715.2</c:v>
                </c:pt>
                <c:pt idx="9">
                  <c:v>12562.5</c:v>
                </c:pt>
                <c:pt idx="10">
                  <c:v>12643.95</c:v>
                </c:pt>
                <c:pt idx="11">
                  <c:v>12639.55</c:v>
                </c:pt>
                <c:pt idx="12">
                  <c:v>12644.05</c:v>
                </c:pt>
                <c:pt idx="13">
                  <c:v>12524.3</c:v>
                </c:pt>
                <c:pt idx="14">
                  <c:v>12641.25</c:v>
                </c:pt>
                <c:pt idx="15">
                  <c:v>12629.05</c:v>
                </c:pt>
                <c:pt idx="16">
                  <c:v>12487.25</c:v>
                </c:pt>
                <c:pt idx="17">
                  <c:v>12509.2</c:v>
                </c:pt>
                <c:pt idx="18">
                  <c:v>12663.7</c:v>
                </c:pt>
                <c:pt idx="19">
                  <c:v>12751.55</c:v>
                </c:pt>
                <c:pt idx="20">
                  <c:v>12873.65</c:v>
                </c:pt>
                <c:pt idx="21">
                  <c:v>13115.8</c:v>
                </c:pt>
                <c:pt idx="22">
                  <c:v>13359.05</c:v>
                </c:pt>
                <c:pt idx="23">
                  <c:v>12726.4</c:v>
                </c:pt>
                <c:pt idx="24">
                  <c:v>12200.85</c:v>
                </c:pt>
                <c:pt idx="25">
                  <c:v>12131.1</c:v>
                </c:pt>
                <c:pt idx="26">
                  <c:v>12371.5</c:v>
                </c:pt>
                <c:pt idx="27">
                  <c:v>12218.85</c:v>
                </c:pt>
                <c:pt idx="28">
                  <c:v>12224.2</c:v>
                </c:pt>
                <c:pt idx="29">
                  <c:v>12273.25</c:v>
                </c:pt>
                <c:pt idx="30">
                  <c:v>12176.25</c:v>
                </c:pt>
                <c:pt idx="31">
                  <c:v>12205.65</c:v>
                </c:pt>
                <c:pt idx="32">
                  <c:v>12213.3</c:v>
                </c:pt>
                <c:pt idx="33">
                  <c:v>12149.8</c:v>
                </c:pt>
                <c:pt idx="34">
                  <c:v>12214.95</c:v>
                </c:pt>
                <c:pt idx="35">
                  <c:v>12220.95</c:v>
                </c:pt>
                <c:pt idx="36">
                  <c:v>12276.35</c:v>
                </c:pt>
                <c:pt idx="37">
                  <c:v>12302.3</c:v>
                </c:pt>
                <c:pt idx="38">
                  <c:v>12243.8</c:v>
                </c:pt>
                <c:pt idx="39">
                  <c:v>12496.9</c:v>
                </c:pt>
                <c:pt idx="40">
                  <c:v>12357.5</c:v>
                </c:pt>
                <c:pt idx="41">
                  <c:v>12453.8</c:v>
                </c:pt>
                <c:pt idx="42">
                  <c:v>12403</c:v>
                </c:pt>
                <c:pt idx="43">
                  <c:v>12427.4</c:v>
                </c:pt>
                <c:pt idx="44">
                  <c:v>12397.1</c:v>
                </c:pt>
                <c:pt idx="45">
                  <c:v>12336.25</c:v>
                </c:pt>
                <c:pt idx="46">
                  <c:v>12298.6</c:v>
                </c:pt>
                <c:pt idx="47">
                  <c:v>12186.15</c:v>
                </c:pt>
                <c:pt idx="48">
                  <c:v>12145.75</c:v>
                </c:pt>
                <c:pt idx="49">
                  <c:v>12263.4</c:v>
                </c:pt>
                <c:pt idx="50">
                  <c:v>12242.6</c:v>
                </c:pt>
                <c:pt idx="51">
                  <c:v>12400.85</c:v>
                </c:pt>
                <c:pt idx="52">
                  <c:v>12316.05</c:v>
                </c:pt>
                <c:pt idx="53">
                  <c:v>12289</c:v>
                </c:pt>
                <c:pt idx="54">
                  <c:v>12245.75</c:v>
                </c:pt>
                <c:pt idx="55">
                  <c:v>12204.1</c:v>
                </c:pt>
                <c:pt idx="56">
                  <c:v>12351.5</c:v>
                </c:pt>
                <c:pt idx="57">
                  <c:v>12614.5</c:v>
                </c:pt>
                <c:pt idx="58">
                  <c:v>12683.1</c:v>
                </c:pt>
                <c:pt idx="59">
                  <c:v>12738.6</c:v>
                </c:pt>
                <c:pt idx="60">
                  <c:v>12785.3</c:v>
                </c:pt>
                <c:pt idx="61">
                  <c:v>13383.8</c:v>
                </c:pt>
                <c:pt idx="62">
                  <c:v>13495.6</c:v>
                </c:pt>
                <c:pt idx="63">
                  <c:v>13238</c:v>
                </c:pt>
                <c:pt idx="64">
                  <c:v>13166</c:v>
                </c:pt>
                <c:pt idx="65">
                  <c:v>12647.35</c:v>
                </c:pt>
                <c:pt idx="66">
                  <c:v>12605.75</c:v>
                </c:pt>
                <c:pt idx="67">
                  <c:v>12527.5</c:v>
                </c:pt>
                <c:pt idx="68">
                  <c:v>12531.95</c:v>
                </c:pt>
                <c:pt idx="69">
                  <c:v>12760.7</c:v>
                </c:pt>
                <c:pt idx="70">
                  <c:v>12944.1</c:v>
                </c:pt>
                <c:pt idx="71">
                  <c:v>12776.65</c:v>
                </c:pt>
                <c:pt idx="72">
                  <c:v>12537.85</c:v>
                </c:pt>
                <c:pt idx="73">
                  <c:v>12446.75</c:v>
                </c:pt>
                <c:pt idx="74">
                  <c:v>12383.9</c:v>
                </c:pt>
                <c:pt idx="75">
                  <c:v>12143.75</c:v>
                </c:pt>
                <c:pt idx="76">
                  <c:v>12105.1</c:v>
                </c:pt>
                <c:pt idx="77">
                  <c:v>12175.9</c:v>
                </c:pt>
                <c:pt idx="78">
                  <c:v>11923.3</c:v>
                </c:pt>
                <c:pt idx="79">
                  <c:v>11956.2</c:v>
                </c:pt>
                <c:pt idx="80">
                  <c:v>11763.7</c:v>
                </c:pt>
                <c:pt idx="81">
                  <c:v>11502.85</c:v>
                </c:pt>
                <c:pt idx="82">
                  <c:v>11483.25</c:v>
                </c:pt>
                <c:pt idx="83">
                  <c:v>11046</c:v>
                </c:pt>
                <c:pt idx="84">
                  <c:v>11256.45</c:v>
                </c:pt>
                <c:pt idx="85">
                  <c:v>11076.45</c:v>
                </c:pt>
                <c:pt idx="86">
                  <c:v>11110</c:v>
                </c:pt>
                <c:pt idx="87">
                  <c:v>11052.45</c:v>
                </c:pt>
                <c:pt idx="88">
                  <c:v>11170.1</c:v>
                </c:pt>
                <c:pt idx="89">
                  <c:v>11354.25</c:v>
                </c:pt>
                <c:pt idx="90">
                  <c:v>11300.15</c:v>
                </c:pt>
                <c:pt idx="91">
                  <c:v>11303</c:v>
                </c:pt>
                <c:pt idx="92">
                  <c:v>11399.7</c:v>
                </c:pt>
                <c:pt idx="93">
                  <c:v>11143.1</c:v>
                </c:pt>
                <c:pt idx="94">
                  <c:v>11049.6</c:v>
                </c:pt>
                <c:pt idx="95">
                  <c:v>11006.05</c:v>
                </c:pt>
                <c:pt idx="96">
                  <c:v>11093.95</c:v>
                </c:pt>
                <c:pt idx="97">
                  <c:v>10959.3</c:v>
                </c:pt>
                <c:pt idx="98">
                  <c:v>10861.45</c:v>
                </c:pt>
                <c:pt idx="99">
                  <c:v>11063.6</c:v>
                </c:pt>
                <c:pt idx="100">
                  <c:v>11025.15</c:v>
                </c:pt>
                <c:pt idx="101">
                  <c:v>10943.95</c:v>
                </c:pt>
                <c:pt idx="102">
                  <c:v>11058.35</c:v>
                </c:pt>
                <c:pt idx="103">
                  <c:v>10949.85</c:v>
                </c:pt>
                <c:pt idx="104">
                  <c:v>11074.2</c:v>
                </c:pt>
                <c:pt idx="105">
                  <c:v>11239.3</c:v>
                </c:pt>
                <c:pt idx="106">
                  <c:v>11279.25</c:v>
                </c:pt>
                <c:pt idx="107">
                  <c:v>11129.85</c:v>
                </c:pt>
                <c:pt idx="108">
                  <c:v>11182.25</c:v>
                </c:pt>
                <c:pt idx="109">
                  <c:v>11317.95</c:v>
                </c:pt>
                <c:pt idx="110">
                  <c:v>11279.8</c:v>
                </c:pt>
                <c:pt idx="111">
                  <c:v>11198.2</c:v>
                </c:pt>
                <c:pt idx="112">
                  <c:v>11277.75</c:v>
                </c:pt>
                <c:pt idx="113">
                  <c:v>11167.4</c:v>
                </c:pt>
                <c:pt idx="114">
                  <c:v>11272.55</c:v>
                </c:pt>
                <c:pt idx="115">
                  <c:v>11277</c:v>
                </c:pt>
                <c:pt idx="116">
                  <c:v>11108.55</c:v>
                </c:pt>
                <c:pt idx="117">
                  <c:v>11002.45</c:v>
                </c:pt>
                <c:pt idx="118">
                  <c:v>10955.35</c:v>
                </c:pt>
                <c:pt idx="119">
                  <c:v>10901.05</c:v>
                </c:pt>
                <c:pt idx="120">
                  <c:v>10822</c:v>
                </c:pt>
                <c:pt idx="121">
                  <c:v>10736.6</c:v>
                </c:pt>
                <c:pt idx="122">
                  <c:v>10896</c:v>
                </c:pt>
                <c:pt idx="123">
                  <c:v>10941.05</c:v>
                </c:pt>
                <c:pt idx="124">
                  <c:v>10798.95</c:v>
                </c:pt>
                <c:pt idx="125">
                  <c:v>10858.4</c:v>
                </c:pt>
                <c:pt idx="126">
                  <c:v>11208.3</c:v>
                </c:pt>
                <c:pt idx="127">
                  <c:v>11841.3</c:v>
                </c:pt>
                <c:pt idx="128">
                  <c:v>11934.25</c:v>
                </c:pt>
                <c:pt idx="129">
                  <c:v>11755.65</c:v>
                </c:pt>
                <c:pt idx="130">
                  <c:v>11721.3</c:v>
                </c:pt>
                <c:pt idx="131">
                  <c:v>11822</c:v>
                </c:pt>
                <c:pt idx="132">
                  <c:v>11740.55</c:v>
                </c:pt>
                <c:pt idx="133">
                  <c:v>11631.1</c:v>
                </c:pt>
                <c:pt idx="134">
                  <c:v>11497.7</c:v>
                </c:pt>
                <c:pt idx="135">
                  <c:v>11741.15</c:v>
                </c:pt>
                <c:pt idx="136">
                  <c:v>11947.4</c:v>
                </c:pt>
                <c:pt idx="137">
                  <c:v>12092.3</c:v>
                </c:pt>
                <c:pt idx="138">
                  <c:v>12136.35</c:v>
                </c:pt>
                <c:pt idx="139">
                  <c:v>12020.05</c:v>
                </c:pt>
                <c:pt idx="140">
                  <c:v>11883.7</c:v>
                </c:pt>
                <c:pt idx="141">
                  <c:v>12020.35</c:v>
                </c:pt>
                <c:pt idx="142">
                  <c:v>12045.75</c:v>
                </c:pt>
                <c:pt idx="143">
                  <c:v>11967.9</c:v>
                </c:pt>
                <c:pt idx="144">
                  <c:v>11993.85</c:v>
                </c:pt>
                <c:pt idx="145">
                  <c:v>12123.75</c:v>
                </c:pt>
                <c:pt idx="146">
                  <c:v>11977.9</c:v>
                </c:pt>
                <c:pt idx="147">
                  <c:v>12000</c:v>
                </c:pt>
                <c:pt idx="148">
                  <c:v>12310.65</c:v>
                </c:pt>
                <c:pt idx="149">
                  <c:v>12916.5</c:v>
                </c:pt>
                <c:pt idx="150">
                  <c:v>13139.95</c:v>
                </c:pt>
                <c:pt idx="151">
                  <c:v>13109.95</c:v>
                </c:pt>
                <c:pt idx="152">
                  <c:v>13086.8</c:v>
                </c:pt>
                <c:pt idx="153">
                  <c:v>13074</c:v>
                </c:pt>
                <c:pt idx="154">
                  <c:v>13049.5</c:v>
                </c:pt>
                <c:pt idx="155">
                  <c:v>12900.75</c:v>
                </c:pt>
                <c:pt idx="156">
                  <c:v>12724.35</c:v>
                </c:pt>
                <c:pt idx="157">
                  <c:v>12655.55</c:v>
                </c:pt>
                <c:pt idx="158">
                  <c:v>12671.3</c:v>
                </c:pt>
                <c:pt idx="159">
                  <c:v>12680.25</c:v>
                </c:pt>
                <c:pt idx="160">
                  <c:v>12762.9</c:v>
                </c:pt>
                <c:pt idx="161">
                  <c:v>12786.2</c:v>
                </c:pt>
                <c:pt idx="162">
                  <c:v>12686.15</c:v>
                </c:pt>
                <c:pt idx="163">
                  <c:v>12440.65</c:v>
                </c:pt>
                <c:pt idx="164">
                  <c:v>12323.45</c:v>
                </c:pt>
                <c:pt idx="165">
                  <c:v>12345.2</c:v>
                </c:pt>
                <c:pt idx="166">
                  <c:v>12476.35</c:v>
                </c:pt>
                <c:pt idx="167">
                  <c:v>12380.6</c:v>
                </c:pt>
                <c:pt idx="168">
                  <c:v>11945.85</c:v>
                </c:pt>
                <c:pt idx="169">
                  <c:v>11775.6</c:v>
                </c:pt>
                <c:pt idx="170">
                  <c:v>11616.25</c:v>
                </c:pt>
                <c:pt idx="171">
                  <c:v>11617.35</c:v>
                </c:pt>
                <c:pt idx="172">
                  <c:v>11666.4</c:v>
                </c:pt>
                <c:pt idx="173">
                  <c:v>11664.15</c:v>
                </c:pt>
                <c:pt idx="174">
                  <c:v>11586.05</c:v>
                </c:pt>
                <c:pt idx="175">
                  <c:v>11646.95</c:v>
                </c:pt>
                <c:pt idx="176">
                  <c:v>11640.1</c:v>
                </c:pt>
                <c:pt idx="177">
                  <c:v>11513.8</c:v>
                </c:pt>
                <c:pt idx="178">
                  <c:v>11553.7</c:v>
                </c:pt>
                <c:pt idx="179">
                  <c:v>11714.55</c:v>
                </c:pt>
                <c:pt idx="180">
                  <c:v>11615.55</c:v>
                </c:pt>
                <c:pt idx="181">
                  <c:v>11730.2</c:v>
                </c:pt>
                <c:pt idx="182">
                  <c:v>11732.8</c:v>
                </c:pt>
                <c:pt idx="183">
                  <c:v>11922.25</c:v>
                </c:pt>
                <c:pt idx="184">
                  <c:v>11868.9</c:v>
                </c:pt>
                <c:pt idx="185">
                  <c:v>11734.3</c:v>
                </c:pt>
                <c:pt idx="186">
                  <c:v>11721.95</c:v>
                </c:pt>
                <c:pt idx="187">
                  <c:v>11522.15</c:v>
                </c:pt>
                <c:pt idx="188">
                  <c:v>11481.1</c:v>
                </c:pt>
                <c:pt idx="189">
                  <c:v>11716.1</c:v>
                </c:pt>
                <c:pt idx="190">
                  <c:v>11688.1</c:v>
                </c:pt>
                <c:pt idx="191">
                  <c:v>11482</c:v>
                </c:pt>
                <c:pt idx="192">
                  <c:v>11329.75</c:v>
                </c:pt>
                <c:pt idx="193">
                  <c:v>11458.9</c:v>
                </c:pt>
                <c:pt idx="194">
                  <c:v>11457.4</c:v>
                </c:pt>
                <c:pt idx="195">
                  <c:v>11599.05</c:v>
                </c:pt>
                <c:pt idx="196">
                  <c:v>11855</c:v>
                </c:pt>
                <c:pt idx="197">
                  <c:v>11664</c:v>
                </c:pt>
                <c:pt idx="198">
                  <c:v>11695</c:v>
                </c:pt>
                <c:pt idx="199">
                  <c:v>11745</c:v>
                </c:pt>
                <c:pt idx="200">
                  <c:v>11734</c:v>
                </c:pt>
                <c:pt idx="201">
                  <c:v>11907</c:v>
                </c:pt>
                <c:pt idx="202">
                  <c:v>11894</c:v>
                </c:pt>
                <c:pt idx="203">
                  <c:v>11698</c:v>
                </c:pt>
                <c:pt idx="204">
                  <c:v>11846</c:v>
                </c:pt>
                <c:pt idx="205">
                  <c:v>11841</c:v>
                </c:pt>
                <c:pt idx="206">
                  <c:v>12257</c:v>
                </c:pt>
                <c:pt idx="207">
                  <c:v>12406</c:v>
                </c:pt>
                <c:pt idx="208">
                  <c:v>12458</c:v>
                </c:pt>
                <c:pt idx="209">
                  <c:v>12581</c:v>
                </c:pt>
                <c:pt idx="210">
                  <c:v>12633</c:v>
                </c:pt>
                <c:pt idx="211">
                  <c:v>12392</c:v>
                </c:pt>
                <c:pt idx="212">
                  <c:v>12250</c:v>
                </c:pt>
                <c:pt idx="213">
                  <c:v>12616</c:v>
                </c:pt>
                <c:pt idx="214">
                  <c:v>12482</c:v>
                </c:pt>
                <c:pt idx="215">
                  <c:v>12670</c:v>
                </c:pt>
                <c:pt idx="216">
                  <c:v>12952</c:v>
                </c:pt>
                <c:pt idx="217">
                  <c:v>12995</c:v>
                </c:pt>
                <c:pt idx="218">
                  <c:v>12989</c:v>
                </c:pt>
                <c:pt idx="219">
                  <c:v>12638</c:v>
                </c:pt>
                <c:pt idx="220">
                  <c:v>12615</c:v>
                </c:pt>
                <c:pt idx="221">
                  <c:v>12445</c:v>
                </c:pt>
                <c:pt idx="222">
                  <c:v>12453</c:v>
                </c:pt>
                <c:pt idx="223">
                  <c:v>12421</c:v>
                </c:pt>
                <c:pt idx="224">
                  <c:v>12414</c:v>
                </c:pt>
                <c:pt idx="225">
                  <c:v>12331</c:v>
                </c:pt>
                <c:pt idx="226">
                  <c:v>12392</c:v>
                </c:pt>
                <c:pt idx="227">
                  <c:v>12319</c:v>
                </c:pt>
                <c:pt idx="228">
                  <c:v>12290</c:v>
                </c:pt>
                <c:pt idx="229">
                  <c:v>12128</c:v>
                </c:pt>
                <c:pt idx="230">
                  <c:v>12163</c:v>
                </c:pt>
                <c:pt idx="231">
                  <c:v>12126</c:v>
                </c:pt>
                <c:pt idx="232">
                  <c:v>12462</c:v>
                </c:pt>
                <c:pt idx="233">
                  <c:v>12637</c:v>
                </c:pt>
                <c:pt idx="234">
                  <c:v>12520</c:v>
                </c:pt>
                <c:pt idx="235">
                  <c:v>12452</c:v>
                </c:pt>
                <c:pt idx="236">
                  <c:v>12390</c:v>
                </c:pt>
                <c:pt idx="237">
                  <c:v>12408</c:v>
                </c:pt>
                <c:pt idx="238">
                  <c:v>12530</c:v>
                </c:pt>
                <c:pt idx="239">
                  <c:v>12595</c:v>
                </c:pt>
                <c:pt idx="240">
                  <c:v>12748</c:v>
                </c:pt>
                <c:pt idx="241">
                  <c:v>12806</c:v>
                </c:pt>
                <c:pt idx="242">
                  <c:v>12791</c:v>
                </c:pt>
                <c:pt idx="243">
                  <c:v>12699</c:v>
                </c:pt>
                <c:pt idx="244">
                  <c:v>12611</c:v>
                </c:pt>
                <c:pt idx="245">
                  <c:v>12767</c:v>
                </c:pt>
                <c:pt idx="246">
                  <c:v>12715</c:v>
                </c:pt>
                <c:pt idx="247">
                  <c:v>12642</c:v>
                </c:pt>
                <c:pt idx="248">
                  <c:v>12400</c:v>
                </c:pt>
                <c:pt idx="249">
                  <c:v>12442</c:v>
                </c:pt>
                <c:pt idx="250">
                  <c:v>12622</c:v>
                </c:pt>
                <c:pt idx="251">
                  <c:v>12752</c:v>
                </c:pt>
                <c:pt idx="252">
                  <c:v>12646</c:v>
                </c:pt>
                <c:pt idx="253">
                  <c:v>12520</c:v>
                </c:pt>
                <c:pt idx="254">
                  <c:v>12414</c:v>
                </c:pt>
                <c:pt idx="255">
                  <c:v>12470</c:v>
                </c:pt>
                <c:pt idx="256">
                  <c:v>12650</c:v>
                </c:pt>
                <c:pt idx="257">
                  <c:v>12574</c:v>
                </c:pt>
                <c:pt idx="258">
                  <c:v>12514</c:v>
                </c:pt>
                <c:pt idx="259">
                  <c:v>12536</c:v>
                </c:pt>
                <c:pt idx="260">
                  <c:v>12564</c:v>
                </c:pt>
                <c:pt idx="261">
                  <c:v>12476</c:v>
                </c:pt>
                <c:pt idx="262">
                  <c:v>12419</c:v>
                </c:pt>
                <c:pt idx="263">
                  <c:v>12405</c:v>
                </c:pt>
                <c:pt idx="264">
                  <c:v>12492</c:v>
                </c:pt>
                <c:pt idx="265">
                  <c:v>12627</c:v>
                </c:pt>
                <c:pt idx="266">
                  <c:v>12557</c:v>
                </c:pt>
                <c:pt idx="267">
                  <c:v>12404</c:v>
                </c:pt>
                <c:pt idx="268">
                  <c:v>12340</c:v>
                </c:pt>
                <c:pt idx="269">
                  <c:v>12469</c:v>
                </c:pt>
                <c:pt idx="270">
                  <c:v>12618</c:v>
                </c:pt>
                <c:pt idx="271">
                  <c:v>12608</c:v>
                </c:pt>
                <c:pt idx="272">
                  <c:v>12302</c:v>
                </c:pt>
                <c:pt idx="273">
                  <c:v>12365</c:v>
                </c:pt>
                <c:pt idx="274">
                  <c:v>12537</c:v>
                </c:pt>
                <c:pt idx="275">
                  <c:v>12524</c:v>
                </c:pt>
                <c:pt idx="276">
                  <c:v>12632</c:v>
                </c:pt>
                <c:pt idx="277">
                  <c:v>12590</c:v>
                </c:pt>
                <c:pt idx="278">
                  <c:v>12597</c:v>
                </c:pt>
                <c:pt idx="279">
                  <c:v>12840</c:v>
                </c:pt>
                <c:pt idx="280">
                  <c:v>12834</c:v>
                </c:pt>
                <c:pt idx="281">
                  <c:v>12936</c:v>
                </c:pt>
                <c:pt idx="282">
                  <c:v>14068</c:v>
                </c:pt>
                <c:pt idx="283">
                  <c:v>14250</c:v>
                </c:pt>
                <c:pt idx="284">
                  <c:v>14221</c:v>
                </c:pt>
                <c:pt idx="285">
                  <c:v>14280</c:v>
                </c:pt>
                <c:pt idx="286">
                  <c:v>14349</c:v>
                </c:pt>
                <c:pt idx="287">
                  <c:v>14452</c:v>
                </c:pt>
                <c:pt idx="288">
                  <c:v>14714</c:v>
                </c:pt>
                <c:pt idx="289">
                  <c:v>14752</c:v>
                </c:pt>
                <c:pt idx="290">
                  <c:v>14791</c:v>
                </c:pt>
                <c:pt idx="291">
                  <c:v>14887</c:v>
                </c:pt>
                <c:pt idx="292">
                  <c:v>14842</c:v>
                </c:pt>
                <c:pt idx="293">
                  <c:v>14927</c:v>
                </c:pt>
                <c:pt idx="294">
                  <c:v>14662</c:v>
                </c:pt>
                <c:pt idx="295">
                  <c:v>14895</c:v>
                </c:pt>
                <c:pt idx="296">
                  <c:v>15258</c:v>
                </c:pt>
                <c:pt idx="297">
                  <c:v>15365</c:v>
                </c:pt>
                <c:pt idx="298">
                  <c:v>15108</c:v>
                </c:pt>
                <c:pt idx="299">
                  <c:v>15095</c:v>
                </c:pt>
                <c:pt idx="300">
                  <c:v>15325</c:v>
                </c:pt>
                <c:pt idx="301">
                  <c:v>15265</c:v>
                </c:pt>
                <c:pt idx="302">
                  <c:v>15573</c:v>
                </c:pt>
                <c:pt idx="303">
                  <c:v>15801</c:v>
                </c:pt>
                <c:pt idx="304">
                  <c:v>15817</c:v>
                </c:pt>
                <c:pt idx="305">
                  <c:v>15864</c:v>
                </c:pt>
                <c:pt idx="306">
                  <c:v>15816</c:v>
                </c:pt>
                <c:pt idx="307">
                  <c:v>16097</c:v>
                </c:pt>
                <c:pt idx="308">
                  <c:v>16249</c:v>
                </c:pt>
                <c:pt idx="309">
                  <c:v>16269</c:v>
                </c:pt>
                <c:pt idx="310">
                  <c:v>16286</c:v>
                </c:pt>
                <c:pt idx="311">
                  <c:v>15984</c:v>
                </c:pt>
                <c:pt idx="312">
                  <c:v>16029</c:v>
                </c:pt>
                <c:pt idx="313">
                  <c:v>15965</c:v>
                </c:pt>
                <c:pt idx="314">
                  <c:v>15806</c:v>
                </c:pt>
                <c:pt idx="315">
                  <c:v>15998</c:v>
                </c:pt>
                <c:pt idx="316">
                  <c:v>16108</c:v>
                </c:pt>
                <c:pt idx="317">
                  <c:v>16012</c:v>
                </c:pt>
                <c:pt idx="318">
                  <c:v>15985</c:v>
                </c:pt>
                <c:pt idx="319">
                  <c:v>16265</c:v>
                </c:pt>
                <c:pt idx="320">
                  <c:v>16323</c:v>
                </c:pt>
                <c:pt idx="321">
                  <c:v>16261</c:v>
                </c:pt>
                <c:pt idx="322">
                  <c:v>16212</c:v>
                </c:pt>
                <c:pt idx="323">
                  <c:v>16298</c:v>
                </c:pt>
                <c:pt idx="324">
                  <c:v>16401</c:v>
                </c:pt>
                <c:pt idx="325">
                  <c:v>16424</c:v>
                </c:pt>
                <c:pt idx="326">
                  <c:v>16396</c:v>
                </c:pt>
                <c:pt idx="327">
                  <c:v>16393</c:v>
                </c:pt>
                <c:pt idx="328">
                  <c:v>16274</c:v>
                </c:pt>
                <c:pt idx="329">
                  <c:v>16388</c:v>
                </c:pt>
                <c:pt idx="330">
                  <c:v>16311</c:v>
                </c:pt>
                <c:pt idx="331">
                  <c:v>16138</c:v>
                </c:pt>
                <c:pt idx="332">
                  <c:v>16206</c:v>
                </c:pt>
                <c:pt idx="333">
                  <c:v>16186</c:v>
                </c:pt>
                <c:pt idx="334">
                  <c:v>15651</c:v>
                </c:pt>
                <c:pt idx="335">
                  <c:v>15374</c:v>
                </c:pt>
                <c:pt idx="336">
                  <c:v>15452</c:v>
                </c:pt>
                <c:pt idx="337">
                  <c:v>15479</c:v>
                </c:pt>
                <c:pt idx="338">
                  <c:v>15583</c:v>
                </c:pt>
                <c:pt idx="339">
                  <c:v>15645</c:v>
                </c:pt>
                <c:pt idx="340">
                  <c:v>15696</c:v>
                </c:pt>
                <c:pt idx="341">
                  <c:v>15749</c:v>
                </c:pt>
                <c:pt idx="342">
                  <c:v>15684</c:v>
                </c:pt>
                <c:pt idx="343">
                  <c:v>15878</c:v>
                </c:pt>
                <c:pt idx="344">
                  <c:v>15930</c:v>
                </c:pt>
                <c:pt idx="345">
                  <c:v>15768</c:v>
                </c:pt>
                <c:pt idx="346">
                  <c:v>15801</c:v>
                </c:pt>
                <c:pt idx="347">
                  <c:v>15977</c:v>
                </c:pt>
                <c:pt idx="348">
                  <c:v>15958</c:v>
                </c:pt>
                <c:pt idx="349">
                  <c:v>15889</c:v>
                </c:pt>
                <c:pt idx="350">
                  <c:v>16156</c:v>
                </c:pt>
                <c:pt idx="351">
                  <c:v>15903</c:v>
                </c:pt>
                <c:pt idx="352">
                  <c:v>15900</c:v>
                </c:pt>
                <c:pt idx="353">
                  <c:v>16097</c:v>
                </c:pt>
                <c:pt idx="354">
                  <c:v>16239</c:v>
                </c:pt>
                <c:pt idx="355">
                  <c:v>16082</c:v>
                </c:pt>
                <c:pt idx="356">
                  <c:v>15994</c:v>
                </c:pt>
                <c:pt idx="357">
                  <c:v>16282</c:v>
                </c:pt>
                <c:pt idx="358">
                  <c:v>16187</c:v>
                </c:pt>
                <c:pt idx="359">
                  <c:v>16020</c:v>
                </c:pt>
                <c:pt idx="360">
                  <c:v>16019</c:v>
                </c:pt>
                <c:pt idx="361">
                  <c:v>16248</c:v>
                </c:pt>
                <c:pt idx="362">
                  <c:v>16522</c:v>
                </c:pt>
                <c:pt idx="363">
                  <c:v>16415</c:v>
                </c:pt>
                <c:pt idx="364">
                  <c:v>16354</c:v>
                </c:pt>
                <c:pt idx="365">
                  <c:v>16398</c:v>
                </c:pt>
                <c:pt idx="366">
                  <c:v>16329</c:v>
                </c:pt>
                <c:pt idx="367">
                  <c:v>16414</c:v>
                </c:pt>
                <c:pt idx="368">
                  <c:v>16649</c:v>
                </c:pt>
                <c:pt idx="369">
                  <c:v>16585</c:v>
                </c:pt>
                <c:pt idx="370">
                  <c:v>16703</c:v>
                </c:pt>
                <c:pt idx="371">
                  <c:v>16596</c:v>
                </c:pt>
                <c:pt idx="372">
                  <c:v>16542</c:v>
                </c:pt>
                <c:pt idx="373">
                  <c:v>16647</c:v>
                </c:pt>
                <c:pt idx="374">
                  <c:v>16697</c:v>
                </c:pt>
                <c:pt idx="375">
                  <c:v>16708</c:v>
                </c:pt>
                <c:pt idx="376">
                  <c:v>16960</c:v>
                </c:pt>
                <c:pt idx="377">
                  <c:v>17155</c:v>
                </c:pt>
                <c:pt idx="378">
                  <c:v>17292</c:v>
                </c:pt>
                <c:pt idx="379">
                  <c:v>16809</c:v>
                </c:pt>
                <c:pt idx="380">
                  <c:v>16664</c:v>
                </c:pt>
                <c:pt idx="381">
                  <c:v>16501</c:v>
                </c:pt>
                <c:pt idx="382">
                  <c:v>16582</c:v>
                </c:pt>
                <c:pt idx="383">
                  <c:v>16426</c:v>
                </c:pt>
                <c:pt idx="384">
                  <c:v>16152</c:v>
                </c:pt>
                <c:pt idx="385">
                  <c:v>15859</c:v>
                </c:pt>
                <c:pt idx="386">
                  <c:v>16176</c:v>
                </c:pt>
                <c:pt idx="387">
                  <c:v>15879</c:v>
                </c:pt>
                <c:pt idx="388">
                  <c:v>15770</c:v>
                </c:pt>
                <c:pt idx="389">
                  <c:v>15765</c:v>
                </c:pt>
                <c:pt idx="390">
                  <c:v>15469</c:v>
                </c:pt>
                <c:pt idx="391">
                  <c:v>15245</c:v>
                </c:pt>
                <c:pt idx="392">
                  <c:v>14877</c:v>
                </c:pt>
                <c:pt idx="393">
                  <c:v>14502</c:v>
                </c:pt>
                <c:pt idx="394">
                  <c:v>14599</c:v>
                </c:pt>
                <c:pt idx="395">
                  <c:v>14199</c:v>
                </c:pt>
                <c:pt idx="396">
                  <c:v>14384</c:v>
                </c:pt>
                <c:pt idx="397">
                  <c:v>14782</c:v>
                </c:pt>
                <c:pt idx="398">
                  <c:v>15071</c:v>
                </c:pt>
                <c:pt idx="399">
                  <c:v>15059</c:v>
                </c:pt>
                <c:pt idx="400">
                  <c:v>14997</c:v>
                </c:pt>
                <c:pt idx="401">
                  <c:v>14978</c:v>
                </c:pt>
                <c:pt idx="402">
                  <c:v>15146</c:v>
                </c:pt>
                <c:pt idx="403">
                  <c:v>15412</c:v>
                </c:pt>
                <c:pt idx="404">
                  <c:v>15326</c:v>
                </c:pt>
                <c:pt idx="405">
                  <c:v>15237</c:v>
                </c:pt>
                <c:pt idx="406">
                  <c:v>15051</c:v>
                </c:pt>
                <c:pt idx="407">
                  <c:v>15179</c:v>
                </c:pt>
                <c:pt idx="408">
                  <c:v>15164</c:v>
                </c:pt>
                <c:pt idx="409">
                  <c:v>14903</c:v>
                </c:pt>
                <c:pt idx="410">
                  <c:v>14977</c:v>
                </c:pt>
                <c:pt idx="411">
                  <c:v>15072</c:v>
                </c:pt>
                <c:pt idx="412">
                  <c:v>14926</c:v>
                </c:pt>
                <c:pt idx="413">
                  <c:v>15070</c:v>
                </c:pt>
                <c:pt idx="414">
                  <c:v>15213</c:v>
                </c:pt>
                <c:pt idx="415">
                  <c:v>14857</c:v>
                </c:pt>
                <c:pt idx="416">
                  <c:v>14388</c:v>
                </c:pt>
                <c:pt idx="417">
                  <c:v>14158</c:v>
                </c:pt>
                <c:pt idx="418">
                  <c:v>14415</c:v>
                </c:pt>
                <c:pt idx="419">
                  <c:v>14159</c:v>
                </c:pt>
                <c:pt idx="420">
                  <c:v>13508</c:v>
                </c:pt>
                <c:pt idx="421">
                  <c:v>13867</c:v>
                </c:pt>
                <c:pt idx="422">
                  <c:v>13497</c:v>
                </c:pt>
                <c:pt idx="423">
                  <c:v>13011</c:v>
                </c:pt>
                <c:pt idx="424">
                  <c:v>12591</c:v>
                </c:pt>
                <c:pt idx="425">
                  <c:v>12757</c:v>
                </c:pt>
                <c:pt idx="426">
                  <c:v>12972</c:v>
                </c:pt>
                <c:pt idx="427">
                  <c:v>13048</c:v>
                </c:pt>
                <c:pt idx="428">
                  <c:v>12599</c:v>
                </c:pt>
                <c:pt idx="429">
                  <c:v>12601</c:v>
                </c:pt>
                <c:pt idx="430">
                  <c:v>12355</c:v>
                </c:pt>
                <c:pt idx="431">
                  <c:v>12464</c:v>
                </c:pt>
                <c:pt idx="432">
                  <c:v>12711</c:v>
                </c:pt>
                <c:pt idx="433">
                  <c:v>12389</c:v>
                </c:pt>
                <c:pt idx="434">
                  <c:v>12306</c:v>
                </c:pt>
                <c:pt idx="435">
                  <c:v>12509</c:v>
                </c:pt>
                <c:pt idx="436">
                  <c:v>12631</c:v>
                </c:pt>
                <c:pt idx="437">
                  <c:v>12688</c:v>
                </c:pt>
                <c:pt idx="438">
                  <c:v>12798</c:v>
                </c:pt>
                <c:pt idx="439">
                  <c:v>13602</c:v>
                </c:pt>
                <c:pt idx="440">
                  <c:v>13589</c:v>
                </c:pt>
                <c:pt idx="441">
                  <c:v>13709</c:v>
                </c:pt>
                <c:pt idx="442">
                  <c:v>13076</c:v>
                </c:pt>
                <c:pt idx="443">
                  <c:v>13289</c:v>
                </c:pt>
                <c:pt idx="444">
                  <c:v>13335</c:v>
                </c:pt>
                <c:pt idx="445">
                  <c:v>13453</c:v>
                </c:pt>
                <c:pt idx="446">
                  <c:v>13450</c:v>
                </c:pt>
                <c:pt idx="447">
                  <c:v>13461</c:v>
                </c:pt>
                <c:pt idx="448">
                  <c:v>13337</c:v>
                </c:pt>
                <c:pt idx="449">
                  <c:v>13160</c:v>
                </c:pt>
                <c:pt idx="450">
                  <c:v>13048</c:v>
                </c:pt>
                <c:pt idx="451">
                  <c:v>13222</c:v>
                </c:pt>
                <c:pt idx="452">
                  <c:v>12892</c:v>
                </c:pt>
                <c:pt idx="453">
                  <c:v>13257</c:v>
                </c:pt>
                <c:pt idx="454">
                  <c:v>13314</c:v>
                </c:pt>
                <c:pt idx="455">
                  <c:v>13580</c:v>
                </c:pt>
                <c:pt idx="456">
                  <c:v>13426</c:v>
                </c:pt>
                <c:pt idx="457">
                  <c:v>13722</c:v>
                </c:pt>
                <c:pt idx="458">
                  <c:v>13770</c:v>
                </c:pt>
                <c:pt idx="459">
                  <c:v>13726</c:v>
                </c:pt>
                <c:pt idx="460">
                  <c:v>13483</c:v>
                </c:pt>
                <c:pt idx="461">
                  <c:v>13172</c:v>
                </c:pt>
                <c:pt idx="462">
                  <c:v>13103</c:v>
                </c:pt>
                <c:pt idx="463">
                  <c:v>13075</c:v>
                </c:pt>
                <c:pt idx="464">
                  <c:v>13221</c:v>
                </c:pt>
                <c:pt idx="465">
                  <c:v>13016</c:v>
                </c:pt>
                <c:pt idx="466">
                  <c:v>12956</c:v>
                </c:pt>
                <c:pt idx="467">
                  <c:v>13003</c:v>
                </c:pt>
                <c:pt idx="468">
                  <c:v>13010</c:v>
                </c:pt>
                <c:pt idx="469">
                  <c:v>12987</c:v>
                </c:pt>
                <c:pt idx="470">
                  <c:v>13170</c:v>
                </c:pt>
                <c:pt idx="471">
                  <c:v>13208</c:v>
                </c:pt>
                <c:pt idx="472">
                  <c:v>13364</c:v>
                </c:pt>
                <c:pt idx="473">
                  <c:v>13127</c:v>
                </c:pt>
                <c:pt idx="474">
                  <c:v>12946</c:v>
                </c:pt>
                <c:pt idx="475">
                  <c:v>13022</c:v>
                </c:pt>
                <c:pt idx="476">
                  <c:v>13044</c:v>
                </c:pt>
                <c:pt idx="477">
                  <c:v>13064</c:v>
                </c:pt>
                <c:pt idx="478">
                  <c:v>13050</c:v>
                </c:pt>
                <c:pt idx="479">
                  <c:v>12912</c:v>
                </c:pt>
                <c:pt idx="480">
                  <c:v>13120</c:v>
                </c:pt>
                <c:pt idx="481">
                  <c:v>13073</c:v>
                </c:pt>
                <c:pt idx="482">
                  <c:v>13098</c:v>
                </c:pt>
                <c:pt idx="483">
                  <c:v>13366</c:v>
                </c:pt>
                <c:pt idx="484">
                  <c:v>13805</c:v>
                </c:pt>
                <c:pt idx="485">
                  <c:v>13691</c:v>
                </c:pt>
                <c:pt idx="486">
                  <c:v>13630</c:v>
                </c:pt>
                <c:pt idx="487">
                  <c:v>13484</c:v>
                </c:pt>
                <c:pt idx="488">
                  <c:v>13395</c:v>
                </c:pt>
                <c:pt idx="489">
                  <c:v>13421</c:v>
                </c:pt>
                <c:pt idx="490">
                  <c:v>13451</c:v>
                </c:pt>
                <c:pt idx="491">
                  <c:v>13248</c:v>
                </c:pt>
                <c:pt idx="492">
                  <c:v>13745</c:v>
                </c:pt>
                <c:pt idx="493">
                  <c:v>13412</c:v>
                </c:pt>
                <c:pt idx="494">
                  <c:v>14115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B0-431E-A499-07379691D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4836316"/>
        <c:axId val="46444786"/>
      </c:lineChart>
      <c:dateAx>
        <c:axId val="128763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735375"/>
        <c:crosses val="autoZero"/>
        <c:auto val="1"/>
        <c:lblOffset val="100"/>
        <c:baseTimeUnit val="days"/>
      </c:dateAx>
      <c:valAx>
        <c:axId val="9873537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876372"/>
        <c:crosses val="autoZero"/>
        <c:crossBetween val="between"/>
      </c:valAx>
      <c:dateAx>
        <c:axId val="948363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444786"/>
        <c:crosses val="autoZero"/>
        <c:auto val="1"/>
        <c:lblOffset val="100"/>
        <c:baseTimeUnit val="days"/>
      </c:dateAx>
      <c:valAx>
        <c:axId val="4644478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Close Price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83631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RELIANCE: Price vs Volume (2Y Daily)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RELIANCE!$L$1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RELIANCE!$A$2:$A$496</c:f>
              <c:numCache>
                <c:formatCode>d\-mmm\-yy</c:formatCode>
                <c:ptCount val="495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45614</c:v>
                </c:pt>
                <c:pt idx="97">
                  <c:v>45615</c:v>
                </c:pt>
                <c:pt idx="98">
                  <c:v>45617</c:v>
                </c:pt>
                <c:pt idx="99">
                  <c:v>45618</c:v>
                </c:pt>
                <c:pt idx="100">
                  <c:v>45621</c:v>
                </c:pt>
                <c:pt idx="101">
                  <c:v>45622</c:v>
                </c:pt>
                <c:pt idx="102">
                  <c:v>45623</c:v>
                </c:pt>
                <c:pt idx="103">
                  <c:v>45624</c:v>
                </c:pt>
                <c:pt idx="104">
                  <c:v>45625</c:v>
                </c:pt>
                <c:pt idx="105">
                  <c:v>45628</c:v>
                </c:pt>
                <c:pt idx="106">
                  <c:v>45629</c:v>
                </c:pt>
                <c:pt idx="107">
                  <c:v>45630</c:v>
                </c:pt>
                <c:pt idx="108">
                  <c:v>45631</c:v>
                </c:pt>
                <c:pt idx="109">
                  <c:v>45632</c:v>
                </c:pt>
                <c:pt idx="110">
                  <c:v>45635</c:v>
                </c:pt>
                <c:pt idx="111">
                  <c:v>45636</c:v>
                </c:pt>
                <c:pt idx="112">
                  <c:v>45637</c:v>
                </c:pt>
                <c:pt idx="113">
                  <c:v>45638</c:v>
                </c:pt>
                <c:pt idx="114">
                  <c:v>45639</c:v>
                </c:pt>
                <c:pt idx="115">
                  <c:v>45642</c:v>
                </c:pt>
                <c:pt idx="116">
                  <c:v>45643</c:v>
                </c:pt>
                <c:pt idx="117">
                  <c:v>45644</c:v>
                </c:pt>
                <c:pt idx="118">
                  <c:v>45645</c:v>
                </c:pt>
                <c:pt idx="119">
                  <c:v>45646</c:v>
                </c:pt>
                <c:pt idx="120">
                  <c:v>45649</c:v>
                </c:pt>
                <c:pt idx="121">
                  <c:v>45650</c:v>
                </c:pt>
                <c:pt idx="122">
                  <c:v>45652</c:v>
                </c:pt>
                <c:pt idx="123">
                  <c:v>45653</c:v>
                </c:pt>
                <c:pt idx="124">
                  <c:v>45656</c:v>
                </c:pt>
                <c:pt idx="125">
                  <c:v>45657</c:v>
                </c:pt>
                <c:pt idx="126">
                  <c:v>45658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45666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45677</c:v>
                </c:pt>
                <c:pt idx="140">
                  <c:v>45678</c:v>
                </c:pt>
                <c:pt idx="141">
                  <c:v>45679</c:v>
                </c:pt>
                <c:pt idx="142">
                  <c:v>45680</c:v>
                </c:pt>
                <c:pt idx="143">
                  <c:v>45681</c:v>
                </c:pt>
                <c:pt idx="144">
                  <c:v>45684</c:v>
                </c:pt>
                <c:pt idx="145">
                  <c:v>45685</c:v>
                </c:pt>
                <c:pt idx="146">
                  <c:v>45686</c:v>
                </c:pt>
                <c:pt idx="147">
                  <c:v>45687</c:v>
                </c:pt>
                <c:pt idx="148">
                  <c:v>45688</c:v>
                </c:pt>
                <c:pt idx="149">
                  <c:v>45689</c:v>
                </c:pt>
                <c:pt idx="150">
                  <c:v>45691</c:v>
                </c:pt>
                <c:pt idx="151">
                  <c:v>45692</c:v>
                </c:pt>
                <c:pt idx="152">
                  <c:v>45693</c:v>
                </c:pt>
                <c:pt idx="153">
                  <c:v>45694</c:v>
                </c:pt>
                <c:pt idx="154">
                  <c:v>45695</c:v>
                </c:pt>
                <c:pt idx="155">
                  <c:v>45698</c:v>
                </c:pt>
                <c:pt idx="156">
                  <c:v>45699</c:v>
                </c:pt>
                <c:pt idx="157">
                  <c:v>45700</c:v>
                </c:pt>
                <c:pt idx="158">
                  <c:v>45701</c:v>
                </c:pt>
                <c:pt idx="159">
                  <c:v>45702</c:v>
                </c:pt>
                <c:pt idx="160">
                  <c:v>45705</c:v>
                </c:pt>
                <c:pt idx="161">
                  <c:v>45706</c:v>
                </c:pt>
                <c:pt idx="162">
                  <c:v>45707</c:v>
                </c:pt>
                <c:pt idx="163">
                  <c:v>45708</c:v>
                </c:pt>
                <c:pt idx="164">
                  <c:v>45709</c:v>
                </c:pt>
                <c:pt idx="165">
                  <c:v>45712</c:v>
                </c:pt>
                <c:pt idx="166">
                  <c:v>45713</c:v>
                </c:pt>
                <c:pt idx="167">
                  <c:v>45715</c:v>
                </c:pt>
                <c:pt idx="168">
                  <c:v>45716</c:v>
                </c:pt>
                <c:pt idx="169">
                  <c:v>45719</c:v>
                </c:pt>
                <c:pt idx="170">
                  <c:v>45720</c:v>
                </c:pt>
                <c:pt idx="171">
                  <c:v>45721</c:v>
                </c:pt>
                <c:pt idx="172">
                  <c:v>45722</c:v>
                </c:pt>
                <c:pt idx="173">
                  <c:v>45723</c:v>
                </c:pt>
                <c:pt idx="174">
                  <c:v>45726</c:v>
                </c:pt>
                <c:pt idx="175">
                  <c:v>45727</c:v>
                </c:pt>
                <c:pt idx="176">
                  <c:v>45728</c:v>
                </c:pt>
                <c:pt idx="177">
                  <c:v>45729</c:v>
                </c:pt>
                <c:pt idx="178">
                  <c:v>45733</c:v>
                </c:pt>
                <c:pt idx="179">
                  <c:v>45734</c:v>
                </c:pt>
                <c:pt idx="180">
                  <c:v>45735</c:v>
                </c:pt>
                <c:pt idx="181">
                  <c:v>45736</c:v>
                </c:pt>
                <c:pt idx="182">
                  <c:v>45737</c:v>
                </c:pt>
                <c:pt idx="183">
                  <c:v>45740</c:v>
                </c:pt>
                <c:pt idx="184">
                  <c:v>45741</c:v>
                </c:pt>
                <c:pt idx="185">
                  <c:v>45742</c:v>
                </c:pt>
                <c:pt idx="186">
                  <c:v>45743</c:v>
                </c:pt>
                <c:pt idx="187">
                  <c:v>45744</c:v>
                </c:pt>
                <c:pt idx="188">
                  <c:v>45748</c:v>
                </c:pt>
                <c:pt idx="189">
                  <c:v>45749</c:v>
                </c:pt>
                <c:pt idx="190">
                  <c:v>45750</c:v>
                </c:pt>
                <c:pt idx="191">
                  <c:v>45751</c:v>
                </c:pt>
                <c:pt idx="192">
                  <c:v>45754</c:v>
                </c:pt>
                <c:pt idx="193">
                  <c:v>45755</c:v>
                </c:pt>
                <c:pt idx="194">
                  <c:v>45756</c:v>
                </c:pt>
                <c:pt idx="195">
                  <c:v>45758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45798</c:v>
                </c:pt>
                <c:pt idx="221">
                  <c:v>45799</c:v>
                </c:pt>
                <c:pt idx="222">
                  <c:v>45800</c:v>
                </c:pt>
                <c:pt idx="223">
                  <c:v>45803</c:v>
                </c:pt>
                <c:pt idx="224">
                  <c:v>45804</c:v>
                </c:pt>
                <c:pt idx="225">
                  <c:v>45805</c:v>
                </c:pt>
                <c:pt idx="226">
                  <c:v>45806</c:v>
                </c:pt>
                <c:pt idx="227">
                  <c:v>45807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45817</c:v>
                </c:pt>
                <c:pt idx="234">
                  <c:v>45818</c:v>
                </c:pt>
                <c:pt idx="235">
                  <c:v>45819</c:v>
                </c:pt>
                <c:pt idx="236">
                  <c:v>45820</c:v>
                </c:pt>
                <c:pt idx="237">
                  <c:v>45821</c:v>
                </c:pt>
                <c:pt idx="238">
                  <c:v>45824</c:v>
                </c:pt>
                <c:pt idx="239">
                  <c:v>45825</c:v>
                </c:pt>
                <c:pt idx="240">
                  <c:v>45826</c:v>
                </c:pt>
                <c:pt idx="241">
                  <c:v>45827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45842</c:v>
                </c:pt>
                <c:pt idx="253">
                  <c:v>45845</c:v>
                </c:pt>
                <c:pt idx="254">
                  <c:v>45846</c:v>
                </c:pt>
                <c:pt idx="255">
                  <c:v>45847</c:v>
                </c:pt>
                <c:pt idx="256">
                  <c:v>45848</c:v>
                </c:pt>
                <c:pt idx="257">
                  <c:v>45849</c:v>
                </c:pt>
                <c:pt idx="258">
                  <c:v>45852</c:v>
                </c:pt>
                <c:pt idx="259">
                  <c:v>45853</c:v>
                </c:pt>
                <c:pt idx="260">
                  <c:v>45854</c:v>
                </c:pt>
                <c:pt idx="261">
                  <c:v>45855</c:v>
                </c:pt>
                <c:pt idx="262">
                  <c:v>45856</c:v>
                </c:pt>
                <c:pt idx="263">
                  <c:v>45859</c:v>
                </c:pt>
                <c:pt idx="264">
                  <c:v>45860</c:v>
                </c:pt>
                <c:pt idx="265">
                  <c:v>45861</c:v>
                </c:pt>
                <c:pt idx="266">
                  <c:v>45862</c:v>
                </c:pt>
                <c:pt idx="267">
                  <c:v>45863</c:v>
                </c:pt>
                <c:pt idx="268">
                  <c:v>45866</c:v>
                </c:pt>
                <c:pt idx="269">
                  <c:v>45867</c:v>
                </c:pt>
                <c:pt idx="270">
                  <c:v>45868</c:v>
                </c:pt>
                <c:pt idx="271">
                  <c:v>45869</c:v>
                </c:pt>
                <c:pt idx="272">
                  <c:v>45870</c:v>
                </c:pt>
                <c:pt idx="273">
                  <c:v>45873</c:v>
                </c:pt>
                <c:pt idx="274">
                  <c:v>45874</c:v>
                </c:pt>
                <c:pt idx="275">
                  <c:v>45875</c:v>
                </c:pt>
                <c:pt idx="276">
                  <c:v>45876</c:v>
                </c:pt>
                <c:pt idx="277">
                  <c:v>45877</c:v>
                </c:pt>
                <c:pt idx="278">
                  <c:v>45880</c:v>
                </c:pt>
                <c:pt idx="279">
                  <c:v>45881</c:v>
                </c:pt>
                <c:pt idx="280">
                  <c:v>45882</c:v>
                </c:pt>
                <c:pt idx="281">
                  <c:v>45883</c:v>
                </c:pt>
                <c:pt idx="282">
                  <c:v>45887</c:v>
                </c:pt>
                <c:pt idx="283">
                  <c:v>45888</c:v>
                </c:pt>
                <c:pt idx="284">
                  <c:v>45889</c:v>
                </c:pt>
                <c:pt idx="285">
                  <c:v>45890</c:v>
                </c:pt>
                <c:pt idx="286">
                  <c:v>45891</c:v>
                </c:pt>
                <c:pt idx="287">
                  <c:v>45894</c:v>
                </c:pt>
                <c:pt idx="288">
                  <c:v>45895</c:v>
                </c:pt>
                <c:pt idx="289">
                  <c:v>45897</c:v>
                </c:pt>
                <c:pt idx="290">
                  <c:v>45898</c:v>
                </c:pt>
                <c:pt idx="291">
                  <c:v>45901</c:v>
                </c:pt>
                <c:pt idx="292">
                  <c:v>45902</c:v>
                </c:pt>
                <c:pt idx="293">
                  <c:v>45903</c:v>
                </c:pt>
                <c:pt idx="294">
                  <c:v>45904</c:v>
                </c:pt>
                <c:pt idx="295">
                  <c:v>45905</c:v>
                </c:pt>
                <c:pt idx="296">
                  <c:v>45908</c:v>
                </c:pt>
                <c:pt idx="297">
                  <c:v>45909</c:v>
                </c:pt>
                <c:pt idx="298">
                  <c:v>45910</c:v>
                </c:pt>
                <c:pt idx="299">
                  <c:v>45911</c:v>
                </c:pt>
                <c:pt idx="300">
                  <c:v>45912</c:v>
                </c:pt>
                <c:pt idx="301">
                  <c:v>45915</c:v>
                </c:pt>
                <c:pt idx="302">
                  <c:v>45916</c:v>
                </c:pt>
                <c:pt idx="303">
                  <c:v>45917</c:v>
                </c:pt>
                <c:pt idx="304">
                  <c:v>45918</c:v>
                </c:pt>
                <c:pt idx="305">
                  <c:v>45919</c:v>
                </c:pt>
                <c:pt idx="306">
                  <c:v>45922</c:v>
                </c:pt>
                <c:pt idx="307">
                  <c:v>45923</c:v>
                </c:pt>
                <c:pt idx="308">
                  <c:v>45924</c:v>
                </c:pt>
                <c:pt idx="309">
                  <c:v>45925</c:v>
                </c:pt>
                <c:pt idx="310">
                  <c:v>45926</c:v>
                </c:pt>
                <c:pt idx="311">
                  <c:v>45929</c:v>
                </c:pt>
                <c:pt idx="312">
                  <c:v>45930</c:v>
                </c:pt>
                <c:pt idx="313">
                  <c:v>45931</c:v>
                </c:pt>
                <c:pt idx="314">
                  <c:v>45933</c:v>
                </c:pt>
                <c:pt idx="315">
                  <c:v>45936</c:v>
                </c:pt>
                <c:pt idx="316">
                  <c:v>45937</c:v>
                </c:pt>
                <c:pt idx="317">
                  <c:v>45938</c:v>
                </c:pt>
                <c:pt idx="318">
                  <c:v>45939</c:v>
                </c:pt>
                <c:pt idx="319">
                  <c:v>45940</c:v>
                </c:pt>
                <c:pt idx="320">
                  <c:v>45943</c:v>
                </c:pt>
                <c:pt idx="321">
                  <c:v>45944</c:v>
                </c:pt>
                <c:pt idx="322">
                  <c:v>45945</c:v>
                </c:pt>
                <c:pt idx="323">
                  <c:v>45946</c:v>
                </c:pt>
                <c:pt idx="324">
                  <c:v>45947</c:v>
                </c:pt>
                <c:pt idx="325">
                  <c:v>45950</c:v>
                </c:pt>
                <c:pt idx="326">
                  <c:v>45951</c:v>
                </c:pt>
                <c:pt idx="327">
                  <c:v>45953</c:v>
                </c:pt>
                <c:pt idx="328">
                  <c:v>45954</c:v>
                </c:pt>
                <c:pt idx="329">
                  <c:v>45957</c:v>
                </c:pt>
                <c:pt idx="330">
                  <c:v>45958</c:v>
                </c:pt>
                <c:pt idx="331">
                  <c:v>45959</c:v>
                </c:pt>
                <c:pt idx="332">
                  <c:v>45960</c:v>
                </c:pt>
                <c:pt idx="333">
                  <c:v>45961</c:v>
                </c:pt>
                <c:pt idx="334">
                  <c:v>45964</c:v>
                </c:pt>
                <c:pt idx="335">
                  <c:v>45965</c:v>
                </c:pt>
                <c:pt idx="336">
                  <c:v>45967</c:v>
                </c:pt>
                <c:pt idx="337">
                  <c:v>45968</c:v>
                </c:pt>
                <c:pt idx="338">
                  <c:v>45971</c:v>
                </c:pt>
                <c:pt idx="339">
                  <c:v>45972</c:v>
                </c:pt>
                <c:pt idx="340">
                  <c:v>45973</c:v>
                </c:pt>
                <c:pt idx="341">
                  <c:v>45974</c:v>
                </c:pt>
                <c:pt idx="342">
                  <c:v>45975</c:v>
                </c:pt>
                <c:pt idx="343">
                  <c:v>45978</c:v>
                </c:pt>
                <c:pt idx="344">
                  <c:v>45979</c:v>
                </c:pt>
                <c:pt idx="345">
                  <c:v>45980</c:v>
                </c:pt>
                <c:pt idx="346">
                  <c:v>45981</c:v>
                </c:pt>
                <c:pt idx="347">
                  <c:v>45982</c:v>
                </c:pt>
                <c:pt idx="348">
                  <c:v>45985</c:v>
                </c:pt>
                <c:pt idx="349">
                  <c:v>45986</c:v>
                </c:pt>
                <c:pt idx="350">
                  <c:v>45987</c:v>
                </c:pt>
                <c:pt idx="351">
                  <c:v>45988</c:v>
                </c:pt>
                <c:pt idx="352">
                  <c:v>45989</c:v>
                </c:pt>
                <c:pt idx="353">
                  <c:v>45992</c:v>
                </c:pt>
                <c:pt idx="354">
                  <c:v>45993</c:v>
                </c:pt>
                <c:pt idx="355">
                  <c:v>45994</c:v>
                </c:pt>
                <c:pt idx="356">
                  <c:v>45995</c:v>
                </c:pt>
                <c:pt idx="357">
                  <c:v>45996</c:v>
                </c:pt>
                <c:pt idx="358">
                  <c:v>45999</c:v>
                </c:pt>
                <c:pt idx="359">
                  <c:v>46000</c:v>
                </c:pt>
                <c:pt idx="360">
                  <c:v>46001</c:v>
                </c:pt>
                <c:pt idx="361">
                  <c:v>46002</c:v>
                </c:pt>
                <c:pt idx="362">
                  <c:v>46003</c:v>
                </c:pt>
                <c:pt idx="363">
                  <c:v>46006</c:v>
                </c:pt>
                <c:pt idx="364">
                  <c:v>46007</c:v>
                </c:pt>
                <c:pt idx="365">
                  <c:v>46008</c:v>
                </c:pt>
                <c:pt idx="366">
                  <c:v>46009</c:v>
                </c:pt>
                <c:pt idx="367">
                  <c:v>46010</c:v>
                </c:pt>
                <c:pt idx="368">
                  <c:v>46013</c:v>
                </c:pt>
                <c:pt idx="369">
                  <c:v>46014</c:v>
                </c:pt>
                <c:pt idx="370">
                  <c:v>46015</c:v>
                </c:pt>
                <c:pt idx="371">
                  <c:v>46017</c:v>
                </c:pt>
                <c:pt idx="372">
                  <c:v>46020</c:v>
                </c:pt>
                <c:pt idx="373">
                  <c:v>46021</c:v>
                </c:pt>
                <c:pt idx="374">
                  <c:v>46022</c:v>
                </c:pt>
                <c:pt idx="375">
                  <c:v>46023</c:v>
                </c:pt>
                <c:pt idx="376">
                  <c:v>46024</c:v>
                </c:pt>
                <c:pt idx="377">
                  <c:v>46027</c:v>
                </c:pt>
                <c:pt idx="378">
                  <c:v>46028</c:v>
                </c:pt>
                <c:pt idx="379">
                  <c:v>46029</c:v>
                </c:pt>
                <c:pt idx="380">
                  <c:v>46030</c:v>
                </c:pt>
                <c:pt idx="381">
                  <c:v>46031</c:v>
                </c:pt>
                <c:pt idx="382">
                  <c:v>46034</c:v>
                </c:pt>
                <c:pt idx="383">
                  <c:v>46035</c:v>
                </c:pt>
                <c:pt idx="384">
                  <c:v>46036</c:v>
                </c:pt>
                <c:pt idx="385">
                  <c:v>46038</c:v>
                </c:pt>
                <c:pt idx="386">
                  <c:v>46041</c:v>
                </c:pt>
                <c:pt idx="387">
                  <c:v>46042</c:v>
                </c:pt>
                <c:pt idx="388">
                  <c:v>46043</c:v>
                </c:pt>
                <c:pt idx="389">
                  <c:v>46044</c:v>
                </c:pt>
                <c:pt idx="390">
                  <c:v>46045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46062</c:v>
                </c:pt>
                <c:pt idx="402">
                  <c:v>46063</c:v>
                </c:pt>
                <c:pt idx="403">
                  <c:v>46064</c:v>
                </c:pt>
                <c:pt idx="404">
                  <c:v>46065</c:v>
                </c:pt>
                <c:pt idx="405">
                  <c:v>46066</c:v>
                </c:pt>
                <c:pt idx="406">
                  <c:v>46069</c:v>
                </c:pt>
                <c:pt idx="407">
                  <c:v>46070</c:v>
                </c:pt>
                <c:pt idx="408">
                  <c:v>46071</c:v>
                </c:pt>
                <c:pt idx="409">
                  <c:v>46072</c:v>
                </c:pt>
                <c:pt idx="410">
                  <c:v>46073</c:v>
                </c:pt>
                <c:pt idx="411">
                  <c:v>46076</c:v>
                </c:pt>
                <c:pt idx="412">
                  <c:v>46077</c:v>
                </c:pt>
                <c:pt idx="413">
                  <c:v>46078</c:v>
                </c:pt>
                <c:pt idx="414">
                  <c:v>46079</c:v>
                </c:pt>
                <c:pt idx="415">
                  <c:v>46080</c:v>
                </c:pt>
                <c:pt idx="416">
                  <c:v>46083</c:v>
                </c:pt>
                <c:pt idx="417">
                  <c:v>46085</c:v>
                </c:pt>
                <c:pt idx="418">
                  <c:v>46086</c:v>
                </c:pt>
                <c:pt idx="419">
                  <c:v>46087</c:v>
                </c:pt>
                <c:pt idx="420">
                  <c:v>46090</c:v>
                </c:pt>
                <c:pt idx="421">
                  <c:v>46091</c:v>
                </c:pt>
                <c:pt idx="422">
                  <c:v>46092</c:v>
                </c:pt>
                <c:pt idx="423">
                  <c:v>46093</c:v>
                </c:pt>
                <c:pt idx="424">
                  <c:v>46094</c:v>
                </c:pt>
                <c:pt idx="425">
                  <c:v>46097</c:v>
                </c:pt>
                <c:pt idx="426">
                  <c:v>46098</c:v>
                </c:pt>
                <c:pt idx="427">
                  <c:v>46099</c:v>
                </c:pt>
                <c:pt idx="428">
                  <c:v>46100</c:v>
                </c:pt>
                <c:pt idx="429">
                  <c:v>46101</c:v>
                </c:pt>
                <c:pt idx="430">
                  <c:v>46104</c:v>
                </c:pt>
                <c:pt idx="431">
                  <c:v>46105</c:v>
                </c:pt>
                <c:pt idx="432">
                  <c:v>46106</c:v>
                </c:pt>
                <c:pt idx="433">
                  <c:v>46108</c:v>
                </c:pt>
                <c:pt idx="434">
                  <c:v>46111</c:v>
                </c:pt>
                <c:pt idx="435">
                  <c:v>46113</c:v>
                </c:pt>
                <c:pt idx="436">
                  <c:v>46114</c:v>
                </c:pt>
                <c:pt idx="437">
                  <c:v>46118</c:v>
                </c:pt>
                <c:pt idx="438">
                  <c:v>46119</c:v>
                </c:pt>
                <c:pt idx="439">
                  <c:v>46120</c:v>
                </c:pt>
                <c:pt idx="440">
                  <c:v>46121</c:v>
                </c:pt>
                <c:pt idx="441">
                  <c:v>46122</c:v>
                </c:pt>
                <c:pt idx="442">
                  <c:v>46125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46132</c:v>
                </c:pt>
                <c:pt idx="447">
                  <c:v>46133</c:v>
                </c:pt>
                <c:pt idx="448">
                  <c:v>46134</c:v>
                </c:pt>
                <c:pt idx="449">
                  <c:v>46135</c:v>
                </c:pt>
                <c:pt idx="450">
                  <c:v>46136</c:v>
                </c:pt>
                <c:pt idx="451">
                  <c:v>46139</c:v>
                </c:pt>
                <c:pt idx="452">
                  <c:v>46140</c:v>
                </c:pt>
                <c:pt idx="453">
                  <c:v>46141</c:v>
                </c:pt>
                <c:pt idx="454">
                  <c:v>46142</c:v>
                </c:pt>
                <c:pt idx="455">
                  <c:v>46146</c:v>
                </c:pt>
                <c:pt idx="456">
                  <c:v>46147</c:v>
                </c:pt>
                <c:pt idx="457">
                  <c:v>46148</c:v>
                </c:pt>
                <c:pt idx="458">
                  <c:v>46149</c:v>
                </c:pt>
                <c:pt idx="459">
                  <c:v>46150</c:v>
                </c:pt>
                <c:pt idx="460">
                  <c:v>46153</c:v>
                </c:pt>
                <c:pt idx="461">
                  <c:v>46154</c:v>
                </c:pt>
                <c:pt idx="462">
                  <c:v>46155</c:v>
                </c:pt>
                <c:pt idx="463">
                  <c:v>46156</c:v>
                </c:pt>
                <c:pt idx="464">
                  <c:v>46157</c:v>
                </c:pt>
                <c:pt idx="465">
                  <c:v>46160</c:v>
                </c:pt>
                <c:pt idx="466">
                  <c:v>46161</c:v>
                </c:pt>
                <c:pt idx="467">
                  <c:v>46162</c:v>
                </c:pt>
                <c:pt idx="468">
                  <c:v>46163</c:v>
                </c:pt>
                <c:pt idx="469">
                  <c:v>46164</c:v>
                </c:pt>
                <c:pt idx="470">
                  <c:v>46167</c:v>
                </c:pt>
                <c:pt idx="471">
                  <c:v>46168</c:v>
                </c:pt>
                <c:pt idx="472">
                  <c:v>46169</c:v>
                </c:pt>
                <c:pt idx="473">
                  <c:v>46171</c:v>
                </c:pt>
                <c:pt idx="474">
                  <c:v>46174</c:v>
                </c:pt>
                <c:pt idx="475">
                  <c:v>46175</c:v>
                </c:pt>
                <c:pt idx="476">
                  <c:v>46176</c:v>
                </c:pt>
                <c:pt idx="477">
                  <c:v>46177</c:v>
                </c:pt>
                <c:pt idx="478">
                  <c:v>46178</c:v>
                </c:pt>
                <c:pt idx="479">
                  <c:v>46181</c:v>
                </c:pt>
                <c:pt idx="480">
                  <c:v>46182</c:v>
                </c:pt>
                <c:pt idx="481">
                  <c:v>46183</c:v>
                </c:pt>
                <c:pt idx="482">
                  <c:v>46184</c:v>
                </c:pt>
                <c:pt idx="483">
                  <c:v>46185</c:v>
                </c:pt>
                <c:pt idx="484">
                  <c:v>46188</c:v>
                </c:pt>
                <c:pt idx="485">
                  <c:v>46189</c:v>
                </c:pt>
                <c:pt idx="486">
                  <c:v>46190</c:v>
                </c:pt>
                <c:pt idx="487">
                  <c:v>46191</c:v>
                </c:pt>
                <c:pt idx="488">
                  <c:v>46192</c:v>
                </c:pt>
                <c:pt idx="489">
                  <c:v>46195</c:v>
                </c:pt>
                <c:pt idx="490">
                  <c:v>46196</c:v>
                </c:pt>
                <c:pt idx="491">
                  <c:v>46197</c:v>
                </c:pt>
                <c:pt idx="492">
                  <c:v>46198</c:v>
                </c:pt>
                <c:pt idx="493">
                  <c:v>46202</c:v>
                </c:pt>
                <c:pt idx="494">
                  <c:v>46203</c:v>
                </c:pt>
              </c:numCache>
            </c:numRef>
          </c:cat>
          <c:val>
            <c:numRef>
              <c:f>RELIANCE!$L$2:$L$496</c:f>
              <c:numCache>
                <c:formatCode>#,##0</c:formatCode>
                <c:ptCount val="495"/>
                <c:pt idx="0">
                  <c:v>3862153</c:v>
                </c:pt>
                <c:pt idx="1">
                  <c:v>3874623</c:v>
                </c:pt>
                <c:pt idx="2">
                  <c:v>4524810</c:v>
                </c:pt>
                <c:pt idx="3">
                  <c:v>3418588</c:v>
                </c:pt>
                <c:pt idx="4">
                  <c:v>6134855</c:v>
                </c:pt>
                <c:pt idx="5">
                  <c:v>4750403</c:v>
                </c:pt>
                <c:pt idx="6">
                  <c:v>3480001</c:v>
                </c:pt>
                <c:pt idx="7">
                  <c:v>3567289</c:v>
                </c:pt>
                <c:pt idx="8">
                  <c:v>5970473</c:v>
                </c:pt>
                <c:pt idx="9">
                  <c:v>6462392</c:v>
                </c:pt>
                <c:pt idx="10">
                  <c:v>2664844</c:v>
                </c:pt>
                <c:pt idx="11">
                  <c:v>4693419</c:v>
                </c:pt>
                <c:pt idx="12">
                  <c:v>6149187</c:v>
                </c:pt>
                <c:pt idx="13">
                  <c:v>6570195</c:v>
                </c:pt>
                <c:pt idx="14">
                  <c:v>9837188</c:v>
                </c:pt>
                <c:pt idx="15">
                  <c:v>9026022</c:v>
                </c:pt>
                <c:pt idx="16">
                  <c:v>5956681</c:v>
                </c:pt>
                <c:pt idx="17">
                  <c:v>6259938</c:v>
                </c:pt>
                <c:pt idx="18">
                  <c:v>4929970</c:v>
                </c:pt>
                <c:pt idx="19">
                  <c:v>3769275</c:v>
                </c:pt>
                <c:pt idx="20">
                  <c:v>4114104</c:v>
                </c:pt>
                <c:pt idx="21">
                  <c:v>5028673</c:v>
                </c:pt>
                <c:pt idx="22">
                  <c:v>5382111</c:v>
                </c:pt>
                <c:pt idx="23">
                  <c:v>5134124</c:v>
                </c:pt>
                <c:pt idx="24">
                  <c:v>8523352</c:v>
                </c:pt>
                <c:pt idx="25">
                  <c:v>5118093</c:v>
                </c:pt>
                <c:pt idx="26">
                  <c:v>4087284</c:v>
                </c:pt>
                <c:pt idx="27">
                  <c:v>6193596</c:v>
                </c:pt>
                <c:pt idx="28">
                  <c:v>3124888</c:v>
                </c:pt>
                <c:pt idx="29">
                  <c:v>4092292</c:v>
                </c:pt>
                <c:pt idx="30">
                  <c:v>3132532</c:v>
                </c:pt>
                <c:pt idx="31">
                  <c:v>3133733</c:v>
                </c:pt>
                <c:pt idx="32">
                  <c:v>4708451</c:v>
                </c:pt>
                <c:pt idx="33">
                  <c:v>6898871</c:v>
                </c:pt>
                <c:pt idx="34">
                  <c:v>4205904</c:v>
                </c:pt>
                <c:pt idx="35">
                  <c:v>3884998</c:v>
                </c:pt>
                <c:pt idx="36">
                  <c:v>5222891</c:v>
                </c:pt>
                <c:pt idx="37">
                  <c:v>4624827</c:v>
                </c:pt>
                <c:pt idx="38">
                  <c:v>4408057</c:v>
                </c:pt>
                <c:pt idx="39">
                  <c:v>3125578</c:v>
                </c:pt>
                <c:pt idx="40">
                  <c:v>4805143</c:v>
                </c:pt>
                <c:pt idx="41">
                  <c:v>19167679</c:v>
                </c:pt>
                <c:pt idx="42">
                  <c:v>20810365</c:v>
                </c:pt>
                <c:pt idx="43">
                  <c:v>5620426</c:v>
                </c:pt>
                <c:pt idx="44">
                  <c:v>5461900</c:v>
                </c:pt>
                <c:pt idx="45">
                  <c:v>5991652</c:v>
                </c:pt>
                <c:pt idx="46">
                  <c:v>8132084</c:v>
                </c:pt>
                <c:pt idx="47">
                  <c:v>9697114</c:v>
                </c:pt>
                <c:pt idx="48">
                  <c:v>4505149</c:v>
                </c:pt>
                <c:pt idx="49">
                  <c:v>5384130</c:v>
                </c:pt>
                <c:pt idx="50">
                  <c:v>4880101</c:v>
                </c:pt>
                <c:pt idx="51">
                  <c:v>11174688</c:v>
                </c:pt>
                <c:pt idx="52">
                  <c:v>4355664</c:v>
                </c:pt>
                <c:pt idx="53">
                  <c:v>2740887</c:v>
                </c:pt>
                <c:pt idx="54">
                  <c:v>2967664</c:v>
                </c:pt>
                <c:pt idx="55">
                  <c:v>4287357</c:v>
                </c:pt>
                <c:pt idx="56">
                  <c:v>8477951</c:v>
                </c:pt>
                <c:pt idx="57">
                  <c:v>15448660</c:v>
                </c:pt>
                <c:pt idx="58">
                  <c:v>4416157</c:v>
                </c:pt>
                <c:pt idx="59">
                  <c:v>8568722</c:v>
                </c:pt>
                <c:pt idx="60">
                  <c:v>3534501</c:v>
                </c:pt>
                <c:pt idx="61">
                  <c:v>9409499</c:v>
                </c:pt>
                <c:pt idx="62">
                  <c:v>10298739</c:v>
                </c:pt>
                <c:pt idx="63">
                  <c:v>13504407</c:v>
                </c:pt>
                <c:pt idx="64">
                  <c:v>8215821</c:v>
                </c:pt>
                <c:pt idx="65">
                  <c:v>18878647</c:v>
                </c:pt>
                <c:pt idx="66">
                  <c:v>18536438</c:v>
                </c:pt>
                <c:pt idx="67">
                  <c:v>11090670</c:v>
                </c:pt>
                <c:pt idx="68">
                  <c:v>8510404</c:v>
                </c:pt>
                <c:pt idx="69">
                  <c:v>7155305</c:v>
                </c:pt>
                <c:pt idx="70">
                  <c:v>11179323</c:v>
                </c:pt>
                <c:pt idx="71">
                  <c:v>3990061</c:v>
                </c:pt>
                <c:pt idx="72">
                  <c:v>6110716</c:v>
                </c:pt>
                <c:pt idx="73">
                  <c:v>16881397</c:v>
                </c:pt>
                <c:pt idx="74">
                  <c:v>10017219</c:v>
                </c:pt>
                <c:pt idx="75">
                  <c:v>7771830</c:v>
                </c:pt>
                <c:pt idx="76">
                  <c:v>6041226</c:v>
                </c:pt>
                <c:pt idx="77">
                  <c:v>7033704</c:v>
                </c:pt>
                <c:pt idx="78">
                  <c:v>7915980</c:v>
                </c:pt>
                <c:pt idx="79">
                  <c:v>8607371</c:v>
                </c:pt>
                <c:pt idx="80">
                  <c:v>11077967</c:v>
                </c:pt>
                <c:pt idx="81">
                  <c:v>9298748</c:v>
                </c:pt>
                <c:pt idx="82">
                  <c:v>10824350</c:v>
                </c:pt>
                <c:pt idx="83">
                  <c:v>12008361</c:v>
                </c:pt>
                <c:pt idx="84">
                  <c:v>11984423</c:v>
                </c:pt>
                <c:pt idx="85">
                  <c:v>9331650</c:v>
                </c:pt>
                <c:pt idx="86">
                  <c:v>2127335</c:v>
                </c:pt>
                <c:pt idx="87">
                  <c:v>19796890</c:v>
                </c:pt>
                <c:pt idx="88">
                  <c:v>16267479</c:v>
                </c:pt>
                <c:pt idx="89">
                  <c:v>21625209</c:v>
                </c:pt>
                <c:pt idx="90">
                  <c:v>9611974</c:v>
                </c:pt>
                <c:pt idx="91">
                  <c:v>19814406</c:v>
                </c:pt>
                <c:pt idx="92">
                  <c:v>9056552</c:v>
                </c:pt>
                <c:pt idx="93">
                  <c:v>10671091</c:v>
                </c:pt>
                <c:pt idx="94">
                  <c:v>14633633</c:v>
                </c:pt>
                <c:pt idx="95">
                  <c:v>12612633</c:v>
                </c:pt>
                <c:pt idx="96">
                  <c:v>13620611</c:v>
                </c:pt>
                <c:pt idx="97">
                  <c:v>14183746</c:v>
                </c:pt>
                <c:pt idx="98">
                  <c:v>19433843</c:v>
                </c:pt>
                <c:pt idx="99">
                  <c:v>20471957</c:v>
                </c:pt>
                <c:pt idx="100">
                  <c:v>28923341</c:v>
                </c:pt>
                <c:pt idx="101">
                  <c:v>9247557</c:v>
                </c:pt>
                <c:pt idx="102">
                  <c:v>9572746</c:v>
                </c:pt>
                <c:pt idx="103">
                  <c:v>15027412</c:v>
                </c:pt>
                <c:pt idx="104">
                  <c:v>13202307</c:v>
                </c:pt>
                <c:pt idx="105">
                  <c:v>11024152</c:v>
                </c:pt>
                <c:pt idx="106">
                  <c:v>16869482</c:v>
                </c:pt>
                <c:pt idx="107">
                  <c:v>19608540</c:v>
                </c:pt>
                <c:pt idx="108">
                  <c:v>16858723</c:v>
                </c:pt>
                <c:pt idx="109">
                  <c:v>9037514</c:v>
                </c:pt>
                <c:pt idx="110">
                  <c:v>14650002</c:v>
                </c:pt>
                <c:pt idx="111">
                  <c:v>16043729</c:v>
                </c:pt>
                <c:pt idx="112">
                  <c:v>11724373</c:v>
                </c:pt>
                <c:pt idx="113">
                  <c:v>20906813</c:v>
                </c:pt>
                <c:pt idx="114">
                  <c:v>28630222</c:v>
                </c:pt>
                <c:pt idx="115">
                  <c:v>9486781</c:v>
                </c:pt>
                <c:pt idx="116">
                  <c:v>17462791</c:v>
                </c:pt>
                <c:pt idx="117">
                  <c:v>12670179</c:v>
                </c:pt>
                <c:pt idx="118">
                  <c:v>14244653</c:v>
                </c:pt>
                <c:pt idx="119">
                  <c:v>20312896</c:v>
                </c:pt>
                <c:pt idx="120">
                  <c:v>10052824</c:v>
                </c:pt>
                <c:pt idx="121">
                  <c:v>6734917</c:v>
                </c:pt>
                <c:pt idx="122">
                  <c:v>10016178</c:v>
                </c:pt>
                <c:pt idx="123">
                  <c:v>7000397</c:v>
                </c:pt>
                <c:pt idx="124">
                  <c:v>8818766</c:v>
                </c:pt>
                <c:pt idx="125">
                  <c:v>6405475</c:v>
                </c:pt>
                <c:pt idx="126">
                  <c:v>5892590</c:v>
                </c:pt>
                <c:pt idx="127">
                  <c:v>15486276</c:v>
                </c:pt>
                <c:pt idx="128">
                  <c:v>15521102</c:v>
                </c:pt>
                <c:pt idx="129">
                  <c:v>14816766</c:v>
                </c:pt>
                <c:pt idx="130">
                  <c:v>10070505</c:v>
                </c:pt>
                <c:pt idx="131">
                  <c:v>19346579</c:v>
                </c:pt>
                <c:pt idx="132">
                  <c:v>12794704</c:v>
                </c:pt>
                <c:pt idx="133">
                  <c:v>8120332</c:v>
                </c:pt>
                <c:pt idx="134">
                  <c:v>13764861</c:v>
                </c:pt>
                <c:pt idx="135">
                  <c:v>13095266</c:v>
                </c:pt>
                <c:pt idx="136">
                  <c:v>9578856</c:v>
                </c:pt>
                <c:pt idx="137">
                  <c:v>14117603</c:v>
                </c:pt>
                <c:pt idx="138">
                  <c:v>29366277</c:v>
                </c:pt>
                <c:pt idx="139">
                  <c:v>14040244</c:v>
                </c:pt>
                <c:pt idx="140">
                  <c:v>14562976</c:v>
                </c:pt>
                <c:pt idx="141">
                  <c:v>10273590</c:v>
                </c:pt>
                <c:pt idx="142">
                  <c:v>8720682</c:v>
                </c:pt>
                <c:pt idx="143">
                  <c:v>14235970</c:v>
                </c:pt>
                <c:pt idx="144">
                  <c:v>9536019</c:v>
                </c:pt>
                <c:pt idx="145">
                  <c:v>10568025</c:v>
                </c:pt>
                <c:pt idx="146">
                  <c:v>5928156</c:v>
                </c:pt>
                <c:pt idx="147">
                  <c:v>9269259</c:v>
                </c:pt>
                <c:pt idx="148">
                  <c:v>6584612</c:v>
                </c:pt>
                <c:pt idx="149">
                  <c:v>7118453</c:v>
                </c:pt>
                <c:pt idx="150">
                  <c:v>9252345</c:v>
                </c:pt>
                <c:pt idx="151">
                  <c:v>16691069</c:v>
                </c:pt>
                <c:pt idx="152">
                  <c:v>10112028</c:v>
                </c:pt>
                <c:pt idx="153">
                  <c:v>9956001</c:v>
                </c:pt>
                <c:pt idx="154">
                  <c:v>8764283</c:v>
                </c:pt>
                <c:pt idx="155">
                  <c:v>6970972</c:v>
                </c:pt>
                <c:pt idx="156">
                  <c:v>8859714</c:v>
                </c:pt>
                <c:pt idx="157">
                  <c:v>21131654</c:v>
                </c:pt>
                <c:pt idx="158">
                  <c:v>8511216</c:v>
                </c:pt>
                <c:pt idx="159">
                  <c:v>10298145</c:v>
                </c:pt>
                <c:pt idx="160">
                  <c:v>8166683</c:v>
                </c:pt>
                <c:pt idx="161">
                  <c:v>6673250</c:v>
                </c:pt>
                <c:pt idx="162">
                  <c:v>6217338</c:v>
                </c:pt>
                <c:pt idx="163">
                  <c:v>7795582</c:v>
                </c:pt>
                <c:pt idx="164">
                  <c:v>6904025</c:v>
                </c:pt>
                <c:pt idx="165">
                  <c:v>7172498</c:v>
                </c:pt>
                <c:pt idx="166">
                  <c:v>11552182</c:v>
                </c:pt>
                <c:pt idx="167">
                  <c:v>11509215</c:v>
                </c:pt>
                <c:pt idx="168">
                  <c:v>23007298</c:v>
                </c:pt>
                <c:pt idx="169">
                  <c:v>17944938</c:v>
                </c:pt>
                <c:pt idx="170">
                  <c:v>11377373</c:v>
                </c:pt>
                <c:pt idx="171">
                  <c:v>8664095</c:v>
                </c:pt>
                <c:pt idx="172">
                  <c:v>14468014</c:v>
                </c:pt>
                <c:pt idx="173">
                  <c:v>16474965</c:v>
                </c:pt>
                <c:pt idx="174">
                  <c:v>11931051</c:v>
                </c:pt>
                <c:pt idx="175">
                  <c:v>10089838</c:v>
                </c:pt>
                <c:pt idx="176">
                  <c:v>11977555</c:v>
                </c:pt>
                <c:pt idx="177">
                  <c:v>9505270</c:v>
                </c:pt>
                <c:pt idx="178">
                  <c:v>16640952</c:v>
                </c:pt>
                <c:pt idx="179">
                  <c:v>15745877</c:v>
                </c:pt>
                <c:pt idx="180">
                  <c:v>16162399</c:v>
                </c:pt>
                <c:pt idx="181">
                  <c:v>15971477</c:v>
                </c:pt>
                <c:pt idx="182">
                  <c:v>21780769</c:v>
                </c:pt>
                <c:pt idx="183">
                  <c:v>20299319</c:v>
                </c:pt>
                <c:pt idx="184">
                  <c:v>13713899</c:v>
                </c:pt>
                <c:pt idx="185">
                  <c:v>12074747</c:v>
                </c:pt>
                <c:pt idx="186">
                  <c:v>15028056</c:v>
                </c:pt>
                <c:pt idx="187">
                  <c:v>18147129</c:v>
                </c:pt>
                <c:pt idx="188">
                  <c:v>12099648</c:v>
                </c:pt>
                <c:pt idx="189">
                  <c:v>10142590</c:v>
                </c:pt>
                <c:pt idx="190">
                  <c:v>7434366</c:v>
                </c:pt>
                <c:pt idx="191">
                  <c:v>17908652</c:v>
                </c:pt>
                <c:pt idx="192">
                  <c:v>22156106</c:v>
                </c:pt>
                <c:pt idx="193">
                  <c:v>19555040</c:v>
                </c:pt>
                <c:pt idx="194">
                  <c:v>10223104</c:v>
                </c:pt>
                <c:pt idx="195">
                  <c:v>11224242</c:v>
                </c:pt>
                <c:pt idx="196">
                  <c:v>13378535</c:v>
                </c:pt>
                <c:pt idx="197">
                  <c:v>8248464</c:v>
                </c:pt>
                <c:pt idx="198">
                  <c:v>15398401</c:v>
                </c:pt>
                <c:pt idx="199">
                  <c:v>10429964</c:v>
                </c:pt>
                <c:pt idx="200">
                  <c:v>13051707</c:v>
                </c:pt>
                <c:pt idx="201">
                  <c:v>10480888</c:v>
                </c:pt>
                <c:pt idx="202">
                  <c:v>10468940</c:v>
                </c:pt>
                <c:pt idx="203">
                  <c:v>14431012</c:v>
                </c:pt>
                <c:pt idx="204">
                  <c:v>31104496</c:v>
                </c:pt>
                <c:pt idx="205">
                  <c:v>32538970</c:v>
                </c:pt>
                <c:pt idx="206">
                  <c:v>25480745</c:v>
                </c:pt>
                <c:pt idx="207">
                  <c:v>17535402</c:v>
                </c:pt>
                <c:pt idx="208">
                  <c:v>12685649</c:v>
                </c:pt>
                <c:pt idx="209">
                  <c:v>14084117</c:v>
                </c:pt>
                <c:pt idx="210">
                  <c:v>13440169</c:v>
                </c:pt>
                <c:pt idx="211">
                  <c:v>16106175</c:v>
                </c:pt>
                <c:pt idx="212">
                  <c:v>13668904</c:v>
                </c:pt>
                <c:pt idx="213">
                  <c:v>10674081</c:v>
                </c:pt>
                <c:pt idx="214">
                  <c:v>11407896</c:v>
                </c:pt>
                <c:pt idx="215">
                  <c:v>5570160</c:v>
                </c:pt>
                <c:pt idx="216">
                  <c:v>20177211</c:v>
                </c:pt>
                <c:pt idx="217">
                  <c:v>9036695</c:v>
                </c:pt>
                <c:pt idx="218">
                  <c:v>6195791</c:v>
                </c:pt>
                <c:pt idx="219">
                  <c:v>11270560</c:v>
                </c:pt>
                <c:pt idx="220">
                  <c:v>6136364</c:v>
                </c:pt>
                <c:pt idx="221">
                  <c:v>12134466</c:v>
                </c:pt>
                <c:pt idx="222">
                  <c:v>6474883</c:v>
                </c:pt>
                <c:pt idx="223">
                  <c:v>4842944</c:v>
                </c:pt>
                <c:pt idx="224">
                  <c:v>12640414</c:v>
                </c:pt>
                <c:pt idx="225">
                  <c:v>5944611</c:v>
                </c:pt>
                <c:pt idx="226">
                  <c:v>13771917</c:v>
                </c:pt>
                <c:pt idx="227">
                  <c:v>13788484</c:v>
                </c:pt>
                <c:pt idx="228">
                  <c:v>8098668</c:v>
                </c:pt>
                <c:pt idx="229">
                  <c:v>11252626</c:v>
                </c:pt>
                <c:pt idx="230">
                  <c:v>8126827</c:v>
                </c:pt>
                <c:pt idx="231">
                  <c:v>13716817</c:v>
                </c:pt>
                <c:pt idx="232">
                  <c:v>8182161</c:v>
                </c:pt>
                <c:pt idx="233">
                  <c:v>7885125</c:v>
                </c:pt>
                <c:pt idx="234">
                  <c:v>7913181</c:v>
                </c:pt>
                <c:pt idx="235">
                  <c:v>8195700</c:v>
                </c:pt>
                <c:pt idx="236">
                  <c:v>8828114</c:v>
                </c:pt>
                <c:pt idx="237">
                  <c:v>9757276</c:v>
                </c:pt>
                <c:pt idx="238">
                  <c:v>8458093</c:v>
                </c:pt>
                <c:pt idx="239">
                  <c:v>10366599</c:v>
                </c:pt>
                <c:pt idx="240">
                  <c:v>6681735</c:v>
                </c:pt>
                <c:pt idx="241">
                  <c:v>10007230</c:v>
                </c:pt>
                <c:pt idx="242">
                  <c:v>29010635</c:v>
                </c:pt>
                <c:pt idx="243">
                  <c:v>5989078</c:v>
                </c:pt>
                <c:pt idx="244">
                  <c:v>16402744</c:v>
                </c:pt>
                <c:pt idx="245">
                  <c:v>7525851</c:v>
                </c:pt>
                <c:pt idx="246">
                  <c:v>14657893</c:v>
                </c:pt>
                <c:pt idx="247">
                  <c:v>11117052</c:v>
                </c:pt>
                <c:pt idx="248">
                  <c:v>8409527</c:v>
                </c:pt>
                <c:pt idx="249">
                  <c:v>10368523</c:v>
                </c:pt>
                <c:pt idx="250">
                  <c:v>6361002</c:v>
                </c:pt>
                <c:pt idx="251">
                  <c:v>11283291</c:v>
                </c:pt>
                <c:pt idx="252">
                  <c:v>6603501</c:v>
                </c:pt>
                <c:pt idx="253">
                  <c:v>7251074</c:v>
                </c:pt>
                <c:pt idx="254">
                  <c:v>7171261</c:v>
                </c:pt>
                <c:pt idx="255">
                  <c:v>8870660</c:v>
                </c:pt>
                <c:pt idx="256">
                  <c:v>10047129</c:v>
                </c:pt>
                <c:pt idx="257">
                  <c:v>7234991</c:v>
                </c:pt>
                <c:pt idx="258">
                  <c:v>10311846</c:v>
                </c:pt>
                <c:pt idx="259">
                  <c:v>8132454</c:v>
                </c:pt>
                <c:pt idx="260">
                  <c:v>10409983</c:v>
                </c:pt>
                <c:pt idx="261">
                  <c:v>11854613</c:v>
                </c:pt>
                <c:pt idx="262">
                  <c:v>10296318</c:v>
                </c:pt>
                <c:pt idx="263">
                  <c:v>22442744</c:v>
                </c:pt>
                <c:pt idx="264">
                  <c:v>20396320</c:v>
                </c:pt>
                <c:pt idx="265">
                  <c:v>8354596</c:v>
                </c:pt>
                <c:pt idx="266">
                  <c:v>14740507</c:v>
                </c:pt>
                <c:pt idx="267">
                  <c:v>11854722</c:v>
                </c:pt>
                <c:pt idx="268">
                  <c:v>7748361</c:v>
                </c:pt>
                <c:pt idx="269">
                  <c:v>10750072</c:v>
                </c:pt>
                <c:pt idx="270">
                  <c:v>7209849</c:v>
                </c:pt>
                <c:pt idx="271">
                  <c:v>17065827</c:v>
                </c:pt>
                <c:pt idx="272">
                  <c:v>10321171</c:v>
                </c:pt>
                <c:pt idx="273">
                  <c:v>6312820</c:v>
                </c:pt>
                <c:pt idx="274">
                  <c:v>9315972</c:v>
                </c:pt>
                <c:pt idx="275">
                  <c:v>5834312</c:v>
                </c:pt>
                <c:pt idx="276">
                  <c:v>9976705</c:v>
                </c:pt>
                <c:pt idx="277">
                  <c:v>8793606</c:v>
                </c:pt>
                <c:pt idx="278">
                  <c:v>9997486</c:v>
                </c:pt>
                <c:pt idx="279">
                  <c:v>12244664</c:v>
                </c:pt>
                <c:pt idx="280">
                  <c:v>7457021</c:v>
                </c:pt>
                <c:pt idx="281">
                  <c:v>7126128</c:v>
                </c:pt>
                <c:pt idx="282">
                  <c:v>11785109</c:v>
                </c:pt>
                <c:pt idx="283">
                  <c:v>14384719</c:v>
                </c:pt>
                <c:pt idx="284">
                  <c:v>8725641</c:v>
                </c:pt>
                <c:pt idx="285">
                  <c:v>11021323</c:v>
                </c:pt>
                <c:pt idx="286">
                  <c:v>5818868</c:v>
                </c:pt>
                <c:pt idx="287">
                  <c:v>5979407</c:v>
                </c:pt>
                <c:pt idx="288">
                  <c:v>12145259</c:v>
                </c:pt>
                <c:pt idx="289">
                  <c:v>13161813</c:v>
                </c:pt>
                <c:pt idx="290">
                  <c:v>18758842</c:v>
                </c:pt>
                <c:pt idx="291">
                  <c:v>11232238</c:v>
                </c:pt>
                <c:pt idx="292">
                  <c:v>11517006</c:v>
                </c:pt>
                <c:pt idx="293">
                  <c:v>7847563</c:v>
                </c:pt>
                <c:pt idx="294">
                  <c:v>13223177</c:v>
                </c:pt>
                <c:pt idx="295">
                  <c:v>5777575</c:v>
                </c:pt>
                <c:pt idx="296">
                  <c:v>6986720</c:v>
                </c:pt>
                <c:pt idx="297">
                  <c:v>9754452</c:v>
                </c:pt>
                <c:pt idx="298">
                  <c:v>7790815</c:v>
                </c:pt>
                <c:pt idx="299">
                  <c:v>9766072</c:v>
                </c:pt>
                <c:pt idx="300">
                  <c:v>7403368</c:v>
                </c:pt>
                <c:pt idx="301">
                  <c:v>5396697</c:v>
                </c:pt>
                <c:pt idx="302">
                  <c:v>8686961</c:v>
                </c:pt>
                <c:pt idx="303">
                  <c:v>7519417</c:v>
                </c:pt>
                <c:pt idx="304">
                  <c:v>9332642</c:v>
                </c:pt>
                <c:pt idx="305">
                  <c:v>13461373</c:v>
                </c:pt>
                <c:pt idx="306">
                  <c:v>7757970</c:v>
                </c:pt>
                <c:pt idx="307">
                  <c:v>14014702</c:v>
                </c:pt>
                <c:pt idx="308">
                  <c:v>5922759</c:v>
                </c:pt>
                <c:pt idx="309">
                  <c:v>11411143</c:v>
                </c:pt>
                <c:pt idx="310">
                  <c:v>9879109</c:v>
                </c:pt>
                <c:pt idx="311">
                  <c:v>14231999</c:v>
                </c:pt>
                <c:pt idx="312">
                  <c:v>14604684</c:v>
                </c:pt>
                <c:pt idx="313">
                  <c:v>12045916</c:v>
                </c:pt>
                <c:pt idx="314">
                  <c:v>12842347</c:v>
                </c:pt>
                <c:pt idx="315">
                  <c:v>12396580</c:v>
                </c:pt>
                <c:pt idx="316">
                  <c:v>11244040</c:v>
                </c:pt>
                <c:pt idx="317">
                  <c:v>8525081</c:v>
                </c:pt>
                <c:pt idx="318">
                  <c:v>8826633</c:v>
                </c:pt>
                <c:pt idx="319">
                  <c:v>6373084</c:v>
                </c:pt>
                <c:pt idx="320">
                  <c:v>7600682</c:v>
                </c:pt>
                <c:pt idx="321">
                  <c:v>9768174</c:v>
                </c:pt>
                <c:pt idx="322">
                  <c:v>10882743</c:v>
                </c:pt>
                <c:pt idx="323">
                  <c:v>12315932</c:v>
                </c:pt>
                <c:pt idx="324">
                  <c:v>19335561</c:v>
                </c:pt>
                <c:pt idx="325">
                  <c:v>24721978</c:v>
                </c:pt>
                <c:pt idx="326">
                  <c:v>2066169</c:v>
                </c:pt>
                <c:pt idx="327">
                  <c:v>18707090</c:v>
                </c:pt>
                <c:pt idx="328">
                  <c:v>9700837</c:v>
                </c:pt>
                <c:pt idx="329">
                  <c:v>14113867</c:v>
                </c:pt>
                <c:pt idx="330">
                  <c:v>17631577</c:v>
                </c:pt>
                <c:pt idx="331">
                  <c:v>11884745</c:v>
                </c:pt>
                <c:pt idx="332">
                  <c:v>9318663</c:v>
                </c:pt>
                <c:pt idx="333">
                  <c:v>8758053</c:v>
                </c:pt>
                <c:pt idx="334">
                  <c:v>8452085</c:v>
                </c:pt>
                <c:pt idx="335">
                  <c:v>10007806</c:v>
                </c:pt>
                <c:pt idx="336">
                  <c:v>16772678</c:v>
                </c:pt>
                <c:pt idx="337">
                  <c:v>7821765</c:v>
                </c:pt>
                <c:pt idx="338">
                  <c:v>7068438</c:v>
                </c:pt>
                <c:pt idx="339">
                  <c:v>7127506</c:v>
                </c:pt>
                <c:pt idx="340">
                  <c:v>12384459</c:v>
                </c:pt>
                <c:pt idx="341">
                  <c:v>7196443</c:v>
                </c:pt>
                <c:pt idx="342">
                  <c:v>7682823</c:v>
                </c:pt>
                <c:pt idx="343">
                  <c:v>5871416</c:v>
                </c:pt>
                <c:pt idx="344">
                  <c:v>11045042</c:v>
                </c:pt>
                <c:pt idx="345">
                  <c:v>5692366</c:v>
                </c:pt>
                <c:pt idx="346">
                  <c:v>18171724</c:v>
                </c:pt>
                <c:pt idx="347">
                  <c:v>9615271</c:v>
                </c:pt>
                <c:pt idx="348">
                  <c:v>18433951</c:v>
                </c:pt>
                <c:pt idx="349">
                  <c:v>15033482</c:v>
                </c:pt>
                <c:pt idx="350">
                  <c:v>14054299</c:v>
                </c:pt>
                <c:pt idx="351">
                  <c:v>9794643</c:v>
                </c:pt>
                <c:pt idx="352">
                  <c:v>8959508</c:v>
                </c:pt>
                <c:pt idx="353">
                  <c:v>8920233</c:v>
                </c:pt>
                <c:pt idx="354">
                  <c:v>11389150</c:v>
                </c:pt>
                <c:pt idx="355">
                  <c:v>6090883</c:v>
                </c:pt>
                <c:pt idx="356">
                  <c:v>11867930</c:v>
                </c:pt>
                <c:pt idx="357">
                  <c:v>10183266</c:v>
                </c:pt>
                <c:pt idx="358">
                  <c:v>11301491</c:v>
                </c:pt>
                <c:pt idx="359">
                  <c:v>11503971</c:v>
                </c:pt>
                <c:pt idx="360">
                  <c:v>7991629</c:v>
                </c:pt>
                <c:pt idx="361">
                  <c:v>4706197</c:v>
                </c:pt>
                <c:pt idx="362">
                  <c:v>5106655</c:v>
                </c:pt>
                <c:pt idx="363">
                  <c:v>5774543</c:v>
                </c:pt>
                <c:pt idx="364">
                  <c:v>11731856</c:v>
                </c:pt>
                <c:pt idx="365">
                  <c:v>7116649</c:v>
                </c:pt>
                <c:pt idx="366">
                  <c:v>6580829</c:v>
                </c:pt>
                <c:pt idx="367">
                  <c:v>13937275</c:v>
                </c:pt>
                <c:pt idx="368">
                  <c:v>10184852</c:v>
                </c:pt>
                <c:pt idx="369">
                  <c:v>7506564</c:v>
                </c:pt>
                <c:pt idx="370">
                  <c:v>8815745</c:v>
                </c:pt>
                <c:pt idx="371">
                  <c:v>2311495</c:v>
                </c:pt>
                <c:pt idx="372">
                  <c:v>5972105</c:v>
                </c:pt>
                <c:pt idx="373">
                  <c:v>8815884</c:v>
                </c:pt>
                <c:pt idx="374">
                  <c:v>5771830</c:v>
                </c:pt>
                <c:pt idx="375">
                  <c:v>6408128</c:v>
                </c:pt>
                <c:pt idx="376">
                  <c:v>6602230</c:v>
                </c:pt>
                <c:pt idx="377">
                  <c:v>8704973</c:v>
                </c:pt>
                <c:pt idx="378">
                  <c:v>27417125</c:v>
                </c:pt>
                <c:pt idx="379">
                  <c:v>11199340</c:v>
                </c:pt>
                <c:pt idx="380">
                  <c:v>16518684</c:v>
                </c:pt>
                <c:pt idx="381">
                  <c:v>8335311</c:v>
                </c:pt>
                <c:pt idx="382">
                  <c:v>8883745</c:v>
                </c:pt>
                <c:pt idx="383">
                  <c:v>13499760</c:v>
                </c:pt>
                <c:pt idx="384">
                  <c:v>8321764</c:v>
                </c:pt>
                <c:pt idx="385">
                  <c:v>17167161</c:v>
                </c:pt>
                <c:pt idx="386">
                  <c:v>20392765</c:v>
                </c:pt>
                <c:pt idx="387">
                  <c:v>13189498</c:v>
                </c:pt>
                <c:pt idx="388">
                  <c:v>17352720</c:v>
                </c:pt>
                <c:pt idx="389">
                  <c:v>15721693</c:v>
                </c:pt>
                <c:pt idx="390">
                  <c:v>9837802</c:v>
                </c:pt>
                <c:pt idx="391">
                  <c:v>26302396</c:v>
                </c:pt>
                <c:pt idx="392">
                  <c:v>11121657</c:v>
                </c:pt>
                <c:pt idx="393">
                  <c:v>20846683</c:v>
                </c:pt>
                <c:pt idx="394">
                  <c:v>11239835</c:v>
                </c:pt>
                <c:pt idx="395">
                  <c:v>9714528</c:v>
                </c:pt>
                <c:pt idx="396">
                  <c:v>15711165</c:v>
                </c:pt>
                <c:pt idx="397">
                  <c:v>25456171</c:v>
                </c:pt>
                <c:pt idx="398">
                  <c:v>8333387</c:v>
                </c:pt>
                <c:pt idx="399">
                  <c:v>11763658</c:v>
                </c:pt>
                <c:pt idx="400">
                  <c:v>8277304</c:v>
                </c:pt>
                <c:pt idx="401">
                  <c:v>5775864</c:v>
                </c:pt>
                <c:pt idx="402">
                  <c:v>10259630</c:v>
                </c:pt>
                <c:pt idx="403">
                  <c:v>7106877</c:v>
                </c:pt>
                <c:pt idx="404">
                  <c:v>11135399</c:v>
                </c:pt>
                <c:pt idx="405">
                  <c:v>10755693</c:v>
                </c:pt>
                <c:pt idx="406">
                  <c:v>5896514</c:v>
                </c:pt>
                <c:pt idx="407">
                  <c:v>10731630</c:v>
                </c:pt>
                <c:pt idx="408">
                  <c:v>5521096</c:v>
                </c:pt>
                <c:pt idx="409">
                  <c:v>11884664</c:v>
                </c:pt>
                <c:pt idx="410">
                  <c:v>8177670</c:v>
                </c:pt>
                <c:pt idx="411">
                  <c:v>7758856</c:v>
                </c:pt>
                <c:pt idx="412">
                  <c:v>12529409</c:v>
                </c:pt>
                <c:pt idx="413">
                  <c:v>10728792</c:v>
                </c:pt>
                <c:pt idx="414">
                  <c:v>16683858</c:v>
                </c:pt>
                <c:pt idx="415">
                  <c:v>12031440</c:v>
                </c:pt>
                <c:pt idx="416">
                  <c:v>23728722</c:v>
                </c:pt>
                <c:pt idx="417">
                  <c:v>32495007</c:v>
                </c:pt>
                <c:pt idx="418">
                  <c:v>25957532</c:v>
                </c:pt>
                <c:pt idx="419">
                  <c:v>19311971</c:v>
                </c:pt>
                <c:pt idx="420">
                  <c:v>24870822</c:v>
                </c:pt>
                <c:pt idx="421">
                  <c:v>18071259</c:v>
                </c:pt>
                <c:pt idx="422">
                  <c:v>21848087</c:v>
                </c:pt>
                <c:pt idx="423">
                  <c:v>20939959</c:v>
                </c:pt>
                <c:pt idx="424">
                  <c:v>17265090</c:v>
                </c:pt>
                <c:pt idx="425">
                  <c:v>22837802</c:v>
                </c:pt>
                <c:pt idx="426">
                  <c:v>19007744</c:v>
                </c:pt>
                <c:pt idx="427">
                  <c:v>9559327</c:v>
                </c:pt>
                <c:pt idx="428">
                  <c:v>16498373</c:v>
                </c:pt>
                <c:pt idx="429">
                  <c:v>22994918</c:v>
                </c:pt>
                <c:pt idx="430">
                  <c:v>18979554</c:v>
                </c:pt>
                <c:pt idx="431">
                  <c:v>18620893</c:v>
                </c:pt>
                <c:pt idx="432">
                  <c:v>19041331</c:v>
                </c:pt>
                <c:pt idx="433">
                  <c:v>23266517</c:v>
                </c:pt>
                <c:pt idx="434">
                  <c:v>24393861</c:v>
                </c:pt>
                <c:pt idx="435">
                  <c:v>14404619</c:v>
                </c:pt>
                <c:pt idx="436">
                  <c:v>21280051</c:v>
                </c:pt>
                <c:pt idx="437">
                  <c:v>29274881</c:v>
                </c:pt>
                <c:pt idx="438">
                  <c:v>28388922</c:v>
                </c:pt>
                <c:pt idx="439">
                  <c:v>21817543</c:v>
                </c:pt>
                <c:pt idx="440">
                  <c:v>20725390</c:v>
                </c:pt>
                <c:pt idx="441">
                  <c:v>19364461</c:v>
                </c:pt>
                <c:pt idx="442">
                  <c:v>28753269</c:v>
                </c:pt>
                <c:pt idx="443">
                  <c:v>15313779</c:v>
                </c:pt>
                <c:pt idx="444">
                  <c:v>30211012</c:v>
                </c:pt>
                <c:pt idx="445">
                  <c:v>13869105</c:v>
                </c:pt>
                <c:pt idx="446">
                  <c:v>13614733</c:v>
                </c:pt>
                <c:pt idx="447">
                  <c:v>27293629</c:v>
                </c:pt>
                <c:pt idx="448">
                  <c:v>9525953</c:v>
                </c:pt>
                <c:pt idx="449">
                  <c:v>16385079</c:v>
                </c:pt>
                <c:pt idx="450">
                  <c:v>11744802</c:v>
                </c:pt>
                <c:pt idx="451">
                  <c:v>24673098</c:v>
                </c:pt>
                <c:pt idx="452">
                  <c:v>41027699</c:v>
                </c:pt>
                <c:pt idx="453">
                  <c:v>30542143</c:v>
                </c:pt>
                <c:pt idx="454">
                  <c:v>30957881</c:v>
                </c:pt>
                <c:pt idx="455">
                  <c:v>24035700</c:v>
                </c:pt>
                <c:pt idx="456">
                  <c:v>23543341</c:v>
                </c:pt>
                <c:pt idx="457">
                  <c:v>14221786</c:v>
                </c:pt>
                <c:pt idx="458">
                  <c:v>19816903</c:v>
                </c:pt>
                <c:pt idx="459">
                  <c:v>8663105</c:v>
                </c:pt>
                <c:pt idx="460">
                  <c:v>15261787</c:v>
                </c:pt>
                <c:pt idx="461">
                  <c:v>24357500</c:v>
                </c:pt>
                <c:pt idx="462">
                  <c:v>13797989</c:v>
                </c:pt>
                <c:pt idx="463">
                  <c:v>17303059</c:v>
                </c:pt>
                <c:pt idx="464">
                  <c:v>19976192</c:v>
                </c:pt>
                <c:pt idx="465">
                  <c:v>13022473</c:v>
                </c:pt>
                <c:pt idx="466">
                  <c:v>21665501</c:v>
                </c:pt>
                <c:pt idx="467">
                  <c:v>13248515</c:v>
                </c:pt>
                <c:pt idx="468">
                  <c:v>17150630</c:v>
                </c:pt>
                <c:pt idx="469">
                  <c:v>7105813</c:v>
                </c:pt>
                <c:pt idx="470">
                  <c:v>6750071</c:v>
                </c:pt>
                <c:pt idx="471">
                  <c:v>13769747</c:v>
                </c:pt>
                <c:pt idx="472">
                  <c:v>13215138</c:v>
                </c:pt>
                <c:pt idx="473">
                  <c:v>42634247</c:v>
                </c:pt>
                <c:pt idx="474">
                  <c:v>10700603</c:v>
                </c:pt>
                <c:pt idx="475">
                  <c:v>23302785</c:v>
                </c:pt>
                <c:pt idx="476">
                  <c:v>20012293</c:v>
                </c:pt>
                <c:pt idx="477">
                  <c:v>23474327</c:v>
                </c:pt>
                <c:pt idx="478">
                  <c:v>17785223</c:v>
                </c:pt>
                <c:pt idx="479">
                  <c:v>16494759</c:v>
                </c:pt>
                <c:pt idx="480">
                  <c:v>23620214</c:v>
                </c:pt>
                <c:pt idx="481">
                  <c:v>21012796</c:v>
                </c:pt>
                <c:pt idx="482">
                  <c:v>13117486</c:v>
                </c:pt>
                <c:pt idx="483">
                  <c:v>11988785</c:v>
                </c:pt>
                <c:pt idx="484">
                  <c:v>18633321</c:v>
                </c:pt>
                <c:pt idx="485">
                  <c:v>18513223</c:v>
                </c:pt>
                <c:pt idx="486">
                  <c:v>10029170</c:v>
                </c:pt>
                <c:pt idx="487">
                  <c:v>15494549</c:v>
                </c:pt>
                <c:pt idx="488">
                  <c:v>24887034</c:v>
                </c:pt>
                <c:pt idx="489">
                  <c:v>12931213</c:v>
                </c:pt>
                <c:pt idx="490">
                  <c:v>15400184</c:v>
                </c:pt>
                <c:pt idx="491">
                  <c:v>11030917</c:v>
                </c:pt>
                <c:pt idx="492">
                  <c:v>12694362</c:v>
                </c:pt>
                <c:pt idx="493">
                  <c:v>13757656</c:v>
                </c:pt>
                <c:pt idx="494">
                  <c:v>15695263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E-42C4-8DEE-74F6E5C49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61346"/>
        <c:axId val="32928869"/>
      </c:barChart>
      <c:lineChart>
        <c:grouping val="standard"/>
        <c:varyColors val="0"/>
        <c:ser>
          <c:idx val="1"/>
          <c:order val="1"/>
          <c:tx>
            <c:strRef>
              <c:f>RELIANCE!$H$1</c:f>
              <c:strCache>
                <c:ptCount val="1"/>
                <c:pt idx="0">
                  <c:v>CLOSE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RELIANCE!$A$2:$A$496</c:f>
              <c:numCache>
                <c:formatCode>d\-mmm\-yy</c:formatCode>
                <c:ptCount val="495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45614</c:v>
                </c:pt>
                <c:pt idx="97">
                  <c:v>45615</c:v>
                </c:pt>
                <c:pt idx="98">
                  <c:v>45617</c:v>
                </c:pt>
                <c:pt idx="99">
                  <c:v>45618</c:v>
                </c:pt>
                <c:pt idx="100">
                  <c:v>45621</c:v>
                </c:pt>
                <c:pt idx="101">
                  <c:v>45622</c:v>
                </c:pt>
                <c:pt idx="102">
                  <c:v>45623</c:v>
                </c:pt>
                <c:pt idx="103">
                  <c:v>45624</c:v>
                </c:pt>
                <c:pt idx="104">
                  <c:v>45625</c:v>
                </c:pt>
                <c:pt idx="105">
                  <c:v>45628</c:v>
                </c:pt>
                <c:pt idx="106">
                  <c:v>45629</c:v>
                </c:pt>
                <c:pt idx="107">
                  <c:v>45630</c:v>
                </c:pt>
                <c:pt idx="108">
                  <c:v>45631</c:v>
                </c:pt>
                <c:pt idx="109">
                  <c:v>45632</c:v>
                </c:pt>
                <c:pt idx="110">
                  <c:v>45635</c:v>
                </c:pt>
                <c:pt idx="111">
                  <c:v>45636</c:v>
                </c:pt>
                <c:pt idx="112">
                  <c:v>45637</c:v>
                </c:pt>
                <c:pt idx="113">
                  <c:v>45638</c:v>
                </c:pt>
                <c:pt idx="114">
                  <c:v>45639</c:v>
                </c:pt>
                <c:pt idx="115">
                  <c:v>45642</c:v>
                </c:pt>
                <c:pt idx="116">
                  <c:v>45643</c:v>
                </c:pt>
                <c:pt idx="117">
                  <c:v>45644</c:v>
                </c:pt>
                <c:pt idx="118">
                  <c:v>45645</c:v>
                </c:pt>
                <c:pt idx="119">
                  <c:v>45646</c:v>
                </c:pt>
                <c:pt idx="120">
                  <c:v>45649</c:v>
                </c:pt>
                <c:pt idx="121">
                  <c:v>45650</c:v>
                </c:pt>
                <c:pt idx="122">
                  <c:v>45652</c:v>
                </c:pt>
                <c:pt idx="123">
                  <c:v>45653</c:v>
                </c:pt>
                <c:pt idx="124">
                  <c:v>45656</c:v>
                </c:pt>
                <c:pt idx="125">
                  <c:v>45657</c:v>
                </c:pt>
                <c:pt idx="126">
                  <c:v>45658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45666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45677</c:v>
                </c:pt>
                <c:pt idx="140">
                  <c:v>45678</c:v>
                </c:pt>
                <c:pt idx="141">
                  <c:v>45679</c:v>
                </c:pt>
                <c:pt idx="142">
                  <c:v>45680</c:v>
                </c:pt>
                <c:pt idx="143">
                  <c:v>45681</c:v>
                </c:pt>
                <c:pt idx="144">
                  <c:v>45684</c:v>
                </c:pt>
                <c:pt idx="145">
                  <c:v>45685</c:v>
                </c:pt>
                <c:pt idx="146">
                  <c:v>45686</c:v>
                </c:pt>
                <c:pt idx="147">
                  <c:v>45687</c:v>
                </c:pt>
                <c:pt idx="148">
                  <c:v>45688</c:v>
                </c:pt>
                <c:pt idx="149">
                  <c:v>45689</c:v>
                </c:pt>
                <c:pt idx="150">
                  <c:v>45691</c:v>
                </c:pt>
                <c:pt idx="151">
                  <c:v>45692</c:v>
                </c:pt>
                <c:pt idx="152">
                  <c:v>45693</c:v>
                </c:pt>
                <c:pt idx="153">
                  <c:v>45694</c:v>
                </c:pt>
                <c:pt idx="154">
                  <c:v>45695</c:v>
                </c:pt>
                <c:pt idx="155">
                  <c:v>45698</c:v>
                </c:pt>
                <c:pt idx="156">
                  <c:v>45699</c:v>
                </c:pt>
                <c:pt idx="157">
                  <c:v>45700</c:v>
                </c:pt>
                <c:pt idx="158">
                  <c:v>45701</c:v>
                </c:pt>
                <c:pt idx="159">
                  <c:v>45702</c:v>
                </c:pt>
                <c:pt idx="160">
                  <c:v>45705</c:v>
                </c:pt>
                <c:pt idx="161">
                  <c:v>45706</c:v>
                </c:pt>
                <c:pt idx="162">
                  <c:v>45707</c:v>
                </c:pt>
                <c:pt idx="163">
                  <c:v>45708</c:v>
                </c:pt>
                <c:pt idx="164">
                  <c:v>45709</c:v>
                </c:pt>
                <c:pt idx="165">
                  <c:v>45712</c:v>
                </c:pt>
                <c:pt idx="166">
                  <c:v>45713</c:v>
                </c:pt>
                <c:pt idx="167">
                  <c:v>45715</c:v>
                </c:pt>
                <c:pt idx="168">
                  <c:v>45716</c:v>
                </c:pt>
                <c:pt idx="169">
                  <c:v>45719</c:v>
                </c:pt>
                <c:pt idx="170">
                  <c:v>45720</c:v>
                </c:pt>
                <c:pt idx="171">
                  <c:v>45721</c:v>
                </c:pt>
                <c:pt idx="172">
                  <c:v>45722</c:v>
                </c:pt>
                <c:pt idx="173">
                  <c:v>45723</c:v>
                </c:pt>
                <c:pt idx="174">
                  <c:v>45726</c:v>
                </c:pt>
                <c:pt idx="175">
                  <c:v>45727</c:v>
                </c:pt>
                <c:pt idx="176">
                  <c:v>45728</c:v>
                </c:pt>
                <c:pt idx="177">
                  <c:v>45729</c:v>
                </c:pt>
                <c:pt idx="178">
                  <c:v>45733</c:v>
                </c:pt>
                <c:pt idx="179">
                  <c:v>45734</c:v>
                </c:pt>
                <c:pt idx="180">
                  <c:v>45735</c:v>
                </c:pt>
                <c:pt idx="181">
                  <c:v>45736</c:v>
                </c:pt>
                <c:pt idx="182">
                  <c:v>45737</c:v>
                </c:pt>
                <c:pt idx="183">
                  <c:v>45740</c:v>
                </c:pt>
                <c:pt idx="184">
                  <c:v>45741</c:v>
                </c:pt>
                <c:pt idx="185">
                  <c:v>45742</c:v>
                </c:pt>
                <c:pt idx="186">
                  <c:v>45743</c:v>
                </c:pt>
                <c:pt idx="187">
                  <c:v>45744</c:v>
                </c:pt>
                <c:pt idx="188">
                  <c:v>45748</c:v>
                </c:pt>
                <c:pt idx="189">
                  <c:v>45749</c:v>
                </c:pt>
                <c:pt idx="190">
                  <c:v>45750</c:v>
                </c:pt>
                <c:pt idx="191">
                  <c:v>45751</c:v>
                </c:pt>
                <c:pt idx="192">
                  <c:v>45754</c:v>
                </c:pt>
                <c:pt idx="193">
                  <c:v>45755</c:v>
                </c:pt>
                <c:pt idx="194">
                  <c:v>45756</c:v>
                </c:pt>
                <c:pt idx="195">
                  <c:v>45758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45798</c:v>
                </c:pt>
                <c:pt idx="221">
                  <c:v>45799</c:v>
                </c:pt>
                <c:pt idx="222">
                  <c:v>45800</c:v>
                </c:pt>
                <c:pt idx="223">
                  <c:v>45803</c:v>
                </c:pt>
                <c:pt idx="224">
                  <c:v>45804</c:v>
                </c:pt>
                <c:pt idx="225">
                  <c:v>45805</c:v>
                </c:pt>
                <c:pt idx="226">
                  <c:v>45806</c:v>
                </c:pt>
                <c:pt idx="227">
                  <c:v>45807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45817</c:v>
                </c:pt>
                <c:pt idx="234">
                  <c:v>45818</c:v>
                </c:pt>
                <c:pt idx="235">
                  <c:v>45819</c:v>
                </c:pt>
                <c:pt idx="236">
                  <c:v>45820</c:v>
                </c:pt>
                <c:pt idx="237">
                  <c:v>45821</c:v>
                </c:pt>
                <c:pt idx="238">
                  <c:v>45824</c:v>
                </c:pt>
                <c:pt idx="239">
                  <c:v>45825</c:v>
                </c:pt>
                <c:pt idx="240">
                  <c:v>45826</c:v>
                </c:pt>
                <c:pt idx="241">
                  <c:v>45827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45842</c:v>
                </c:pt>
                <c:pt idx="253">
                  <c:v>45845</c:v>
                </c:pt>
                <c:pt idx="254">
                  <c:v>45846</c:v>
                </c:pt>
                <c:pt idx="255">
                  <c:v>45847</c:v>
                </c:pt>
                <c:pt idx="256">
                  <c:v>45848</c:v>
                </c:pt>
                <c:pt idx="257">
                  <c:v>45849</c:v>
                </c:pt>
                <c:pt idx="258">
                  <c:v>45852</c:v>
                </c:pt>
                <c:pt idx="259">
                  <c:v>45853</c:v>
                </c:pt>
                <c:pt idx="260">
                  <c:v>45854</c:v>
                </c:pt>
                <c:pt idx="261">
                  <c:v>45855</c:v>
                </c:pt>
                <c:pt idx="262">
                  <c:v>45856</c:v>
                </c:pt>
                <c:pt idx="263">
                  <c:v>45859</c:v>
                </c:pt>
                <c:pt idx="264">
                  <c:v>45860</c:v>
                </c:pt>
                <c:pt idx="265">
                  <c:v>45861</c:v>
                </c:pt>
                <c:pt idx="266">
                  <c:v>45862</c:v>
                </c:pt>
                <c:pt idx="267">
                  <c:v>45863</c:v>
                </c:pt>
                <c:pt idx="268">
                  <c:v>45866</c:v>
                </c:pt>
                <c:pt idx="269">
                  <c:v>45867</c:v>
                </c:pt>
                <c:pt idx="270">
                  <c:v>45868</c:v>
                </c:pt>
                <c:pt idx="271">
                  <c:v>45869</c:v>
                </c:pt>
                <c:pt idx="272">
                  <c:v>45870</c:v>
                </c:pt>
                <c:pt idx="273">
                  <c:v>45873</c:v>
                </c:pt>
                <c:pt idx="274">
                  <c:v>45874</c:v>
                </c:pt>
                <c:pt idx="275">
                  <c:v>45875</c:v>
                </c:pt>
                <c:pt idx="276">
                  <c:v>45876</c:v>
                </c:pt>
                <c:pt idx="277">
                  <c:v>45877</c:v>
                </c:pt>
                <c:pt idx="278">
                  <c:v>45880</c:v>
                </c:pt>
                <c:pt idx="279">
                  <c:v>45881</c:v>
                </c:pt>
                <c:pt idx="280">
                  <c:v>45882</c:v>
                </c:pt>
                <c:pt idx="281">
                  <c:v>45883</c:v>
                </c:pt>
                <c:pt idx="282">
                  <c:v>45887</c:v>
                </c:pt>
                <c:pt idx="283">
                  <c:v>45888</c:v>
                </c:pt>
                <c:pt idx="284">
                  <c:v>45889</c:v>
                </c:pt>
                <c:pt idx="285">
                  <c:v>45890</c:v>
                </c:pt>
                <c:pt idx="286">
                  <c:v>45891</c:v>
                </c:pt>
                <c:pt idx="287">
                  <c:v>45894</c:v>
                </c:pt>
                <c:pt idx="288">
                  <c:v>45895</c:v>
                </c:pt>
                <c:pt idx="289">
                  <c:v>45897</c:v>
                </c:pt>
                <c:pt idx="290">
                  <c:v>45898</c:v>
                </c:pt>
                <c:pt idx="291">
                  <c:v>45901</c:v>
                </c:pt>
                <c:pt idx="292">
                  <c:v>45902</c:v>
                </c:pt>
                <c:pt idx="293">
                  <c:v>45903</c:v>
                </c:pt>
                <c:pt idx="294">
                  <c:v>45904</c:v>
                </c:pt>
                <c:pt idx="295">
                  <c:v>45905</c:v>
                </c:pt>
                <c:pt idx="296">
                  <c:v>45908</c:v>
                </c:pt>
                <c:pt idx="297">
                  <c:v>45909</c:v>
                </c:pt>
                <c:pt idx="298">
                  <c:v>45910</c:v>
                </c:pt>
                <c:pt idx="299">
                  <c:v>45911</c:v>
                </c:pt>
                <c:pt idx="300">
                  <c:v>45912</c:v>
                </c:pt>
                <c:pt idx="301">
                  <c:v>45915</c:v>
                </c:pt>
                <c:pt idx="302">
                  <c:v>45916</c:v>
                </c:pt>
                <c:pt idx="303">
                  <c:v>45917</c:v>
                </c:pt>
                <c:pt idx="304">
                  <c:v>45918</c:v>
                </c:pt>
                <c:pt idx="305">
                  <c:v>45919</c:v>
                </c:pt>
                <c:pt idx="306">
                  <c:v>45922</c:v>
                </c:pt>
                <c:pt idx="307">
                  <c:v>45923</c:v>
                </c:pt>
                <c:pt idx="308">
                  <c:v>45924</c:v>
                </c:pt>
                <c:pt idx="309">
                  <c:v>45925</c:v>
                </c:pt>
                <c:pt idx="310">
                  <c:v>45926</c:v>
                </c:pt>
                <c:pt idx="311">
                  <c:v>45929</c:v>
                </c:pt>
                <c:pt idx="312">
                  <c:v>45930</c:v>
                </c:pt>
                <c:pt idx="313">
                  <c:v>45931</c:v>
                </c:pt>
                <c:pt idx="314">
                  <c:v>45933</c:v>
                </c:pt>
                <c:pt idx="315">
                  <c:v>45936</c:v>
                </c:pt>
                <c:pt idx="316">
                  <c:v>45937</c:v>
                </c:pt>
                <c:pt idx="317">
                  <c:v>45938</c:v>
                </c:pt>
                <c:pt idx="318">
                  <c:v>45939</c:v>
                </c:pt>
                <c:pt idx="319">
                  <c:v>45940</c:v>
                </c:pt>
                <c:pt idx="320">
                  <c:v>45943</c:v>
                </c:pt>
                <c:pt idx="321">
                  <c:v>45944</c:v>
                </c:pt>
                <c:pt idx="322">
                  <c:v>45945</c:v>
                </c:pt>
                <c:pt idx="323">
                  <c:v>45946</c:v>
                </c:pt>
                <c:pt idx="324">
                  <c:v>45947</c:v>
                </c:pt>
                <c:pt idx="325">
                  <c:v>45950</c:v>
                </c:pt>
                <c:pt idx="326">
                  <c:v>45951</c:v>
                </c:pt>
                <c:pt idx="327">
                  <c:v>45953</c:v>
                </c:pt>
                <c:pt idx="328">
                  <c:v>45954</c:v>
                </c:pt>
                <c:pt idx="329">
                  <c:v>45957</c:v>
                </c:pt>
                <c:pt idx="330">
                  <c:v>45958</c:v>
                </c:pt>
                <c:pt idx="331">
                  <c:v>45959</c:v>
                </c:pt>
                <c:pt idx="332">
                  <c:v>45960</c:v>
                </c:pt>
                <c:pt idx="333">
                  <c:v>45961</c:v>
                </c:pt>
                <c:pt idx="334">
                  <c:v>45964</c:v>
                </c:pt>
                <c:pt idx="335">
                  <c:v>45965</c:v>
                </c:pt>
                <c:pt idx="336">
                  <c:v>45967</c:v>
                </c:pt>
                <c:pt idx="337">
                  <c:v>45968</c:v>
                </c:pt>
                <c:pt idx="338">
                  <c:v>45971</c:v>
                </c:pt>
                <c:pt idx="339">
                  <c:v>45972</c:v>
                </c:pt>
                <c:pt idx="340">
                  <c:v>45973</c:v>
                </c:pt>
                <c:pt idx="341">
                  <c:v>45974</c:v>
                </c:pt>
                <c:pt idx="342">
                  <c:v>45975</c:v>
                </c:pt>
                <c:pt idx="343">
                  <c:v>45978</c:v>
                </c:pt>
                <c:pt idx="344">
                  <c:v>45979</c:v>
                </c:pt>
                <c:pt idx="345">
                  <c:v>45980</c:v>
                </c:pt>
                <c:pt idx="346">
                  <c:v>45981</c:v>
                </c:pt>
                <c:pt idx="347">
                  <c:v>45982</c:v>
                </c:pt>
                <c:pt idx="348">
                  <c:v>45985</c:v>
                </c:pt>
                <c:pt idx="349">
                  <c:v>45986</c:v>
                </c:pt>
                <c:pt idx="350">
                  <c:v>45987</c:v>
                </c:pt>
                <c:pt idx="351">
                  <c:v>45988</c:v>
                </c:pt>
                <c:pt idx="352">
                  <c:v>45989</c:v>
                </c:pt>
                <c:pt idx="353">
                  <c:v>45992</c:v>
                </c:pt>
                <c:pt idx="354">
                  <c:v>45993</c:v>
                </c:pt>
                <c:pt idx="355">
                  <c:v>45994</c:v>
                </c:pt>
                <c:pt idx="356">
                  <c:v>45995</c:v>
                </c:pt>
                <c:pt idx="357">
                  <c:v>45996</c:v>
                </c:pt>
                <c:pt idx="358">
                  <c:v>45999</c:v>
                </c:pt>
                <c:pt idx="359">
                  <c:v>46000</c:v>
                </c:pt>
                <c:pt idx="360">
                  <c:v>46001</c:v>
                </c:pt>
                <c:pt idx="361">
                  <c:v>46002</c:v>
                </c:pt>
                <c:pt idx="362">
                  <c:v>46003</c:v>
                </c:pt>
                <c:pt idx="363">
                  <c:v>46006</c:v>
                </c:pt>
                <c:pt idx="364">
                  <c:v>46007</c:v>
                </c:pt>
                <c:pt idx="365">
                  <c:v>46008</c:v>
                </c:pt>
                <c:pt idx="366">
                  <c:v>46009</c:v>
                </c:pt>
                <c:pt idx="367">
                  <c:v>46010</c:v>
                </c:pt>
                <c:pt idx="368">
                  <c:v>46013</c:v>
                </c:pt>
                <c:pt idx="369">
                  <c:v>46014</c:v>
                </c:pt>
                <c:pt idx="370">
                  <c:v>46015</c:v>
                </c:pt>
                <c:pt idx="371">
                  <c:v>46017</c:v>
                </c:pt>
                <c:pt idx="372">
                  <c:v>46020</c:v>
                </c:pt>
                <c:pt idx="373">
                  <c:v>46021</c:v>
                </c:pt>
                <c:pt idx="374">
                  <c:v>46022</c:v>
                </c:pt>
                <c:pt idx="375">
                  <c:v>46023</c:v>
                </c:pt>
                <c:pt idx="376">
                  <c:v>46024</c:v>
                </c:pt>
                <c:pt idx="377">
                  <c:v>46027</c:v>
                </c:pt>
                <c:pt idx="378">
                  <c:v>46028</c:v>
                </c:pt>
                <c:pt idx="379">
                  <c:v>46029</c:v>
                </c:pt>
                <c:pt idx="380">
                  <c:v>46030</c:v>
                </c:pt>
                <c:pt idx="381">
                  <c:v>46031</c:v>
                </c:pt>
                <c:pt idx="382">
                  <c:v>46034</c:v>
                </c:pt>
                <c:pt idx="383">
                  <c:v>46035</c:v>
                </c:pt>
                <c:pt idx="384">
                  <c:v>46036</c:v>
                </c:pt>
                <c:pt idx="385">
                  <c:v>46038</c:v>
                </c:pt>
                <c:pt idx="386">
                  <c:v>46041</c:v>
                </c:pt>
                <c:pt idx="387">
                  <c:v>46042</c:v>
                </c:pt>
                <c:pt idx="388">
                  <c:v>46043</c:v>
                </c:pt>
                <c:pt idx="389">
                  <c:v>46044</c:v>
                </c:pt>
                <c:pt idx="390">
                  <c:v>46045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46062</c:v>
                </c:pt>
                <c:pt idx="402">
                  <c:v>46063</c:v>
                </c:pt>
                <c:pt idx="403">
                  <c:v>46064</c:v>
                </c:pt>
                <c:pt idx="404">
                  <c:v>46065</c:v>
                </c:pt>
                <c:pt idx="405">
                  <c:v>46066</c:v>
                </c:pt>
                <c:pt idx="406">
                  <c:v>46069</c:v>
                </c:pt>
                <c:pt idx="407">
                  <c:v>46070</c:v>
                </c:pt>
                <c:pt idx="408">
                  <c:v>46071</c:v>
                </c:pt>
                <c:pt idx="409">
                  <c:v>46072</c:v>
                </c:pt>
                <c:pt idx="410">
                  <c:v>46073</c:v>
                </c:pt>
                <c:pt idx="411">
                  <c:v>46076</c:v>
                </c:pt>
                <c:pt idx="412">
                  <c:v>46077</c:v>
                </c:pt>
                <c:pt idx="413">
                  <c:v>46078</c:v>
                </c:pt>
                <c:pt idx="414">
                  <c:v>46079</c:v>
                </c:pt>
                <c:pt idx="415">
                  <c:v>46080</c:v>
                </c:pt>
                <c:pt idx="416">
                  <c:v>46083</c:v>
                </c:pt>
                <c:pt idx="417">
                  <c:v>46085</c:v>
                </c:pt>
                <c:pt idx="418">
                  <c:v>46086</c:v>
                </c:pt>
                <c:pt idx="419">
                  <c:v>46087</c:v>
                </c:pt>
                <c:pt idx="420">
                  <c:v>46090</c:v>
                </c:pt>
                <c:pt idx="421">
                  <c:v>46091</c:v>
                </c:pt>
                <c:pt idx="422">
                  <c:v>46092</c:v>
                </c:pt>
                <c:pt idx="423">
                  <c:v>46093</c:v>
                </c:pt>
                <c:pt idx="424">
                  <c:v>46094</c:v>
                </c:pt>
                <c:pt idx="425">
                  <c:v>46097</c:v>
                </c:pt>
                <c:pt idx="426">
                  <c:v>46098</c:v>
                </c:pt>
                <c:pt idx="427">
                  <c:v>46099</c:v>
                </c:pt>
                <c:pt idx="428">
                  <c:v>46100</c:v>
                </c:pt>
                <c:pt idx="429">
                  <c:v>46101</c:v>
                </c:pt>
                <c:pt idx="430">
                  <c:v>46104</c:v>
                </c:pt>
                <c:pt idx="431">
                  <c:v>46105</c:v>
                </c:pt>
                <c:pt idx="432">
                  <c:v>46106</c:v>
                </c:pt>
                <c:pt idx="433">
                  <c:v>46108</c:v>
                </c:pt>
                <c:pt idx="434">
                  <c:v>46111</c:v>
                </c:pt>
                <c:pt idx="435">
                  <c:v>46113</c:v>
                </c:pt>
                <c:pt idx="436">
                  <c:v>46114</c:v>
                </c:pt>
                <c:pt idx="437">
                  <c:v>46118</c:v>
                </c:pt>
                <c:pt idx="438">
                  <c:v>46119</c:v>
                </c:pt>
                <c:pt idx="439">
                  <c:v>46120</c:v>
                </c:pt>
                <c:pt idx="440">
                  <c:v>46121</c:v>
                </c:pt>
                <c:pt idx="441">
                  <c:v>46122</c:v>
                </c:pt>
                <c:pt idx="442">
                  <c:v>46125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46132</c:v>
                </c:pt>
                <c:pt idx="447">
                  <c:v>46133</c:v>
                </c:pt>
                <c:pt idx="448">
                  <c:v>46134</c:v>
                </c:pt>
                <c:pt idx="449">
                  <c:v>46135</c:v>
                </c:pt>
                <c:pt idx="450">
                  <c:v>46136</c:v>
                </c:pt>
                <c:pt idx="451">
                  <c:v>46139</c:v>
                </c:pt>
                <c:pt idx="452">
                  <c:v>46140</c:v>
                </c:pt>
                <c:pt idx="453">
                  <c:v>46141</c:v>
                </c:pt>
                <c:pt idx="454">
                  <c:v>46142</c:v>
                </c:pt>
                <c:pt idx="455">
                  <c:v>46146</c:v>
                </c:pt>
                <c:pt idx="456">
                  <c:v>46147</c:v>
                </c:pt>
                <c:pt idx="457">
                  <c:v>46148</c:v>
                </c:pt>
                <c:pt idx="458">
                  <c:v>46149</c:v>
                </c:pt>
                <c:pt idx="459">
                  <c:v>46150</c:v>
                </c:pt>
                <c:pt idx="460">
                  <c:v>46153</c:v>
                </c:pt>
                <c:pt idx="461">
                  <c:v>46154</c:v>
                </c:pt>
                <c:pt idx="462">
                  <c:v>46155</c:v>
                </c:pt>
                <c:pt idx="463">
                  <c:v>46156</c:v>
                </c:pt>
                <c:pt idx="464">
                  <c:v>46157</c:v>
                </c:pt>
                <c:pt idx="465">
                  <c:v>46160</c:v>
                </c:pt>
                <c:pt idx="466">
                  <c:v>46161</c:v>
                </c:pt>
                <c:pt idx="467">
                  <c:v>46162</c:v>
                </c:pt>
                <c:pt idx="468">
                  <c:v>46163</c:v>
                </c:pt>
                <c:pt idx="469">
                  <c:v>46164</c:v>
                </c:pt>
                <c:pt idx="470">
                  <c:v>46167</c:v>
                </c:pt>
                <c:pt idx="471">
                  <c:v>46168</c:v>
                </c:pt>
                <c:pt idx="472">
                  <c:v>46169</c:v>
                </c:pt>
                <c:pt idx="473">
                  <c:v>46171</c:v>
                </c:pt>
                <c:pt idx="474">
                  <c:v>46174</c:v>
                </c:pt>
                <c:pt idx="475">
                  <c:v>46175</c:v>
                </c:pt>
                <c:pt idx="476">
                  <c:v>46176</c:v>
                </c:pt>
                <c:pt idx="477">
                  <c:v>46177</c:v>
                </c:pt>
                <c:pt idx="478">
                  <c:v>46178</c:v>
                </c:pt>
                <c:pt idx="479">
                  <c:v>46181</c:v>
                </c:pt>
                <c:pt idx="480">
                  <c:v>46182</c:v>
                </c:pt>
                <c:pt idx="481">
                  <c:v>46183</c:v>
                </c:pt>
                <c:pt idx="482">
                  <c:v>46184</c:v>
                </c:pt>
                <c:pt idx="483">
                  <c:v>46185</c:v>
                </c:pt>
                <c:pt idx="484">
                  <c:v>46188</c:v>
                </c:pt>
                <c:pt idx="485">
                  <c:v>46189</c:v>
                </c:pt>
                <c:pt idx="486">
                  <c:v>46190</c:v>
                </c:pt>
                <c:pt idx="487">
                  <c:v>46191</c:v>
                </c:pt>
                <c:pt idx="488">
                  <c:v>46192</c:v>
                </c:pt>
                <c:pt idx="489">
                  <c:v>46195</c:v>
                </c:pt>
                <c:pt idx="490">
                  <c:v>46196</c:v>
                </c:pt>
                <c:pt idx="491">
                  <c:v>46197</c:v>
                </c:pt>
                <c:pt idx="492">
                  <c:v>46198</c:v>
                </c:pt>
                <c:pt idx="493">
                  <c:v>46202</c:v>
                </c:pt>
                <c:pt idx="494">
                  <c:v>46203</c:v>
                </c:pt>
              </c:numCache>
            </c:numRef>
          </c:cat>
          <c:val>
            <c:numRef>
              <c:f>RELIANCE!$H$2:$H$496</c:f>
              <c:numCache>
                <c:formatCode>#,##0.00</c:formatCode>
                <c:ptCount val="495"/>
                <c:pt idx="0">
                  <c:v>3120.3</c:v>
                </c:pt>
                <c:pt idx="1">
                  <c:v>3130.35</c:v>
                </c:pt>
                <c:pt idx="2">
                  <c:v>3104.85</c:v>
                </c:pt>
                <c:pt idx="3">
                  <c:v>3108.05</c:v>
                </c:pt>
                <c:pt idx="4">
                  <c:v>3177.25</c:v>
                </c:pt>
                <c:pt idx="5">
                  <c:v>3201.8</c:v>
                </c:pt>
                <c:pt idx="6">
                  <c:v>3180.55</c:v>
                </c:pt>
                <c:pt idx="7">
                  <c:v>3168.45</c:v>
                </c:pt>
                <c:pt idx="8">
                  <c:v>3161.3</c:v>
                </c:pt>
                <c:pt idx="9">
                  <c:v>3193.45</c:v>
                </c:pt>
                <c:pt idx="10">
                  <c:v>3194.45</c:v>
                </c:pt>
                <c:pt idx="11">
                  <c:v>3152.5</c:v>
                </c:pt>
                <c:pt idx="12">
                  <c:v>3173.35</c:v>
                </c:pt>
                <c:pt idx="13">
                  <c:v>3110.3</c:v>
                </c:pt>
                <c:pt idx="14">
                  <c:v>3001.35</c:v>
                </c:pt>
                <c:pt idx="15">
                  <c:v>2975.8</c:v>
                </c:pt>
                <c:pt idx="16">
                  <c:v>2991.4</c:v>
                </c:pt>
                <c:pt idx="17">
                  <c:v>2984.8</c:v>
                </c:pt>
                <c:pt idx="18">
                  <c:v>3018.05</c:v>
                </c:pt>
                <c:pt idx="19">
                  <c:v>3040.2</c:v>
                </c:pt>
                <c:pt idx="20">
                  <c:v>3026.3</c:v>
                </c:pt>
                <c:pt idx="21">
                  <c:v>3010.85</c:v>
                </c:pt>
                <c:pt idx="22">
                  <c:v>3030.6</c:v>
                </c:pt>
                <c:pt idx="23">
                  <c:v>2998.65</c:v>
                </c:pt>
                <c:pt idx="24">
                  <c:v>2894.65</c:v>
                </c:pt>
                <c:pt idx="25">
                  <c:v>2912.1</c:v>
                </c:pt>
                <c:pt idx="26">
                  <c:v>2929.65</c:v>
                </c:pt>
                <c:pt idx="27">
                  <c:v>2898.25</c:v>
                </c:pt>
                <c:pt idx="28">
                  <c:v>2948.6</c:v>
                </c:pt>
                <c:pt idx="29">
                  <c:v>2921.25</c:v>
                </c:pt>
                <c:pt idx="30">
                  <c:v>2927.25</c:v>
                </c:pt>
                <c:pt idx="31">
                  <c:v>2923.7</c:v>
                </c:pt>
                <c:pt idx="32">
                  <c:v>2956.4</c:v>
                </c:pt>
                <c:pt idx="33">
                  <c:v>2976.8</c:v>
                </c:pt>
                <c:pt idx="34">
                  <c:v>2991.9</c:v>
                </c:pt>
                <c:pt idx="35">
                  <c:v>2997.35</c:v>
                </c:pt>
                <c:pt idx="36">
                  <c:v>2996.25</c:v>
                </c:pt>
                <c:pt idx="37">
                  <c:v>2999.95</c:v>
                </c:pt>
                <c:pt idx="38">
                  <c:v>3025.2</c:v>
                </c:pt>
                <c:pt idx="39">
                  <c:v>3000.9</c:v>
                </c:pt>
                <c:pt idx="40">
                  <c:v>2996.6</c:v>
                </c:pt>
                <c:pt idx="41">
                  <c:v>3041.85</c:v>
                </c:pt>
                <c:pt idx="42">
                  <c:v>3019.25</c:v>
                </c:pt>
                <c:pt idx="43">
                  <c:v>3032.5</c:v>
                </c:pt>
                <c:pt idx="44">
                  <c:v>3018.25</c:v>
                </c:pt>
                <c:pt idx="45">
                  <c:v>3029.1</c:v>
                </c:pt>
                <c:pt idx="46">
                  <c:v>2985.95</c:v>
                </c:pt>
                <c:pt idx="47">
                  <c:v>2929.65</c:v>
                </c:pt>
                <c:pt idx="48">
                  <c:v>2924.9</c:v>
                </c:pt>
                <c:pt idx="49">
                  <c:v>2923.05</c:v>
                </c:pt>
                <c:pt idx="50">
                  <c:v>2903</c:v>
                </c:pt>
                <c:pt idx="51">
                  <c:v>2959.6</c:v>
                </c:pt>
                <c:pt idx="52">
                  <c:v>2945.25</c:v>
                </c:pt>
                <c:pt idx="53">
                  <c:v>2942.7</c:v>
                </c:pt>
                <c:pt idx="54">
                  <c:v>2944.6</c:v>
                </c:pt>
                <c:pt idx="55">
                  <c:v>2926.9</c:v>
                </c:pt>
                <c:pt idx="56">
                  <c:v>2939.35</c:v>
                </c:pt>
                <c:pt idx="57">
                  <c:v>2971.85</c:v>
                </c:pt>
                <c:pt idx="58">
                  <c:v>2986.75</c:v>
                </c:pt>
                <c:pt idx="59">
                  <c:v>2978.75</c:v>
                </c:pt>
                <c:pt idx="60">
                  <c:v>2987.9</c:v>
                </c:pt>
                <c:pt idx="61">
                  <c:v>2995.9</c:v>
                </c:pt>
                <c:pt idx="62">
                  <c:v>3052.35</c:v>
                </c:pt>
                <c:pt idx="63">
                  <c:v>2953.15</c:v>
                </c:pt>
                <c:pt idx="64">
                  <c:v>2929.65</c:v>
                </c:pt>
                <c:pt idx="65">
                  <c:v>2813.95</c:v>
                </c:pt>
                <c:pt idx="66">
                  <c:v>2773.05</c:v>
                </c:pt>
                <c:pt idx="67">
                  <c:v>2741.45</c:v>
                </c:pt>
                <c:pt idx="68">
                  <c:v>2794.7</c:v>
                </c:pt>
                <c:pt idx="69">
                  <c:v>2749.2</c:v>
                </c:pt>
                <c:pt idx="70">
                  <c:v>2742.1</c:v>
                </c:pt>
                <c:pt idx="71">
                  <c:v>2744.2</c:v>
                </c:pt>
                <c:pt idx="72">
                  <c:v>2745.05</c:v>
                </c:pt>
                <c:pt idx="73">
                  <c:v>2688.05</c:v>
                </c:pt>
                <c:pt idx="74">
                  <c:v>2708.15</c:v>
                </c:pt>
                <c:pt idx="75">
                  <c:v>2712.85</c:v>
                </c:pt>
                <c:pt idx="76">
                  <c:v>2718.6</c:v>
                </c:pt>
                <c:pt idx="77">
                  <c:v>2738.4</c:v>
                </c:pt>
                <c:pt idx="78">
                  <c:v>2686.7</c:v>
                </c:pt>
                <c:pt idx="79">
                  <c:v>2677.05</c:v>
                </c:pt>
                <c:pt idx="80">
                  <c:v>2679.6</c:v>
                </c:pt>
                <c:pt idx="81">
                  <c:v>2655.7</c:v>
                </c:pt>
                <c:pt idx="82">
                  <c:v>1334.35</c:v>
                </c:pt>
                <c:pt idx="83">
                  <c:v>1340</c:v>
                </c:pt>
                <c:pt idx="84">
                  <c:v>1343.9</c:v>
                </c:pt>
                <c:pt idx="85">
                  <c:v>1332.05</c:v>
                </c:pt>
                <c:pt idx="86">
                  <c:v>1338.65</c:v>
                </c:pt>
                <c:pt idx="87">
                  <c:v>1302.1500000000001</c:v>
                </c:pt>
                <c:pt idx="88">
                  <c:v>1305.3</c:v>
                </c:pt>
                <c:pt idx="89">
                  <c:v>1325.35</c:v>
                </c:pt>
                <c:pt idx="90">
                  <c:v>1305.6500000000001</c:v>
                </c:pt>
                <c:pt idx="91">
                  <c:v>1283.75</c:v>
                </c:pt>
                <c:pt idx="92">
                  <c:v>1272.7</c:v>
                </c:pt>
                <c:pt idx="93">
                  <c:v>1274.25</c:v>
                </c:pt>
                <c:pt idx="94">
                  <c:v>1252.05</c:v>
                </c:pt>
                <c:pt idx="95">
                  <c:v>1267.5999999999999</c:v>
                </c:pt>
                <c:pt idx="96">
                  <c:v>1260.75</c:v>
                </c:pt>
                <c:pt idx="97">
                  <c:v>1241.6500000000001</c:v>
                </c:pt>
                <c:pt idx="98">
                  <c:v>1223</c:v>
                </c:pt>
                <c:pt idx="99">
                  <c:v>1265.4000000000001</c:v>
                </c:pt>
                <c:pt idx="100">
                  <c:v>1287</c:v>
                </c:pt>
                <c:pt idx="101">
                  <c:v>1295.7</c:v>
                </c:pt>
                <c:pt idx="102">
                  <c:v>1293.2</c:v>
                </c:pt>
                <c:pt idx="103">
                  <c:v>1270.8</c:v>
                </c:pt>
                <c:pt idx="104">
                  <c:v>1292.2</c:v>
                </c:pt>
                <c:pt idx="105">
                  <c:v>1309.1500000000001</c:v>
                </c:pt>
                <c:pt idx="106">
                  <c:v>1323.3</c:v>
                </c:pt>
                <c:pt idx="107">
                  <c:v>1308.95</c:v>
                </c:pt>
                <c:pt idx="108">
                  <c:v>1322.05</c:v>
                </c:pt>
                <c:pt idx="109">
                  <c:v>1311.55</c:v>
                </c:pt>
                <c:pt idx="110">
                  <c:v>1295.1500000000001</c:v>
                </c:pt>
                <c:pt idx="111">
                  <c:v>1284.8499999999999</c:v>
                </c:pt>
                <c:pt idx="112">
                  <c:v>1278.2</c:v>
                </c:pt>
                <c:pt idx="113">
                  <c:v>1262.9000000000001</c:v>
                </c:pt>
                <c:pt idx="114">
                  <c:v>1272.8499999999999</c:v>
                </c:pt>
                <c:pt idx="115">
                  <c:v>1268.3</c:v>
                </c:pt>
                <c:pt idx="116">
                  <c:v>1245.3</c:v>
                </c:pt>
                <c:pt idx="117">
                  <c:v>1253.25</c:v>
                </c:pt>
                <c:pt idx="118">
                  <c:v>1230.45</c:v>
                </c:pt>
                <c:pt idx="119">
                  <c:v>1205.3</c:v>
                </c:pt>
                <c:pt idx="120">
                  <c:v>1222.3</c:v>
                </c:pt>
                <c:pt idx="121">
                  <c:v>1222.75</c:v>
                </c:pt>
                <c:pt idx="122">
                  <c:v>1216.55</c:v>
                </c:pt>
                <c:pt idx="123">
                  <c:v>1221.05</c:v>
                </c:pt>
                <c:pt idx="124">
                  <c:v>1210.7</c:v>
                </c:pt>
                <c:pt idx="125">
                  <c:v>1215.45</c:v>
                </c:pt>
                <c:pt idx="126">
                  <c:v>1221.25</c:v>
                </c:pt>
                <c:pt idx="127">
                  <c:v>1241.8</c:v>
                </c:pt>
                <c:pt idx="128">
                  <c:v>1251.1500000000001</c:v>
                </c:pt>
                <c:pt idx="129">
                  <c:v>1218</c:v>
                </c:pt>
                <c:pt idx="130">
                  <c:v>1240.8499999999999</c:v>
                </c:pt>
                <c:pt idx="131">
                  <c:v>1265.5</c:v>
                </c:pt>
                <c:pt idx="132">
                  <c:v>1254.75</c:v>
                </c:pt>
                <c:pt idx="133">
                  <c:v>1241.9000000000001</c:v>
                </c:pt>
                <c:pt idx="134">
                  <c:v>1239.8499999999999</c:v>
                </c:pt>
                <c:pt idx="135">
                  <c:v>1238.75</c:v>
                </c:pt>
                <c:pt idx="136">
                  <c:v>1252.2</c:v>
                </c:pt>
                <c:pt idx="137">
                  <c:v>1266.45</c:v>
                </c:pt>
                <c:pt idx="138">
                  <c:v>1302.3499999999999</c:v>
                </c:pt>
                <c:pt idx="139">
                  <c:v>1305.45</c:v>
                </c:pt>
                <c:pt idx="140">
                  <c:v>1273.7</c:v>
                </c:pt>
                <c:pt idx="141">
                  <c:v>1277.0999999999999</c:v>
                </c:pt>
                <c:pt idx="142">
                  <c:v>1263.6500000000001</c:v>
                </c:pt>
                <c:pt idx="143">
                  <c:v>1246.3</c:v>
                </c:pt>
                <c:pt idx="144">
                  <c:v>1229.3499999999999</c:v>
                </c:pt>
                <c:pt idx="145">
                  <c:v>1234.4000000000001</c:v>
                </c:pt>
                <c:pt idx="146">
                  <c:v>1235.5</c:v>
                </c:pt>
                <c:pt idx="147">
                  <c:v>1253.05</c:v>
                </c:pt>
                <c:pt idx="148">
                  <c:v>1265.0999999999999</c:v>
                </c:pt>
                <c:pt idx="149">
                  <c:v>1264.5999999999999</c:v>
                </c:pt>
                <c:pt idx="150">
                  <c:v>1245.9000000000001</c:v>
                </c:pt>
                <c:pt idx="151">
                  <c:v>1285.2</c:v>
                </c:pt>
                <c:pt idx="152">
                  <c:v>1278.2</c:v>
                </c:pt>
                <c:pt idx="153">
                  <c:v>1281.55</c:v>
                </c:pt>
                <c:pt idx="154">
                  <c:v>1266.7</c:v>
                </c:pt>
                <c:pt idx="155">
                  <c:v>1253.6500000000001</c:v>
                </c:pt>
                <c:pt idx="156">
                  <c:v>1234.8499999999999</c:v>
                </c:pt>
                <c:pt idx="157">
                  <c:v>1216.55</c:v>
                </c:pt>
                <c:pt idx="158">
                  <c:v>1216.0999999999999</c:v>
                </c:pt>
                <c:pt idx="159">
                  <c:v>1217.25</c:v>
                </c:pt>
                <c:pt idx="160">
                  <c:v>1224.9000000000001</c:v>
                </c:pt>
                <c:pt idx="161">
                  <c:v>1225.4000000000001</c:v>
                </c:pt>
                <c:pt idx="162">
                  <c:v>1227.45</c:v>
                </c:pt>
                <c:pt idx="163">
                  <c:v>1233</c:v>
                </c:pt>
                <c:pt idx="164">
                  <c:v>1228.1500000000001</c:v>
                </c:pt>
                <c:pt idx="165">
                  <c:v>1214.55</c:v>
                </c:pt>
                <c:pt idx="166">
                  <c:v>1204</c:v>
                </c:pt>
                <c:pt idx="167">
                  <c:v>1207.0999999999999</c:v>
                </c:pt>
                <c:pt idx="168">
                  <c:v>1200.0999999999999</c:v>
                </c:pt>
                <c:pt idx="169">
                  <c:v>1171.25</c:v>
                </c:pt>
                <c:pt idx="170">
                  <c:v>1161.9000000000001</c:v>
                </c:pt>
                <c:pt idx="171">
                  <c:v>1175.5999999999999</c:v>
                </c:pt>
                <c:pt idx="172">
                  <c:v>1209.5999999999999</c:v>
                </c:pt>
                <c:pt idx="173">
                  <c:v>1249.8</c:v>
                </c:pt>
                <c:pt idx="174">
                  <c:v>1238.4000000000001</c:v>
                </c:pt>
                <c:pt idx="175">
                  <c:v>1247.3</c:v>
                </c:pt>
                <c:pt idx="176">
                  <c:v>1257.05</c:v>
                </c:pt>
                <c:pt idx="177">
                  <c:v>1247.9000000000001</c:v>
                </c:pt>
                <c:pt idx="178">
                  <c:v>1238.8499999999999</c:v>
                </c:pt>
                <c:pt idx="179">
                  <c:v>1238.8</c:v>
                </c:pt>
                <c:pt idx="180">
                  <c:v>1247.1500000000001</c:v>
                </c:pt>
                <c:pt idx="181">
                  <c:v>1269.1500000000001</c:v>
                </c:pt>
                <c:pt idx="182">
                  <c:v>1276.3499999999999</c:v>
                </c:pt>
                <c:pt idx="183">
                  <c:v>1302.0999999999999</c:v>
                </c:pt>
                <c:pt idx="184">
                  <c:v>1285.45</c:v>
                </c:pt>
                <c:pt idx="185">
                  <c:v>1273.05</c:v>
                </c:pt>
                <c:pt idx="186">
                  <c:v>1278.2</c:v>
                </c:pt>
                <c:pt idx="187">
                  <c:v>1275.0999999999999</c:v>
                </c:pt>
                <c:pt idx="188">
                  <c:v>1252.5999999999999</c:v>
                </c:pt>
                <c:pt idx="189">
                  <c:v>1251.1500000000001</c:v>
                </c:pt>
                <c:pt idx="190">
                  <c:v>1248.7</c:v>
                </c:pt>
                <c:pt idx="191">
                  <c:v>1204.7</c:v>
                </c:pt>
                <c:pt idx="192">
                  <c:v>1165.7</c:v>
                </c:pt>
                <c:pt idx="193">
                  <c:v>1182.2</c:v>
                </c:pt>
                <c:pt idx="194">
                  <c:v>1185.3499999999999</c:v>
                </c:pt>
                <c:pt idx="195">
                  <c:v>1218.95</c:v>
                </c:pt>
                <c:pt idx="196">
                  <c:v>1240.0999999999999</c:v>
                </c:pt>
                <c:pt idx="197">
                  <c:v>1239.3</c:v>
                </c:pt>
                <c:pt idx="198">
                  <c:v>1274.5</c:v>
                </c:pt>
                <c:pt idx="199">
                  <c:v>1295.5</c:v>
                </c:pt>
                <c:pt idx="200">
                  <c:v>1291.2</c:v>
                </c:pt>
                <c:pt idx="201">
                  <c:v>1300</c:v>
                </c:pt>
                <c:pt idx="202">
                  <c:v>1301.5999999999999</c:v>
                </c:pt>
                <c:pt idx="203">
                  <c:v>1300.4000000000001</c:v>
                </c:pt>
                <c:pt idx="204">
                  <c:v>1368.8</c:v>
                </c:pt>
                <c:pt idx="205">
                  <c:v>1399.7</c:v>
                </c:pt>
                <c:pt idx="206">
                  <c:v>1405</c:v>
                </c:pt>
                <c:pt idx="207">
                  <c:v>1422.4</c:v>
                </c:pt>
                <c:pt idx="208">
                  <c:v>1431.3</c:v>
                </c:pt>
                <c:pt idx="209">
                  <c:v>1420.9</c:v>
                </c:pt>
                <c:pt idx="210">
                  <c:v>1406</c:v>
                </c:pt>
                <c:pt idx="211">
                  <c:v>1407</c:v>
                </c:pt>
                <c:pt idx="212">
                  <c:v>1377.2</c:v>
                </c:pt>
                <c:pt idx="213">
                  <c:v>1436.5</c:v>
                </c:pt>
                <c:pt idx="214">
                  <c:v>1415.7</c:v>
                </c:pt>
                <c:pt idx="215">
                  <c:v>1424.4</c:v>
                </c:pt>
                <c:pt idx="216">
                  <c:v>1454.2</c:v>
                </c:pt>
                <c:pt idx="217">
                  <c:v>1456.4</c:v>
                </c:pt>
                <c:pt idx="218">
                  <c:v>1440.8</c:v>
                </c:pt>
                <c:pt idx="219">
                  <c:v>1424.6</c:v>
                </c:pt>
                <c:pt idx="220">
                  <c:v>1429.2</c:v>
                </c:pt>
                <c:pt idx="221">
                  <c:v>1409.4</c:v>
                </c:pt>
                <c:pt idx="222">
                  <c:v>1426.8</c:v>
                </c:pt>
                <c:pt idx="223">
                  <c:v>1434.8</c:v>
                </c:pt>
                <c:pt idx="224">
                  <c:v>1422.1</c:v>
                </c:pt>
                <c:pt idx="225">
                  <c:v>1412.9</c:v>
                </c:pt>
                <c:pt idx="226">
                  <c:v>1417.8</c:v>
                </c:pt>
                <c:pt idx="227">
                  <c:v>1420.9</c:v>
                </c:pt>
                <c:pt idx="228">
                  <c:v>1413.7</c:v>
                </c:pt>
                <c:pt idx="229">
                  <c:v>1405.5</c:v>
                </c:pt>
                <c:pt idx="230">
                  <c:v>1423.5</c:v>
                </c:pt>
                <c:pt idx="231">
                  <c:v>1442.4</c:v>
                </c:pt>
                <c:pt idx="232">
                  <c:v>1443.5</c:v>
                </c:pt>
                <c:pt idx="233">
                  <c:v>1448.8</c:v>
                </c:pt>
                <c:pt idx="234">
                  <c:v>1438.5</c:v>
                </c:pt>
                <c:pt idx="235">
                  <c:v>1448.9</c:v>
                </c:pt>
                <c:pt idx="236">
                  <c:v>1441.6</c:v>
                </c:pt>
                <c:pt idx="237">
                  <c:v>1427.9</c:v>
                </c:pt>
                <c:pt idx="238">
                  <c:v>1437.8</c:v>
                </c:pt>
                <c:pt idx="239">
                  <c:v>1431.2</c:v>
                </c:pt>
                <c:pt idx="240">
                  <c:v>1430.1</c:v>
                </c:pt>
                <c:pt idx="241">
                  <c:v>1433.3</c:v>
                </c:pt>
                <c:pt idx="242">
                  <c:v>1466.2</c:v>
                </c:pt>
                <c:pt idx="243">
                  <c:v>1456.8</c:v>
                </c:pt>
                <c:pt idx="244">
                  <c:v>1450.8</c:v>
                </c:pt>
                <c:pt idx="245">
                  <c:v>1467.3</c:v>
                </c:pt>
                <c:pt idx="246">
                  <c:v>1495.3</c:v>
                </c:pt>
                <c:pt idx="247">
                  <c:v>1515.4</c:v>
                </c:pt>
                <c:pt idx="248">
                  <c:v>1500.6</c:v>
                </c:pt>
                <c:pt idx="249">
                  <c:v>1528.4</c:v>
                </c:pt>
                <c:pt idx="250">
                  <c:v>1518.8</c:v>
                </c:pt>
                <c:pt idx="251">
                  <c:v>1517.8</c:v>
                </c:pt>
                <c:pt idx="252">
                  <c:v>1527.3</c:v>
                </c:pt>
                <c:pt idx="253">
                  <c:v>1541.5</c:v>
                </c:pt>
                <c:pt idx="254">
                  <c:v>1537.6</c:v>
                </c:pt>
                <c:pt idx="255">
                  <c:v>1519</c:v>
                </c:pt>
                <c:pt idx="256">
                  <c:v>1517.2</c:v>
                </c:pt>
                <c:pt idx="257">
                  <c:v>1495.2</c:v>
                </c:pt>
                <c:pt idx="258">
                  <c:v>1483.7</c:v>
                </c:pt>
                <c:pt idx="259">
                  <c:v>1485.4</c:v>
                </c:pt>
                <c:pt idx="260">
                  <c:v>1485.6</c:v>
                </c:pt>
                <c:pt idx="261">
                  <c:v>1476.4</c:v>
                </c:pt>
                <c:pt idx="262">
                  <c:v>1476</c:v>
                </c:pt>
                <c:pt idx="263">
                  <c:v>1428.6</c:v>
                </c:pt>
                <c:pt idx="264">
                  <c:v>1412.8</c:v>
                </c:pt>
                <c:pt idx="265">
                  <c:v>1424.6</c:v>
                </c:pt>
                <c:pt idx="266">
                  <c:v>1402.9</c:v>
                </c:pt>
                <c:pt idx="267">
                  <c:v>1391.7</c:v>
                </c:pt>
                <c:pt idx="268">
                  <c:v>1387.6</c:v>
                </c:pt>
                <c:pt idx="269">
                  <c:v>1417.1</c:v>
                </c:pt>
                <c:pt idx="270">
                  <c:v>1410.1</c:v>
                </c:pt>
                <c:pt idx="271">
                  <c:v>1390.2</c:v>
                </c:pt>
                <c:pt idx="272">
                  <c:v>1393.7</c:v>
                </c:pt>
                <c:pt idx="273">
                  <c:v>1411.5</c:v>
                </c:pt>
                <c:pt idx="274">
                  <c:v>1391.7</c:v>
                </c:pt>
                <c:pt idx="275">
                  <c:v>1392.8</c:v>
                </c:pt>
                <c:pt idx="276">
                  <c:v>1389.4</c:v>
                </c:pt>
                <c:pt idx="277">
                  <c:v>1367.8</c:v>
                </c:pt>
                <c:pt idx="278">
                  <c:v>1386.2</c:v>
                </c:pt>
                <c:pt idx="279">
                  <c:v>1380.4</c:v>
                </c:pt>
                <c:pt idx="280">
                  <c:v>1382.6</c:v>
                </c:pt>
                <c:pt idx="281">
                  <c:v>1373.8</c:v>
                </c:pt>
                <c:pt idx="282">
                  <c:v>1381.7</c:v>
                </c:pt>
                <c:pt idx="283">
                  <c:v>1420.1</c:v>
                </c:pt>
                <c:pt idx="284">
                  <c:v>1413</c:v>
                </c:pt>
                <c:pt idx="285">
                  <c:v>1424.8</c:v>
                </c:pt>
                <c:pt idx="286">
                  <c:v>1409.2</c:v>
                </c:pt>
                <c:pt idx="287">
                  <c:v>1412.6</c:v>
                </c:pt>
                <c:pt idx="288">
                  <c:v>1384.9</c:v>
                </c:pt>
                <c:pt idx="289">
                  <c:v>1385.9</c:v>
                </c:pt>
                <c:pt idx="290">
                  <c:v>1357.2</c:v>
                </c:pt>
                <c:pt idx="291">
                  <c:v>1353.9</c:v>
                </c:pt>
                <c:pt idx="292">
                  <c:v>1366.5</c:v>
                </c:pt>
                <c:pt idx="293">
                  <c:v>1372.6</c:v>
                </c:pt>
                <c:pt idx="294">
                  <c:v>1359.3</c:v>
                </c:pt>
                <c:pt idx="295">
                  <c:v>1375</c:v>
                </c:pt>
                <c:pt idx="296">
                  <c:v>1378.5</c:v>
                </c:pt>
                <c:pt idx="297">
                  <c:v>1376.2</c:v>
                </c:pt>
                <c:pt idx="298">
                  <c:v>1377</c:v>
                </c:pt>
                <c:pt idx="299">
                  <c:v>1383.3</c:v>
                </c:pt>
                <c:pt idx="300">
                  <c:v>1395</c:v>
                </c:pt>
                <c:pt idx="301">
                  <c:v>1399.3</c:v>
                </c:pt>
                <c:pt idx="302">
                  <c:v>1405.3</c:v>
                </c:pt>
                <c:pt idx="303">
                  <c:v>1413.8</c:v>
                </c:pt>
                <c:pt idx="304">
                  <c:v>1415</c:v>
                </c:pt>
                <c:pt idx="305">
                  <c:v>1407.4</c:v>
                </c:pt>
                <c:pt idx="306">
                  <c:v>1390.6</c:v>
                </c:pt>
                <c:pt idx="307">
                  <c:v>1389.8</c:v>
                </c:pt>
                <c:pt idx="308">
                  <c:v>1383</c:v>
                </c:pt>
                <c:pt idx="309">
                  <c:v>1372.4</c:v>
                </c:pt>
                <c:pt idx="310">
                  <c:v>1377.6</c:v>
                </c:pt>
                <c:pt idx="311">
                  <c:v>1372.8</c:v>
                </c:pt>
                <c:pt idx="312">
                  <c:v>1364</c:v>
                </c:pt>
                <c:pt idx="313">
                  <c:v>1368.7</c:v>
                </c:pt>
                <c:pt idx="314">
                  <c:v>1363.4</c:v>
                </c:pt>
                <c:pt idx="315">
                  <c:v>1375</c:v>
                </c:pt>
                <c:pt idx="316">
                  <c:v>1384.8</c:v>
                </c:pt>
                <c:pt idx="317">
                  <c:v>1367.4</c:v>
                </c:pt>
                <c:pt idx="318">
                  <c:v>1377.8</c:v>
                </c:pt>
                <c:pt idx="319">
                  <c:v>1381.7</c:v>
                </c:pt>
                <c:pt idx="320">
                  <c:v>1375</c:v>
                </c:pt>
                <c:pt idx="321">
                  <c:v>1375.9</c:v>
                </c:pt>
                <c:pt idx="322">
                  <c:v>1374.3</c:v>
                </c:pt>
                <c:pt idx="323">
                  <c:v>1398.3</c:v>
                </c:pt>
                <c:pt idx="324">
                  <c:v>1416.8</c:v>
                </c:pt>
                <c:pt idx="325">
                  <c:v>1466.8</c:v>
                </c:pt>
                <c:pt idx="326">
                  <c:v>1465.2</c:v>
                </c:pt>
                <c:pt idx="327">
                  <c:v>1448.4</c:v>
                </c:pt>
                <c:pt idx="328">
                  <c:v>1451.6</c:v>
                </c:pt>
                <c:pt idx="329">
                  <c:v>1484.1</c:v>
                </c:pt>
                <c:pt idx="330">
                  <c:v>1486.9</c:v>
                </c:pt>
                <c:pt idx="331">
                  <c:v>1504.2</c:v>
                </c:pt>
                <c:pt idx="332">
                  <c:v>1488.5</c:v>
                </c:pt>
                <c:pt idx="333">
                  <c:v>1486.4</c:v>
                </c:pt>
                <c:pt idx="334">
                  <c:v>1484.7</c:v>
                </c:pt>
                <c:pt idx="335">
                  <c:v>1473.1</c:v>
                </c:pt>
                <c:pt idx="336">
                  <c:v>1496.1</c:v>
                </c:pt>
                <c:pt idx="337">
                  <c:v>1478</c:v>
                </c:pt>
                <c:pt idx="338">
                  <c:v>1489.3</c:v>
                </c:pt>
                <c:pt idx="339">
                  <c:v>1493.4</c:v>
                </c:pt>
                <c:pt idx="340">
                  <c:v>1511.5</c:v>
                </c:pt>
                <c:pt idx="341">
                  <c:v>1510.9</c:v>
                </c:pt>
                <c:pt idx="342">
                  <c:v>1518.9</c:v>
                </c:pt>
                <c:pt idx="343">
                  <c:v>1518.3</c:v>
                </c:pt>
                <c:pt idx="344">
                  <c:v>1519.4</c:v>
                </c:pt>
                <c:pt idx="345">
                  <c:v>1518.9</c:v>
                </c:pt>
                <c:pt idx="346">
                  <c:v>1549.1</c:v>
                </c:pt>
                <c:pt idx="347">
                  <c:v>1546.6</c:v>
                </c:pt>
                <c:pt idx="348">
                  <c:v>1535.9</c:v>
                </c:pt>
                <c:pt idx="349">
                  <c:v>1539.7</c:v>
                </c:pt>
                <c:pt idx="350">
                  <c:v>1569.9</c:v>
                </c:pt>
                <c:pt idx="351">
                  <c:v>1563.4</c:v>
                </c:pt>
                <c:pt idx="352">
                  <c:v>1567.5</c:v>
                </c:pt>
                <c:pt idx="353">
                  <c:v>1566.1</c:v>
                </c:pt>
                <c:pt idx="354">
                  <c:v>1546.3</c:v>
                </c:pt>
                <c:pt idx="355">
                  <c:v>1538.8</c:v>
                </c:pt>
                <c:pt idx="356">
                  <c:v>1535.6</c:v>
                </c:pt>
                <c:pt idx="357">
                  <c:v>1540.6</c:v>
                </c:pt>
                <c:pt idx="358">
                  <c:v>1543</c:v>
                </c:pt>
                <c:pt idx="359">
                  <c:v>1529.4</c:v>
                </c:pt>
                <c:pt idx="360">
                  <c:v>1536.9</c:v>
                </c:pt>
                <c:pt idx="361">
                  <c:v>1545</c:v>
                </c:pt>
                <c:pt idx="362">
                  <c:v>1556.5</c:v>
                </c:pt>
                <c:pt idx="363">
                  <c:v>1556.2</c:v>
                </c:pt>
                <c:pt idx="364">
                  <c:v>1542.3</c:v>
                </c:pt>
                <c:pt idx="365">
                  <c:v>1544.4</c:v>
                </c:pt>
                <c:pt idx="366">
                  <c:v>1544.4</c:v>
                </c:pt>
                <c:pt idx="367">
                  <c:v>1565.1</c:v>
                </c:pt>
                <c:pt idx="368">
                  <c:v>1575.4</c:v>
                </c:pt>
                <c:pt idx="369">
                  <c:v>1570.7</c:v>
                </c:pt>
                <c:pt idx="370">
                  <c:v>1558.2</c:v>
                </c:pt>
                <c:pt idx="371">
                  <c:v>1559.2</c:v>
                </c:pt>
                <c:pt idx="372">
                  <c:v>1545.6</c:v>
                </c:pt>
                <c:pt idx="373">
                  <c:v>1539.8</c:v>
                </c:pt>
                <c:pt idx="374">
                  <c:v>1570.4</c:v>
                </c:pt>
                <c:pt idx="375">
                  <c:v>1575.6</c:v>
                </c:pt>
                <c:pt idx="376">
                  <c:v>1592.3</c:v>
                </c:pt>
                <c:pt idx="377">
                  <c:v>1578.1</c:v>
                </c:pt>
                <c:pt idx="378">
                  <c:v>1507.6</c:v>
                </c:pt>
                <c:pt idx="379">
                  <c:v>1504.2</c:v>
                </c:pt>
                <c:pt idx="380">
                  <c:v>1470.6</c:v>
                </c:pt>
                <c:pt idx="381">
                  <c:v>1475.3</c:v>
                </c:pt>
                <c:pt idx="382">
                  <c:v>1483.2</c:v>
                </c:pt>
                <c:pt idx="383">
                  <c:v>1452.8</c:v>
                </c:pt>
                <c:pt idx="384">
                  <c:v>1458.8</c:v>
                </c:pt>
                <c:pt idx="385">
                  <c:v>1457.9</c:v>
                </c:pt>
                <c:pt idx="386">
                  <c:v>1413.6</c:v>
                </c:pt>
                <c:pt idx="387">
                  <c:v>1394</c:v>
                </c:pt>
                <c:pt idx="388">
                  <c:v>1404.6</c:v>
                </c:pt>
                <c:pt idx="389">
                  <c:v>1402.5</c:v>
                </c:pt>
                <c:pt idx="390">
                  <c:v>1386.1</c:v>
                </c:pt>
                <c:pt idx="391">
                  <c:v>1380.5</c:v>
                </c:pt>
                <c:pt idx="392">
                  <c:v>1396.7</c:v>
                </c:pt>
                <c:pt idx="393">
                  <c:v>1391</c:v>
                </c:pt>
                <c:pt idx="394">
                  <c:v>1395.4</c:v>
                </c:pt>
                <c:pt idx="395">
                  <c:v>1347</c:v>
                </c:pt>
                <c:pt idx="396">
                  <c:v>1390.4</c:v>
                </c:pt>
                <c:pt idx="397">
                  <c:v>1437.1</c:v>
                </c:pt>
                <c:pt idx="398">
                  <c:v>1456.8</c:v>
                </c:pt>
                <c:pt idx="399">
                  <c:v>1443.4</c:v>
                </c:pt>
                <c:pt idx="400">
                  <c:v>1450.8</c:v>
                </c:pt>
                <c:pt idx="401">
                  <c:v>1461.6</c:v>
                </c:pt>
                <c:pt idx="402">
                  <c:v>1458.5</c:v>
                </c:pt>
                <c:pt idx="403">
                  <c:v>1468.7</c:v>
                </c:pt>
                <c:pt idx="404">
                  <c:v>1448.9</c:v>
                </c:pt>
                <c:pt idx="405">
                  <c:v>1419.6</c:v>
                </c:pt>
                <c:pt idx="406">
                  <c:v>1437.1</c:v>
                </c:pt>
                <c:pt idx="407">
                  <c:v>1423</c:v>
                </c:pt>
                <c:pt idx="408">
                  <c:v>1441.3</c:v>
                </c:pt>
                <c:pt idx="409">
                  <c:v>1409.5</c:v>
                </c:pt>
                <c:pt idx="410">
                  <c:v>1419.4</c:v>
                </c:pt>
                <c:pt idx="411">
                  <c:v>1428</c:v>
                </c:pt>
                <c:pt idx="412">
                  <c:v>1428.8</c:v>
                </c:pt>
                <c:pt idx="413">
                  <c:v>1398.5</c:v>
                </c:pt>
                <c:pt idx="414">
                  <c:v>1406.8</c:v>
                </c:pt>
                <c:pt idx="415">
                  <c:v>1393.9</c:v>
                </c:pt>
                <c:pt idx="416">
                  <c:v>1358</c:v>
                </c:pt>
                <c:pt idx="417">
                  <c:v>1345</c:v>
                </c:pt>
                <c:pt idx="418">
                  <c:v>1389.4</c:v>
                </c:pt>
                <c:pt idx="419">
                  <c:v>1404.8</c:v>
                </c:pt>
                <c:pt idx="420">
                  <c:v>1424</c:v>
                </c:pt>
                <c:pt idx="421">
                  <c:v>1408.8</c:v>
                </c:pt>
                <c:pt idx="422">
                  <c:v>1390.2</c:v>
                </c:pt>
                <c:pt idx="423">
                  <c:v>1392.2</c:v>
                </c:pt>
                <c:pt idx="424">
                  <c:v>1380.7</c:v>
                </c:pt>
                <c:pt idx="425">
                  <c:v>1395.1</c:v>
                </c:pt>
                <c:pt idx="426">
                  <c:v>1397.6</c:v>
                </c:pt>
                <c:pt idx="427">
                  <c:v>1408.1</c:v>
                </c:pt>
                <c:pt idx="428">
                  <c:v>1384.8</c:v>
                </c:pt>
                <c:pt idx="429">
                  <c:v>1414.4</c:v>
                </c:pt>
                <c:pt idx="430">
                  <c:v>1407.8</c:v>
                </c:pt>
                <c:pt idx="431">
                  <c:v>1411.8</c:v>
                </c:pt>
                <c:pt idx="432">
                  <c:v>1413.1</c:v>
                </c:pt>
                <c:pt idx="433">
                  <c:v>1348.1</c:v>
                </c:pt>
                <c:pt idx="434">
                  <c:v>1343.9</c:v>
                </c:pt>
                <c:pt idx="435">
                  <c:v>1369.2</c:v>
                </c:pt>
                <c:pt idx="436">
                  <c:v>1350.5</c:v>
                </c:pt>
                <c:pt idx="437">
                  <c:v>1304.7</c:v>
                </c:pt>
                <c:pt idx="438">
                  <c:v>1304.5999999999999</c:v>
                </c:pt>
                <c:pt idx="439">
                  <c:v>1347.8</c:v>
                </c:pt>
                <c:pt idx="440">
                  <c:v>1330</c:v>
                </c:pt>
                <c:pt idx="441">
                  <c:v>1350.2</c:v>
                </c:pt>
                <c:pt idx="442">
                  <c:v>1315.1</c:v>
                </c:pt>
                <c:pt idx="443">
                  <c:v>1344.1</c:v>
                </c:pt>
                <c:pt idx="444">
                  <c:v>1343.3</c:v>
                </c:pt>
                <c:pt idx="445">
                  <c:v>1365</c:v>
                </c:pt>
                <c:pt idx="446">
                  <c:v>1363.3</c:v>
                </c:pt>
                <c:pt idx="447">
                  <c:v>1353.3</c:v>
                </c:pt>
                <c:pt idx="448">
                  <c:v>1362.1</c:v>
                </c:pt>
                <c:pt idx="449">
                  <c:v>1343.4</c:v>
                </c:pt>
                <c:pt idx="450">
                  <c:v>1327.8</c:v>
                </c:pt>
                <c:pt idx="451">
                  <c:v>1365.8</c:v>
                </c:pt>
                <c:pt idx="452">
                  <c:v>1388.9</c:v>
                </c:pt>
                <c:pt idx="453">
                  <c:v>1425.4</c:v>
                </c:pt>
                <c:pt idx="454">
                  <c:v>1430.8</c:v>
                </c:pt>
                <c:pt idx="455">
                  <c:v>1463.1</c:v>
                </c:pt>
                <c:pt idx="456">
                  <c:v>1463.6</c:v>
                </c:pt>
                <c:pt idx="457">
                  <c:v>1437.9</c:v>
                </c:pt>
                <c:pt idx="458">
                  <c:v>1436.2</c:v>
                </c:pt>
                <c:pt idx="459">
                  <c:v>1435.2</c:v>
                </c:pt>
                <c:pt idx="460">
                  <c:v>1388.2</c:v>
                </c:pt>
                <c:pt idx="461">
                  <c:v>1364</c:v>
                </c:pt>
                <c:pt idx="462">
                  <c:v>1358.8</c:v>
                </c:pt>
                <c:pt idx="463">
                  <c:v>1361.8</c:v>
                </c:pt>
                <c:pt idx="464">
                  <c:v>1336.4</c:v>
                </c:pt>
                <c:pt idx="465">
                  <c:v>1335.9</c:v>
                </c:pt>
                <c:pt idx="466">
                  <c:v>1322.7</c:v>
                </c:pt>
                <c:pt idx="467">
                  <c:v>1359.7</c:v>
                </c:pt>
                <c:pt idx="468">
                  <c:v>1349.6</c:v>
                </c:pt>
                <c:pt idx="469">
                  <c:v>1354.5</c:v>
                </c:pt>
                <c:pt idx="470">
                  <c:v>1367</c:v>
                </c:pt>
                <c:pt idx="471">
                  <c:v>1356.3</c:v>
                </c:pt>
                <c:pt idx="472">
                  <c:v>1350.5</c:v>
                </c:pt>
                <c:pt idx="473">
                  <c:v>1321.2</c:v>
                </c:pt>
                <c:pt idx="474">
                  <c:v>1320</c:v>
                </c:pt>
                <c:pt idx="475">
                  <c:v>1314.6</c:v>
                </c:pt>
                <c:pt idx="476">
                  <c:v>1313.2</c:v>
                </c:pt>
                <c:pt idx="477">
                  <c:v>1303.7</c:v>
                </c:pt>
                <c:pt idx="478">
                  <c:v>1291</c:v>
                </c:pt>
                <c:pt idx="479">
                  <c:v>1263.3</c:v>
                </c:pt>
                <c:pt idx="480">
                  <c:v>1269.2</c:v>
                </c:pt>
                <c:pt idx="481">
                  <c:v>1258.8</c:v>
                </c:pt>
                <c:pt idx="482">
                  <c:v>1263</c:v>
                </c:pt>
                <c:pt idx="483">
                  <c:v>1293</c:v>
                </c:pt>
                <c:pt idx="484">
                  <c:v>1307</c:v>
                </c:pt>
                <c:pt idx="485">
                  <c:v>1328.8</c:v>
                </c:pt>
                <c:pt idx="486">
                  <c:v>1332.7</c:v>
                </c:pt>
                <c:pt idx="487">
                  <c:v>1328.1</c:v>
                </c:pt>
                <c:pt idx="488">
                  <c:v>1309.5</c:v>
                </c:pt>
                <c:pt idx="489">
                  <c:v>1326.5</c:v>
                </c:pt>
                <c:pt idx="490">
                  <c:v>1309.5</c:v>
                </c:pt>
                <c:pt idx="491">
                  <c:v>1313.6</c:v>
                </c:pt>
                <c:pt idx="492">
                  <c:v>1318.1</c:v>
                </c:pt>
                <c:pt idx="493">
                  <c:v>1301</c:v>
                </c:pt>
                <c:pt idx="494">
                  <c:v>1293.9000000000001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FBE-42C4-8DEE-74F6E5C49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973733"/>
        <c:axId val="37037601"/>
      </c:lineChart>
      <c:dateAx>
        <c:axId val="506613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928869"/>
        <c:crosses val="autoZero"/>
        <c:auto val="1"/>
        <c:lblOffset val="100"/>
        <c:baseTimeUnit val="days"/>
      </c:dateAx>
      <c:valAx>
        <c:axId val="3292886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61346"/>
        <c:crosses val="autoZero"/>
        <c:crossBetween val="between"/>
      </c:valAx>
      <c:dateAx>
        <c:axId val="219737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37601"/>
        <c:crosses val="autoZero"/>
        <c:auto val="1"/>
        <c:lblOffset val="100"/>
        <c:baseTimeUnit val="days"/>
      </c:dateAx>
      <c:valAx>
        <c:axId val="3703760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Close Price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973733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DR.REDDY'S: Price vs Volume (2Y Daily)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'DR.REDDY''S'!$L$1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'DR.REDDY''S'!$A$2:$A$496</c:f>
              <c:numCache>
                <c:formatCode>d\-mmm\-yy</c:formatCode>
                <c:ptCount val="495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45614</c:v>
                </c:pt>
                <c:pt idx="97">
                  <c:v>45615</c:v>
                </c:pt>
                <c:pt idx="98">
                  <c:v>45617</c:v>
                </c:pt>
                <c:pt idx="99">
                  <c:v>45618</c:v>
                </c:pt>
                <c:pt idx="100">
                  <c:v>45621</c:v>
                </c:pt>
                <c:pt idx="101">
                  <c:v>45622</c:v>
                </c:pt>
                <c:pt idx="102">
                  <c:v>45623</c:v>
                </c:pt>
                <c:pt idx="103">
                  <c:v>45624</c:v>
                </c:pt>
                <c:pt idx="104">
                  <c:v>45625</c:v>
                </c:pt>
                <c:pt idx="105">
                  <c:v>45628</c:v>
                </c:pt>
                <c:pt idx="106">
                  <c:v>45629</c:v>
                </c:pt>
                <c:pt idx="107">
                  <c:v>45630</c:v>
                </c:pt>
                <c:pt idx="108">
                  <c:v>45631</c:v>
                </c:pt>
                <c:pt idx="109">
                  <c:v>45632</c:v>
                </c:pt>
                <c:pt idx="110">
                  <c:v>45635</c:v>
                </c:pt>
                <c:pt idx="111">
                  <c:v>45636</c:v>
                </c:pt>
                <c:pt idx="112">
                  <c:v>45637</c:v>
                </c:pt>
                <c:pt idx="113">
                  <c:v>45638</c:v>
                </c:pt>
                <c:pt idx="114">
                  <c:v>45639</c:v>
                </c:pt>
                <c:pt idx="115">
                  <c:v>45642</c:v>
                </c:pt>
                <c:pt idx="116">
                  <c:v>45643</c:v>
                </c:pt>
                <c:pt idx="117">
                  <c:v>45644</c:v>
                </c:pt>
                <c:pt idx="118">
                  <c:v>45645</c:v>
                </c:pt>
                <c:pt idx="119">
                  <c:v>45646</c:v>
                </c:pt>
                <c:pt idx="120">
                  <c:v>45649</c:v>
                </c:pt>
                <c:pt idx="121">
                  <c:v>45650</c:v>
                </c:pt>
                <c:pt idx="122">
                  <c:v>45652</c:v>
                </c:pt>
                <c:pt idx="123">
                  <c:v>45653</c:v>
                </c:pt>
                <c:pt idx="124">
                  <c:v>45656</c:v>
                </c:pt>
                <c:pt idx="125">
                  <c:v>45657</c:v>
                </c:pt>
                <c:pt idx="126">
                  <c:v>45658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45666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45677</c:v>
                </c:pt>
                <c:pt idx="140">
                  <c:v>45678</c:v>
                </c:pt>
                <c:pt idx="141">
                  <c:v>45679</c:v>
                </c:pt>
                <c:pt idx="142">
                  <c:v>45680</c:v>
                </c:pt>
                <c:pt idx="143">
                  <c:v>45681</c:v>
                </c:pt>
                <c:pt idx="144">
                  <c:v>45684</c:v>
                </c:pt>
                <c:pt idx="145">
                  <c:v>45685</c:v>
                </c:pt>
                <c:pt idx="146">
                  <c:v>45686</c:v>
                </c:pt>
                <c:pt idx="147">
                  <c:v>45687</c:v>
                </c:pt>
                <c:pt idx="148">
                  <c:v>45688</c:v>
                </c:pt>
                <c:pt idx="149">
                  <c:v>45689</c:v>
                </c:pt>
                <c:pt idx="150">
                  <c:v>45691</c:v>
                </c:pt>
                <c:pt idx="151">
                  <c:v>45692</c:v>
                </c:pt>
                <c:pt idx="152">
                  <c:v>45693</c:v>
                </c:pt>
                <c:pt idx="153">
                  <c:v>45694</c:v>
                </c:pt>
                <c:pt idx="154">
                  <c:v>45695</c:v>
                </c:pt>
                <c:pt idx="155">
                  <c:v>45698</c:v>
                </c:pt>
                <c:pt idx="156">
                  <c:v>45699</c:v>
                </c:pt>
                <c:pt idx="157">
                  <c:v>45700</c:v>
                </c:pt>
                <c:pt idx="158">
                  <c:v>45701</c:v>
                </c:pt>
                <c:pt idx="159">
                  <c:v>45702</c:v>
                </c:pt>
                <c:pt idx="160">
                  <c:v>45705</c:v>
                </c:pt>
                <c:pt idx="161">
                  <c:v>45706</c:v>
                </c:pt>
                <c:pt idx="162">
                  <c:v>45707</c:v>
                </c:pt>
                <c:pt idx="163">
                  <c:v>45708</c:v>
                </c:pt>
                <c:pt idx="164">
                  <c:v>45709</c:v>
                </c:pt>
                <c:pt idx="165">
                  <c:v>45712</c:v>
                </c:pt>
                <c:pt idx="166">
                  <c:v>45713</c:v>
                </c:pt>
                <c:pt idx="167">
                  <c:v>45715</c:v>
                </c:pt>
                <c:pt idx="168">
                  <c:v>45716</c:v>
                </c:pt>
                <c:pt idx="169">
                  <c:v>45719</c:v>
                </c:pt>
                <c:pt idx="170">
                  <c:v>45720</c:v>
                </c:pt>
                <c:pt idx="171">
                  <c:v>45721</c:v>
                </c:pt>
                <c:pt idx="172">
                  <c:v>45722</c:v>
                </c:pt>
                <c:pt idx="173">
                  <c:v>45723</c:v>
                </c:pt>
                <c:pt idx="174">
                  <c:v>45726</c:v>
                </c:pt>
                <c:pt idx="175">
                  <c:v>45727</c:v>
                </c:pt>
                <c:pt idx="176">
                  <c:v>45728</c:v>
                </c:pt>
                <c:pt idx="177">
                  <c:v>45729</c:v>
                </c:pt>
                <c:pt idx="178">
                  <c:v>45733</c:v>
                </c:pt>
                <c:pt idx="179">
                  <c:v>45734</c:v>
                </c:pt>
                <c:pt idx="180">
                  <c:v>45735</c:v>
                </c:pt>
                <c:pt idx="181">
                  <c:v>45736</c:v>
                </c:pt>
                <c:pt idx="182">
                  <c:v>45737</c:v>
                </c:pt>
                <c:pt idx="183">
                  <c:v>45740</c:v>
                </c:pt>
                <c:pt idx="184">
                  <c:v>45741</c:v>
                </c:pt>
                <c:pt idx="185">
                  <c:v>45742</c:v>
                </c:pt>
                <c:pt idx="186">
                  <c:v>45743</c:v>
                </c:pt>
                <c:pt idx="187">
                  <c:v>45744</c:v>
                </c:pt>
                <c:pt idx="188">
                  <c:v>45748</c:v>
                </c:pt>
                <c:pt idx="189">
                  <c:v>45749</c:v>
                </c:pt>
                <c:pt idx="190">
                  <c:v>45750</c:v>
                </c:pt>
                <c:pt idx="191">
                  <c:v>45751</c:v>
                </c:pt>
                <c:pt idx="192">
                  <c:v>45754</c:v>
                </c:pt>
                <c:pt idx="193">
                  <c:v>45755</c:v>
                </c:pt>
                <c:pt idx="194">
                  <c:v>45756</c:v>
                </c:pt>
                <c:pt idx="195">
                  <c:v>45758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45798</c:v>
                </c:pt>
                <c:pt idx="221">
                  <c:v>45799</c:v>
                </c:pt>
                <c:pt idx="222">
                  <c:v>45800</c:v>
                </c:pt>
                <c:pt idx="223">
                  <c:v>45803</c:v>
                </c:pt>
                <c:pt idx="224">
                  <c:v>45804</c:v>
                </c:pt>
                <c:pt idx="225">
                  <c:v>45805</c:v>
                </c:pt>
                <c:pt idx="226">
                  <c:v>45806</c:v>
                </c:pt>
                <c:pt idx="227">
                  <c:v>45807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45817</c:v>
                </c:pt>
                <c:pt idx="234">
                  <c:v>45818</c:v>
                </c:pt>
                <c:pt idx="235">
                  <c:v>45819</c:v>
                </c:pt>
                <c:pt idx="236">
                  <c:v>45820</c:v>
                </c:pt>
                <c:pt idx="237">
                  <c:v>45821</c:v>
                </c:pt>
                <c:pt idx="238">
                  <c:v>45824</c:v>
                </c:pt>
                <c:pt idx="239">
                  <c:v>45825</c:v>
                </c:pt>
                <c:pt idx="240">
                  <c:v>45826</c:v>
                </c:pt>
                <c:pt idx="241">
                  <c:v>45827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45842</c:v>
                </c:pt>
                <c:pt idx="253">
                  <c:v>45845</c:v>
                </c:pt>
                <c:pt idx="254">
                  <c:v>45846</c:v>
                </c:pt>
                <c:pt idx="255">
                  <c:v>45847</c:v>
                </c:pt>
                <c:pt idx="256">
                  <c:v>45848</c:v>
                </c:pt>
                <c:pt idx="257">
                  <c:v>45849</c:v>
                </c:pt>
                <c:pt idx="258">
                  <c:v>45852</c:v>
                </c:pt>
                <c:pt idx="259">
                  <c:v>45853</c:v>
                </c:pt>
                <c:pt idx="260">
                  <c:v>45854</c:v>
                </c:pt>
                <c:pt idx="261">
                  <c:v>45855</c:v>
                </c:pt>
                <c:pt idx="262">
                  <c:v>45856</c:v>
                </c:pt>
                <c:pt idx="263">
                  <c:v>45859</c:v>
                </c:pt>
                <c:pt idx="264">
                  <c:v>45860</c:v>
                </c:pt>
                <c:pt idx="265">
                  <c:v>45861</c:v>
                </c:pt>
                <c:pt idx="266">
                  <c:v>45862</c:v>
                </c:pt>
                <c:pt idx="267">
                  <c:v>45863</c:v>
                </c:pt>
                <c:pt idx="268">
                  <c:v>45866</c:v>
                </c:pt>
                <c:pt idx="269">
                  <c:v>45867</c:v>
                </c:pt>
                <c:pt idx="270">
                  <c:v>45868</c:v>
                </c:pt>
                <c:pt idx="271">
                  <c:v>45869</c:v>
                </c:pt>
                <c:pt idx="272">
                  <c:v>45870</c:v>
                </c:pt>
                <c:pt idx="273">
                  <c:v>45873</c:v>
                </c:pt>
                <c:pt idx="274">
                  <c:v>45874</c:v>
                </c:pt>
                <c:pt idx="275">
                  <c:v>45875</c:v>
                </c:pt>
                <c:pt idx="276">
                  <c:v>45876</c:v>
                </c:pt>
                <c:pt idx="277">
                  <c:v>45877</c:v>
                </c:pt>
                <c:pt idx="278">
                  <c:v>45880</c:v>
                </c:pt>
                <c:pt idx="279">
                  <c:v>45881</c:v>
                </c:pt>
                <c:pt idx="280">
                  <c:v>45882</c:v>
                </c:pt>
                <c:pt idx="281">
                  <c:v>45883</c:v>
                </c:pt>
                <c:pt idx="282">
                  <c:v>45887</c:v>
                </c:pt>
                <c:pt idx="283">
                  <c:v>45888</c:v>
                </c:pt>
                <c:pt idx="284">
                  <c:v>45889</c:v>
                </c:pt>
                <c:pt idx="285">
                  <c:v>45890</c:v>
                </c:pt>
                <c:pt idx="286">
                  <c:v>45891</c:v>
                </c:pt>
                <c:pt idx="287">
                  <c:v>45894</c:v>
                </c:pt>
                <c:pt idx="288">
                  <c:v>45895</c:v>
                </c:pt>
                <c:pt idx="289">
                  <c:v>45897</c:v>
                </c:pt>
                <c:pt idx="290">
                  <c:v>45898</c:v>
                </c:pt>
                <c:pt idx="291">
                  <c:v>45901</c:v>
                </c:pt>
                <c:pt idx="292">
                  <c:v>45902</c:v>
                </c:pt>
                <c:pt idx="293">
                  <c:v>45903</c:v>
                </c:pt>
                <c:pt idx="294">
                  <c:v>45904</c:v>
                </c:pt>
                <c:pt idx="295">
                  <c:v>45905</c:v>
                </c:pt>
                <c:pt idx="296">
                  <c:v>45908</c:v>
                </c:pt>
                <c:pt idx="297">
                  <c:v>45909</c:v>
                </c:pt>
                <c:pt idx="298">
                  <c:v>45910</c:v>
                </c:pt>
                <c:pt idx="299">
                  <c:v>45911</c:v>
                </c:pt>
                <c:pt idx="300">
                  <c:v>45912</c:v>
                </c:pt>
                <c:pt idx="301">
                  <c:v>45915</c:v>
                </c:pt>
                <c:pt idx="302">
                  <c:v>45916</c:v>
                </c:pt>
                <c:pt idx="303">
                  <c:v>45917</c:v>
                </c:pt>
                <c:pt idx="304">
                  <c:v>45918</c:v>
                </c:pt>
                <c:pt idx="305">
                  <c:v>45919</c:v>
                </c:pt>
                <c:pt idx="306">
                  <c:v>45922</c:v>
                </c:pt>
                <c:pt idx="307">
                  <c:v>45923</c:v>
                </c:pt>
                <c:pt idx="308">
                  <c:v>45924</c:v>
                </c:pt>
                <c:pt idx="309">
                  <c:v>45925</c:v>
                </c:pt>
                <c:pt idx="310">
                  <c:v>45926</c:v>
                </c:pt>
                <c:pt idx="311">
                  <c:v>45929</c:v>
                </c:pt>
                <c:pt idx="312">
                  <c:v>45930</c:v>
                </c:pt>
                <c:pt idx="313">
                  <c:v>45931</c:v>
                </c:pt>
                <c:pt idx="314">
                  <c:v>45933</c:v>
                </c:pt>
                <c:pt idx="315">
                  <c:v>45936</c:v>
                </c:pt>
                <c:pt idx="316">
                  <c:v>45937</c:v>
                </c:pt>
                <c:pt idx="317">
                  <c:v>45938</c:v>
                </c:pt>
                <c:pt idx="318">
                  <c:v>45939</c:v>
                </c:pt>
                <c:pt idx="319">
                  <c:v>45940</c:v>
                </c:pt>
                <c:pt idx="320">
                  <c:v>45943</c:v>
                </c:pt>
                <c:pt idx="321">
                  <c:v>45944</c:v>
                </c:pt>
                <c:pt idx="322">
                  <c:v>45945</c:v>
                </c:pt>
                <c:pt idx="323">
                  <c:v>45946</c:v>
                </c:pt>
                <c:pt idx="324">
                  <c:v>45947</c:v>
                </c:pt>
                <c:pt idx="325">
                  <c:v>45950</c:v>
                </c:pt>
                <c:pt idx="326">
                  <c:v>45951</c:v>
                </c:pt>
                <c:pt idx="327">
                  <c:v>45953</c:v>
                </c:pt>
                <c:pt idx="328">
                  <c:v>45954</c:v>
                </c:pt>
                <c:pt idx="329">
                  <c:v>45957</c:v>
                </c:pt>
                <c:pt idx="330">
                  <c:v>45958</c:v>
                </c:pt>
                <c:pt idx="331">
                  <c:v>45959</c:v>
                </c:pt>
                <c:pt idx="332">
                  <c:v>45960</c:v>
                </c:pt>
                <c:pt idx="333">
                  <c:v>45961</c:v>
                </c:pt>
                <c:pt idx="334">
                  <c:v>45964</c:v>
                </c:pt>
                <c:pt idx="335">
                  <c:v>45965</c:v>
                </c:pt>
                <c:pt idx="336">
                  <c:v>45967</c:v>
                </c:pt>
                <c:pt idx="337">
                  <c:v>45968</c:v>
                </c:pt>
                <c:pt idx="338">
                  <c:v>45971</c:v>
                </c:pt>
                <c:pt idx="339">
                  <c:v>45972</c:v>
                </c:pt>
                <c:pt idx="340">
                  <c:v>45973</c:v>
                </c:pt>
                <c:pt idx="341">
                  <c:v>45974</c:v>
                </c:pt>
                <c:pt idx="342">
                  <c:v>45975</c:v>
                </c:pt>
                <c:pt idx="343">
                  <c:v>45978</c:v>
                </c:pt>
                <c:pt idx="344">
                  <c:v>45979</c:v>
                </c:pt>
                <c:pt idx="345">
                  <c:v>45980</c:v>
                </c:pt>
                <c:pt idx="346">
                  <c:v>45981</c:v>
                </c:pt>
                <c:pt idx="347">
                  <c:v>45982</c:v>
                </c:pt>
                <c:pt idx="348">
                  <c:v>45985</c:v>
                </c:pt>
                <c:pt idx="349">
                  <c:v>45986</c:v>
                </c:pt>
                <c:pt idx="350">
                  <c:v>45987</c:v>
                </c:pt>
                <c:pt idx="351">
                  <c:v>45988</c:v>
                </c:pt>
                <c:pt idx="352">
                  <c:v>45989</c:v>
                </c:pt>
                <c:pt idx="353">
                  <c:v>45992</c:v>
                </c:pt>
                <c:pt idx="354">
                  <c:v>45993</c:v>
                </c:pt>
                <c:pt idx="355">
                  <c:v>45994</c:v>
                </c:pt>
                <c:pt idx="356">
                  <c:v>45995</c:v>
                </c:pt>
                <c:pt idx="357">
                  <c:v>45996</c:v>
                </c:pt>
                <c:pt idx="358">
                  <c:v>45999</c:v>
                </c:pt>
                <c:pt idx="359">
                  <c:v>46000</c:v>
                </c:pt>
                <c:pt idx="360">
                  <c:v>46001</c:v>
                </c:pt>
                <c:pt idx="361">
                  <c:v>46002</c:v>
                </c:pt>
                <c:pt idx="362">
                  <c:v>46003</c:v>
                </c:pt>
                <c:pt idx="363">
                  <c:v>46006</c:v>
                </c:pt>
                <c:pt idx="364">
                  <c:v>46007</c:v>
                </c:pt>
                <c:pt idx="365">
                  <c:v>46008</c:v>
                </c:pt>
                <c:pt idx="366">
                  <c:v>46009</c:v>
                </c:pt>
                <c:pt idx="367">
                  <c:v>46010</c:v>
                </c:pt>
                <c:pt idx="368">
                  <c:v>46013</c:v>
                </c:pt>
                <c:pt idx="369">
                  <c:v>46014</c:v>
                </c:pt>
                <c:pt idx="370">
                  <c:v>46015</c:v>
                </c:pt>
                <c:pt idx="371">
                  <c:v>46017</c:v>
                </c:pt>
                <c:pt idx="372">
                  <c:v>46020</c:v>
                </c:pt>
                <c:pt idx="373">
                  <c:v>46021</c:v>
                </c:pt>
                <c:pt idx="374">
                  <c:v>46022</c:v>
                </c:pt>
                <c:pt idx="375">
                  <c:v>46023</c:v>
                </c:pt>
                <c:pt idx="376">
                  <c:v>46024</c:v>
                </c:pt>
                <c:pt idx="377">
                  <c:v>46027</c:v>
                </c:pt>
                <c:pt idx="378">
                  <c:v>46028</c:v>
                </c:pt>
                <c:pt idx="379">
                  <c:v>46029</c:v>
                </c:pt>
                <c:pt idx="380">
                  <c:v>46030</c:v>
                </c:pt>
                <c:pt idx="381">
                  <c:v>46031</c:v>
                </c:pt>
                <c:pt idx="382">
                  <c:v>46034</c:v>
                </c:pt>
                <c:pt idx="383">
                  <c:v>46035</c:v>
                </c:pt>
                <c:pt idx="384">
                  <c:v>46036</c:v>
                </c:pt>
                <c:pt idx="385">
                  <c:v>46038</c:v>
                </c:pt>
                <c:pt idx="386">
                  <c:v>46041</c:v>
                </c:pt>
                <c:pt idx="387">
                  <c:v>46042</c:v>
                </c:pt>
                <c:pt idx="388">
                  <c:v>46043</c:v>
                </c:pt>
                <c:pt idx="389">
                  <c:v>46044</c:v>
                </c:pt>
                <c:pt idx="390">
                  <c:v>46045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46062</c:v>
                </c:pt>
                <c:pt idx="402">
                  <c:v>46063</c:v>
                </c:pt>
                <c:pt idx="403">
                  <c:v>46064</c:v>
                </c:pt>
                <c:pt idx="404">
                  <c:v>46065</c:v>
                </c:pt>
                <c:pt idx="405">
                  <c:v>46066</c:v>
                </c:pt>
                <c:pt idx="406">
                  <c:v>46069</c:v>
                </c:pt>
                <c:pt idx="407">
                  <c:v>46070</c:v>
                </c:pt>
                <c:pt idx="408">
                  <c:v>46071</c:v>
                </c:pt>
                <c:pt idx="409">
                  <c:v>46072</c:v>
                </c:pt>
                <c:pt idx="410">
                  <c:v>46073</c:v>
                </c:pt>
                <c:pt idx="411">
                  <c:v>46076</c:v>
                </c:pt>
                <c:pt idx="412">
                  <c:v>46077</c:v>
                </c:pt>
                <c:pt idx="413">
                  <c:v>46078</c:v>
                </c:pt>
                <c:pt idx="414">
                  <c:v>46079</c:v>
                </c:pt>
                <c:pt idx="415">
                  <c:v>46080</c:v>
                </c:pt>
                <c:pt idx="416">
                  <c:v>46083</c:v>
                </c:pt>
                <c:pt idx="417">
                  <c:v>46085</c:v>
                </c:pt>
                <c:pt idx="418">
                  <c:v>46086</c:v>
                </c:pt>
                <c:pt idx="419">
                  <c:v>46087</c:v>
                </c:pt>
                <c:pt idx="420">
                  <c:v>46090</c:v>
                </c:pt>
                <c:pt idx="421">
                  <c:v>46091</c:v>
                </c:pt>
                <c:pt idx="422">
                  <c:v>46092</c:v>
                </c:pt>
                <c:pt idx="423">
                  <c:v>46093</c:v>
                </c:pt>
                <c:pt idx="424">
                  <c:v>46094</c:v>
                </c:pt>
                <c:pt idx="425">
                  <c:v>46097</c:v>
                </c:pt>
                <c:pt idx="426">
                  <c:v>46098</c:v>
                </c:pt>
                <c:pt idx="427">
                  <c:v>46099</c:v>
                </c:pt>
                <c:pt idx="428">
                  <c:v>46100</c:v>
                </c:pt>
                <c:pt idx="429">
                  <c:v>46101</c:v>
                </c:pt>
                <c:pt idx="430">
                  <c:v>46104</c:v>
                </c:pt>
                <c:pt idx="431">
                  <c:v>46105</c:v>
                </c:pt>
                <c:pt idx="432">
                  <c:v>46106</c:v>
                </c:pt>
                <c:pt idx="433">
                  <c:v>46108</c:v>
                </c:pt>
                <c:pt idx="434">
                  <c:v>46111</c:v>
                </c:pt>
                <c:pt idx="435">
                  <c:v>46113</c:v>
                </c:pt>
                <c:pt idx="436">
                  <c:v>46114</c:v>
                </c:pt>
                <c:pt idx="437">
                  <c:v>46118</c:v>
                </c:pt>
                <c:pt idx="438">
                  <c:v>46119</c:v>
                </c:pt>
                <c:pt idx="439">
                  <c:v>46120</c:v>
                </c:pt>
                <c:pt idx="440">
                  <c:v>46121</c:v>
                </c:pt>
                <c:pt idx="441">
                  <c:v>46122</c:v>
                </c:pt>
                <c:pt idx="442">
                  <c:v>46125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46132</c:v>
                </c:pt>
                <c:pt idx="447">
                  <c:v>46133</c:v>
                </c:pt>
                <c:pt idx="448">
                  <c:v>46134</c:v>
                </c:pt>
                <c:pt idx="449">
                  <c:v>46135</c:v>
                </c:pt>
                <c:pt idx="450">
                  <c:v>46136</c:v>
                </c:pt>
                <c:pt idx="451">
                  <c:v>46139</c:v>
                </c:pt>
                <c:pt idx="452">
                  <c:v>46140</c:v>
                </c:pt>
                <c:pt idx="453">
                  <c:v>46141</c:v>
                </c:pt>
                <c:pt idx="454">
                  <c:v>46142</c:v>
                </c:pt>
                <c:pt idx="455">
                  <c:v>46146</c:v>
                </c:pt>
                <c:pt idx="456">
                  <c:v>46147</c:v>
                </c:pt>
                <c:pt idx="457">
                  <c:v>46148</c:v>
                </c:pt>
                <c:pt idx="458">
                  <c:v>46149</c:v>
                </c:pt>
                <c:pt idx="459">
                  <c:v>46150</c:v>
                </c:pt>
                <c:pt idx="460">
                  <c:v>46153</c:v>
                </c:pt>
                <c:pt idx="461">
                  <c:v>46154</c:v>
                </c:pt>
                <c:pt idx="462">
                  <c:v>46155</c:v>
                </c:pt>
                <c:pt idx="463">
                  <c:v>46156</c:v>
                </c:pt>
                <c:pt idx="464">
                  <c:v>46157</c:v>
                </c:pt>
                <c:pt idx="465">
                  <c:v>46160</c:v>
                </c:pt>
                <c:pt idx="466">
                  <c:v>46161</c:v>
                </c:pt>
                <c:pt idx="467">
                  <c:v>46162</c:v>
                </c:pt>
                <c:pt idx="468">
                  <c:v>46163</c:v>
                </c:pt>
                <c:pt idx="469">
                  <c:v>46164</c:v>
                </c:pt>
                <c:pt idx="470">
                  <c:v>46167</c:v>
                </c:pt>
                <c:pt idx="471">
                  <c:v>46168</c:v>
                </c:pt>
                <c:pt idx="472">
                  <c:v>46169</c:v>
                </c:pt>
                <c:pt idx="473">
                  <c:v>46171</c:v>
                </c:pt>
                <c:pt idx="474">
                  <c:v>46174</c:v>
                </c:pt>
                <c:pt idx="475">
                  <c:v>46175</c:v>
                </c:pt>
                <c:pt idx="476">
                  <c:v>46176</c:v>
                </c:pt>
                <c:pt idx="477">
                  <c:v>46177</c:v>
                </c:pt>
                <c:pt idx="478">
                  <c:v>46178</c:v>
                </c:pt>
                <c:pt idx="479">
                  <c:v>46181</c:v>
                </c:pt>
                <c:pt idx="480">
                  <c:v>46182</c:v>
                </c:pt>
                <c:pt idx="481">
                  <c:v>46183</c:v>
                </c:pt>
                <c:pt idx="482">
                  <c:v>46184</c:v>
                </c:pt>
                <c:pt idx="483">
                  <c:v>46185</c:v>
                </c:pt>
                <c:pt idx="484">
                  <c:v>46188</c:v>
                </c:pt>
                <c:pt idx="485">
                  <c:v>46189</c:v>
                </c:pt>
                <c:pt idx="486">
                  <c:v>46190</c:v>
                </c:pt>
                <c:pt idx="487">
                  <c:v>46191</c:v>
                </c:pt>
                <c:pt idx="488">
                  <c:v>46192</c:v>
                </c:pt>
                <c:pt idx="489">
                  <c:v>46195</c:v>
                </c:pt>
                <c:pt idx="490">
                  <c:v>46196</c:v>
                </c:pt>
                <c:pt idx="491">
                  <c:v>46197</c:v>
                </c:pt>
                <c:pt idx="492">
                  <c:v>46198</c:v>
                </c:pt>
                <c:pt idx="493">
                  <c:v>46202</c:v>
                </c:pt>
                <c:pt idx="494">
                  <c:v>46203</c:v>
                </c:pt>
              </c:numCache>
            </c:numRef>
          </c:cat>
          <c:val>
            <c:numRef>
              <c:f>'DR.REDDY''S'!$L$2:$L$496</c:f>
              <c:numCache>
                <c:formatCode>#,##0</c:formatCode>
                <c:ptCount val="495"/>
                <c:pt idx="0">
                  <c:v>450385</c:v>
                </c:pt>
                <c:pt idx="1">
                  <c:v>363815</c:v>
                </c:pt>
                <c:pt idx="2">
                  <c:v>582640</c:v>
                </c:pt>
                <c:pt idx="3">
                  <c:v>348849</c:v>
                </c:pt>
                <c:pt idx="4">
                  <c:v>227835</c:v>
                </c:pt>
                <c:pt idx="5">
                  <c:v>161476</c:v>
                </c:pt>
                <c:pt idx="6">
                  <c:v>346928</c:v>
                </c:pt>
                <c:pt idx="7">
                  <c:v>257510</c:v>
                </c:pt>
                <c:pt idx="8">
                  <c:v>316268</c:v>
                </c:pt>
                <c:pt idx="9">
                  <c:v>588880</c:v>
                </c:pt>
                <c:pt idx="10">
                  <c:v>604795</c:v>
                </c:pt>
                <c:pt idx="11">
                  <c:v>311284</c:v>
                </c:pt>
                <c:pt idx="12">
                  <c:v>385707</c:v>
                </c:pt>
                <c:pt idx="13">
                  <c:v>180068</c:v>
                </c:pt>
                <c:pt idx="14">
                  <c:v>412291</c:v>
                </c:pt>
                <c:pt idx="15">
                  <c:v>866091</c:v>
                </c:pt>
                <c:pt idx="16">
                  <c:v>603877</c:v>
                </c:pt>
                <c:pt idx="17">
                  <c:v>263105</c:v>
                </c:pt>
                <c:pt idx="18">
                  <c:v>410391</c:v>
                </c:pt>
                <c:pt idx="19">
                  <c:v>654389</c:v>
                </c:pt>
                <c:pt idx="20">
                  <c:v>291695</c:v>
                </c:pt>
                <c:pt idx="21">
                  <c:v>346174</c:v>
                </c:pt>
                <c:pt idx="22">
                  <c:v>464096</c:v>
                </c:pt>
                <c:pt idx="23">
                  <c:v>441989</c:v>
                </c:pt>
                <c:pt idx="24">
                  <c:v>437389</c:v>
                </c:pt>
                <c:pt idx="25">
                  <c:v>245427</c:v>
                </c:pt>
                <c:pt idx="26">
                  <c:v>193773</c:v>
                </c:pt>
                <c:pt idx="27">
                  <c:v>541168</c:v>
                </c:pt>
                <c:pt idx="28">
                  <c:v>131251</c:v>
                </c:pt>
                <c:pt idx="29">
                  <c:v>370655</c:v>
                </c:pt>
                <c:pt idx="30">
                  <c:v>243465</c:v>
                </c:pt>
                <c:pt idx="31">
                  <c:v>345593</c:v>
                </c:pt>
                <c:pt idx="32">
                  <c:v>513132</c:v>
                </c:pt>
                <c:pt idx="33">
                  <c:v>161847</c:v>
                </c:pt>
                <c:pt idx="34">
                  <c:v>149594</c:v>
                </c:pt>
                <c:pt idx="35">
                  <c:v>381117</c:v>
                </c:pt>
                <c:pt idx="36">
                  <c:v>336682</c:v>
                </c:pt>
                <c:pt idx="37">
                  <c:v>142288</c:v>
                </c:pt>
                <c:pt idx="38">
                  <c:v>203783</c:v>
                </c:pt>
                <c:pt idx="39">
                  <c:v>455417</c:v>
                </c:pt>
                <c:pt idx="40">
                  <c:v>326517</c:v>
                </c:pt>
                <c:pt idx="41">
                  <c:v>356832</c:v>
                </c:pt>
                <c:pt idx="42">
                  <c:v>683042</c:v>
                </c:pt>
                <c:pt idx="43">
                  <c:v>470857</c:v>
                </c:pt>
                <c:pt idx="44">
                  <c:v>249361</c:v>
                </c:pt>
                <c:pt idx="45">
                  <c:v>435494</c:v>
                </c:pt>
                <c:pt idx="46">
                  <c:v>400253</c:v>
                </c:pt>
                <c:pt idx="47">
                  <c:v>414857</c:v>
                </c:pt>
                <c:pt idx="48">
                  <c:v>293376</c:v>
                </c:pt>
                <c:pt idx="49">
                  <c:v>465624</c:v>
                </c:pt>
                <c:pt idx="50">
                  <c:v>366744</c:v>
                </c:pt>
                <c:pt idx="51">
                  <c:v>532671</c:v>
                </c:pt>
                <c:pt idx="52">
                  <c:v>239515</c:v>
                </c:pt>
                <c:pt idx="53">
                  <c:v>138325</c:v>
                </c:pt>
                <c:pt idx="54">
                  <c:v>182347</c:v>
                </c:pt>
                <c:pt idx="55">
                  <c:v>247883</c:v>
                </c:pt>
                <c:pt idx="56">
                  <c:v>932356</c:v>
                </c:pt>
                <c:pt idx="57">
                  <c:v>564730</c:v>
                </c:pt>
                <c:pt idx="58">
                  <c:v>265324</c:v>
                </c:pt>
                <c:pt idx="59">
                  <c:v>392420</c:v>
                </c:pt>
                <c:pt idx="60">
                  <c:v>477656</c:v>
                </c:pt>
                <c:pt idx="61">
                  <c:v>568426</c:v>
                </c:pt>
                <c:pt idx="62">
                  <c:v>558911</c:v>
                </c:pt>
                <c:pt idx="63">
                  <c:v>365494</c:v>
                </c:pt>
                <c:pt idx="64">
                  <c:v>347618</c:v>
                </c:pt>
                <c:pt idx="65">
                  <c:v>455418</c:v>
                </c:pt>
                <c:pt idx="66">
                  <c:v>348467</c:v>
                </c:pt>
                <c:pt idx="67">
                  <c:v>444838</c:v>
                </c:pt>
                <c:pt idx="68">
                  <c:v>279110</c:v>
                </c:pt>
                <c:pt idx="69">
                  <c:v>336073</c:v>
                </c:pt>
                <c:pt idx="70">
                  <c:v>316547</c:v>
                </c:pt>
                <c:pt idx="71">
                  <c:v>226045</c:v>
                </c:pt>
                <c:pt idx="72">
                  <c:v>223519</c:v>
                </c:pt>
                <c:pt idx="73">
                  <c:v>284653</c:v>
                </c:pt>
                <c:pt idx="74">
                  <c:v>369924</c:v>
                </c:pt>
                <c:pt idx="75">
                  <c:v>363823</c:v>
                </c:pt>
                <c:pt idx="76">
                  <c:v>228623</c:v>
                </c:pt>
                <c:pt idx="77">
                  <c:v>235055</c:v>
                </c:pt>
                <c:pt idx="78">
                  <c:v>380997</c:v>
                </c:pt>
                <c:pt idx="79">
                  <c:v>309772</c:v>
                </c:pt>
                <c:pt idx="80">
                  <c:v>317461</c:v>
                </c:pt>
                <c:pt idx="81">
                  <c:v>257166</c:v>
                </c:pt>
                <c:pt idx="82">
                  <c:v>829374</c:v>
                </c:pt>
                <c:pt idx="83">
                  <c:v>1443741</c:v>
                </c:pt>
                <c:pt idx="84">
                  <c:v>2065575</c:v>
                </c:pt>
                <c:pt idx="85">
                  <c:v>1902206</c:v>
                </c:pt>
                <c:pt idx="86">
                  <c:v>540201</c:v>
                </c:pt>
                <c:pt idx="87">
                  <c:v>1771490</c:v>
                </c:pt>
                <c:pt idx="88">
                  <c:v>1603920</c:v>
                </c:pt>
                <c:pt idx="89">
                  <c:v>3908554</c:v>
                </c:pt>
                <c:pt idx="90">
                  <c:v>1479152</c:v>
                </c:pt>
                <c:pt idx="91">
                  <c:v>1328199</c:v>
                </c:pt>
                <c:pt idx="92">
                  <c:v>1175591</c:v>
                </c:pt>
                <c:pt idx="93">
                  <c:v>1110785</c:v>
                </c:pt>
                <c:pt idx="94">
                  <c:v>995217</c:v>
                </c:pt>
                <c:pt idx="95">
                  <c:v>1346891</c:v>
                </c:pt>
                <c:pt idx="96">
                  <c:v>3367815</c:v>
                </c:pt>
                <c:pt idx="97">
                  <c:v>1509716</c:v>
                </c:pt>
                <c:pt idx="98">
                  <c:v>2121476</c:v>
                </c:pt>
                <c:pt idx="99">
                  <c:v>763755</c:v>
                </c:pt>
                <c:pt idx="100">
                  <c:v>3280431</c:v>
                </c:pt>
                <c:pt idx="101">
                  <c:v>1190121</c:v>
                </c:pt>
                <c:pt idx="102">
                  <c:v>1402977</c:v>
                </c:pt>
                <c:pt idx="103">
                  <c:v>2819269</c:v>
                </c:pt>
                <c:pt idx="104">
                  <c:v>2535820</c:v>
                </c:pt>
                <c:pt idx="105">
                  <c:v>1826479</c:v>
                </c:pt>
                <c:pt idx="106">
                  <c:v>2237453</c:v>
                </c:pt>
                <c:pt idx="107">
                  <c:v>1435443</c:v>
                </c:pt>
                <c:pt idx="108">
                  <c:v>3324867</c:v>
                </c:pt>
                <c:pt idx="109">
                  <c:v>1717216</c:v>
                </c:pt>
                <c:pt idx="110">
                  <c:v>1269332</c:v>
                </c:pt>
                <c:pt idx="111">
                  <c:v>2025890</c:v>
                </c:pt>
                <c:pt idx="112">
                  <c:v>1178864</c:v>
                </c:pt>
                <c:pt idx="113">
                  <c:v>1648944</c:v>
                </c:pt>
                <c:pt idx="114">
                  <c:v>1258819</c:v>
                </c:pt>
                <c:pt idx="115">
                  <c:v>1920945</c:v>
                </c:pt>
                <c:pt idx="116">
                  <c:v>2706166</c:v>
                </c:pt>
                <c:pt idx="117">
                  <c:v>2823838</c:v>
                </c:pt>
                <c:pt idx="118">
                  <c:v>7185903</c:v>
                </c:pt>
                <c:pt idx="119">
                  <c:v>7499087</c:v>
                </c:pt>
                <c:pt idx="120">
                  <c:v>3740109</c:v>
                </c:pt>
                <c:pt idx="121">
                  <c:v>2587142</c:v>
                </c:pt>
                <c:pt idx="122">
                  <c:v>1531359</c:v>
                </c:pt>
                <c:pt idx="123">
                  <c:v>3656253</c:v>
                </c:pt>
                <c:pt idx="124">
                  <c:v>2462657</c:v>
                </c:pt>
                <c:pt idx="125">
                  <c:v>1892083</c:v>
                </c:pt>
                <c:pt idx="126">
                  <c:v>1658723</c:v>
                </c:pt>
                <c:pt idx="127">
                  <c:v>1726305</c:v>
                </c:pt>
                <c:pt idx="128">
                  <c:v>1573592</c:v>
                </c:pt>
                <c:pt idx="129">
                  <c:v>1539970</c:v>
                </c:pt>
                <c:pt idx="130">
                  <c:v>1723188</c:v>
                </c:pt>
                <c:pt idx="131">
                  <c:v>3456684</c:v>
                </c:pt>
                <c:pt idx="132">
                  <c:v>1607980</c:v>
                </c:pt>
                <c:pt idx="133">
                  <c:v>1582776</c:v>
                </c:pt>
                <c:pt idx="134">
                  <c:v>2822318</c:v>
                </c:pt>
                <c:pt idx="135">
                  <c:v>1370223</c:v>
                </c:pt>
                <c:pt idx="136">
                  <c:v>1940371</c:v>
                </c:pt>
                <c:pt idx="137">
                  <c:v>1195731</c:v>
                </c:pt>
                <c:pt idx="138">
                  <c:v>1432206</c:v>
                </c:pt>
                <c:pt idx="139">
                  <c:v>561642</c:v>
                </c:pt>
                <c:pt idx="140">
                  <c:v>738787</c:v>
                </c:pt>
                <c:pt idx="141">
                  <c:v>1301422</c:v>
                </c:pt>
                <c:pt idx="142">
                  <c:v>1448659</c:v>
                </c:pt>
                <c:pt idx="143">
                  <c:v>7082467</c:v>
                </c:pt>
                <c:pt idx="144">
                  <c:v>2184847</c:v>
                </c:pt>
                <c:pt idx="145">
                  <c:v>3142189</c:v>
                </c:pt>
                <c:pt idx="146">
                  <c:v>3458251</c:v>
                </c:pt>
                <c:pt idx="147">
                  <c:v>3290757</c:v>
                </c:pt>
                <c:pt idx="148">
                  <c:v>1505147</c:v>
                </c:pt>
                <c:pt idx="149">
                  <c:v>1067956</c:v>
                </c:pt>
                <c:pt idx="150">
                  <c:v>1407877</c:v>
                </c:pt>
                <c:pt idx="151">
                  <c:v>2239920</c:v>
                </c:pt>
                <c:pt idx="152">
                  <c:v>1460238</c:v>
                </c:pt>
                <c:pt idx="153">
                  <c:v>2990483</c:v>
                </c:pt>
                <c:pt idx="154">
                  <c:v>1236992</c:v>
                </c:pt>
                <c:pt idx="155">
                  <c:v>1565579</c:v>
                </c:pt>
                <c:pt idx="156">
                  <c:v>1819297</c:v>
                </c:pt>
                <c:pt idx="157">
                  <c:v>1306601</c:v>
                </c:pt>
                <c:pt idx="158">
                  <c:v>4447231</c:v>
                </c:pt>
                <c:pt idx="159">
                  <c:v>1211843</c:v>
                </c:pt>
                <c:pt idx="160">
                  <c:v>613030</c:v>
                </c:pt>
                <c:pt idx="161">
                  <c:v>1713796</c:v>
                </c:pt>
                <c:pt idx="162">
                  <c:v>3062142</c:v>
                </c:pt>
                <c:pt idx="163">
                  <c:v>1579890</c:v>
                </c:pt>
                <c:pt idx="164">
                  <c:v>6828902</c:v>
                </c:pt>
                <c:pt idx="165">
                  <c:v>2017521</c:v>
                </c:pt>
                <c:pt idx="166">
                  <c:v>6463238</c:v>
                </c:pt>
                <c:pt idx="167">
                  <c:v>3435069</c:v>
                </c:pt>
                <c:pt idx="168">
                  <c:v>3895033</c:v>
                </c:pt>
                <c:pt idx="169">
                  <c:v>1810605</c:v>
                </c:pt>
                <c:pt idx="170">
                  <c:v>1074133</c:v>
                </c:pt>
                <c:pt idx="171">
                  <c:v>1260157</c:v>
                </c:pt>
                <c:pt idx="172">
                  <c:v>1648697</c:v>
                </c:pt>
                <c:pt idx="173">
                  <c:v>790599</c:v>
                </c:pt>
                <c:pt idx="174">
                  <c:v>950503</c:v>
                </c:pt>
                <c:pt idx="175">
                  <c:v>884438</c:v>
                </c:pt>
                <c:pt idx="176">
                  <c:v>1914579</c:v>
                </c:pt>
                <c:pt idx="177">
                  <c:v>1299174</c:v>
                </c:pt>
                <c:pt idx="178">
                  <c:v>2714559</c:v>
                </c:pt>
                <c:pt idx="179">
                  <c:v>1734982</c:v>
                </c:pt>
                <c:pt idx="180">
                  <c:v>1507415</c:v>
                </c:pt>
                <c:pt idx="181">
                  <c:v>1521677</c:v>
                </c:pt>
                <c:pt idx="182">
                  <c:v>2313824</c:v>
                </c:pt>
                <c:pt idx="183">
                  <c:v>1660669</c:v>
                </c:pt>
                <c:pt idx="184">
                  <c:v>2860907</c:v>
                </c:pt>
                <c:pt idx="185">
                  <c:v>2864505</c:v>
                </c:pt>
                <c:pt idx="186">
                  <c:v>4460409</c:v>
                </c:pt>
                <c:pt idx="187">
                  <c:v>2762934</c:v>
                </c:pt>
                <c:pt idx="188">
                  <c:v>4158012</c:v>
                </c:pt>
                <c:pt idx="189">
                  <c:v>2071245</c:v>
                </c:pt>
                <c:pt idx="190">
                  <c:v>6324685</c:v>
                </c:pt>
                <c:pt idx="191">
                  <c:v>5423861</c:v>
                </c:pt>
                <c:pt idx="192">
                  <c:v>3888037</c:v>
                </c:pt>
                <c:pt idx="193">
                  <c:v>1577632</c:v>
                </c:pt>
                <c:pt idx="194">
                  <c:v>5511474</c:v>
                </c:pt>
                <c:pt idx="195">
                  <c:v>2740831</c:v>
                </c:pt>
                <c:pt idx="196">
                  <c:v>2683350</c:v>
                </c:pt>
                <c:pt idx="197">
                  <c:v>1451875</c:v>
                </c:pt>
                <c:pt idx="198">
                  <c:v>2788024</c:v>
                </c:pt>
                <c:pt idx="199">
                  <c:v>1938756</c:v>
                </c:pt>
                <c:pt idx="200">
                  <c:v>1313400</c:v>
                </c:pt>
                <c:pt idx="201">
                  <c:v>3192132</c:v>
                </c:pt>
                <c:pt idx="202">
                  <c:v>4819678</c:v>
                </c:pt>
                <c:pt idx="203">
                  <c:v>1286573</c:v>
                </c:pt>
                <c:pt idx="204">
                  <c:v>1236678</c:v>
                </c:pt>
                <c:pt idx="205">
                  <c:v>1663018</c:v>
                </c:pt>
                <c:pt idx="206">
                  <c:v>1604442</c:v>
                </c:pt>
                <c:pt idx="207">
                  <c:v>1306311</c:v>
                </c:pt>
                <c:pt idx="208">
                  <c:v>1893680</c:v>
                </c:pt>
                <c:pt idx="209">
                  <c:v>1990745</c:v>
                </c:pt>
                <c:pt idx="210">
                  <c:v>1421366</c:v>
                </c:pt>
                <c:pt idx="211">
                  <c:v>2616533</c:v>
                </c:pt>
                <c:pt idx="212">
                  <c:v>1248574</c:v>
                </c:pt>
                <c:pt idx="213">
                  <c:v>5065176</c:v>
                </c:pt>
                <c:pt idx="214">
                  <c:v>3134295</c:v>
                </c:pt>
                <c:pt idx="215">
                  <c:v>1197152</c:v>
                </c:pt>
                <c:pt idx="216">
                  <c:v>2053553</c:v>
                </c:pt>
                <c:pt idx="217">
                  <c:v>882873</c:v>
                </c:pt>
                <c:pt idx="218">
                  <c:v>2235758</c:v>
                </c:pt>
                <c:pt idx="219">
                  <c:v>1385750</c:v>
                </c:pt>
                <c:pt idx="220">
                  <c:v>2615092</c:v>
                </c:pt>
                <c:pt idx="221">
                  <c:v>2260610</c:v>
                </c:pt>
                <c:pt idx="222">
                  <c:v>734297</c:v>
                </c:pt>
                <c:pt idx="223">
                  <c:v>985434</c:v>
                </c:pt>
                <c:pt idx="224">
                  <c:v>1145000</c:v>
                </c:pt>
                <c:pt idx="225">
                  <c:v>766968</c:v>
                </c:pt>
                <c:pt idx="226">
                  <c:v>1791885</c:v>
                </c:pt>
                <c:pt idx="227">
                  <c:v>3161983</c:v>
                </c:pt>
                <c:pt idx="228">
                  <c:v>1139977</c:v>
                </c:pt>
                <c:pt idx="229">
                  <c:v>811620</c:v>
                </c:pt>
                <c:pt idx="230">
                  <c:v>1387633</c:v>
                </c:pt>
                <c:pt idx="231">
                  <c:v>3834672</c:v>
                </c:pt>
                <c:pt idx="232">
                  <c:v>2158757</c:v>
                </c:pt>
                <c:pt idx="233">
                  <c:v>1227356</c:v>
                </c:pt>
                <c:pt idx="234">
                  <c:v>3022355</c:v>
                </c:pt>
                <c:pt idx="235">
                  <c:v>1094247</c:v>
                </c:pt>
                <c:pt idx="236">
                  <c:v>2625058</c:v>
                </c:pt>
                <c:pt idx="237">
                  <c:v>1419556</c:v>
                </c:pt>
                <c:pt idx="238">
                  <c:v>1294663</c:v>
                </c:pt>
                <c:pt idx="239">
                  <c:v>1649457</c:v>
                </c:pt>
                <c:pt idx="240">
                  <c:v>728945</c:v>
                </c:pt>
                <c:pt idx="241">
                  <c:v>1654212</c:v>
                </c:pt>
                <c:pt idx="242">
                  <c:v>1843895</c:v>
                </c:pt>
                <c:pt idx="243">
                  <c:v>843945</c:v>
                </c:pt>
                <c:pt idx="244">
                  <c:v>1011128</c:v>
                </c:pt>
                <c:pt idx="245">
                  <c:v>833145</c:v>
                </c:pt>
                <c:pt idx="246">
                  <c:v>2373431</c:v>
                </c:pt>
                <c:pt idx="247">
                  <c:v>1770595</c:v>
                </c:pt>
                <c:pt idx="248">
                  <c:v>2224279</c:v>
                </c:pt>
                <c:pt idx="249">
                  <c:v>1851442</c:v>
                </c:pt>
                <c:pt idx="250">
                  <c:v>2027306</c:v>
                </c:pt>
                <c:pt idx="251">
                  <c:v>1918977</c:v>
                </c:pt>
                <c:pt idx="252">
                  <c:v>1466009</c:v>
                </c:pt>
                <c:pt idx="253">
                  <c:v>569025</c:v>
                </c:pt>
                <c:pt idx="254">
                  <c:v>1602620</c:v>
                </c:pt>
                <c:pt idx="255">
                  <c:v>1494337</c:v>
                </c:pt>
                <c:pt idx="256">
                  <c:v>1246082</c:v>
                </c:pt>
                <c:pt idx="257">
                  <c:v>895466</c:v>
                </c:pt>
                <c:pt idx="258">
                  <c:v>1035555</c:v>
                </c:pt>
                <c:pt idx="259">
                  <c:v>1183659</c:v>
                </c:pt>
                <c:pt idx="260">
                  <c:v>1159859</c:v>
                </c:pt>
                <c:pt idx="261">
                  <c:v>709420</c:v>
                </c:pt>
                <c:pt idx="262">
                  <c:v>690731</c:v>
                </c:pt>
                <c:pt idx="263">
                  <c:v>1065189</c:v>
                </c:pt>
                <c:pt idx="264">
                  <c:v>1304352</c:v>
                </c:pt>
                <c:pt idx="265">
                  <c:v>1088262</c:v>
                </c:pt>
                <c:pt idx="266">
                  <c:v>3809212</c:v>
                </c:pt>
                <c:pt idx="267">
                  <c:v>1621138</c:v>
                </c:pt>
                <c:pt idx="268">
                  <c:v>1553778</c:v>
                </c:pt>
                <c:pt idx="269">
                  <c:v>1943466</c:v>
                </c:pt>
                <c:pt idx="270">
                  <c:v>1387013</c:v>
                </c:pt>
                <c:pt idx="271">
                  <c:v>1968821</c:v>
                </c:pt>
                <c:pt idx="272">
                  <c:v>2525210</c:v>
                </c:pt>
                <c:pt idx="273">
                  <c:v>767310</c:v>
                </c:pt>
                <c:pt idx="274">
                  <c:v>956582</c:v>
                </c:pt>
                <c:pt idx="275">
                  <c:v>1701845</c:v>
                </c:pt>
                <c:pt idx="276">
                  <c:v>1246560</c:v>
                </c:pt>
                <c:pt idx="277">
                  <c:v>2389106</c:v>
                </c:pt>
                <c:pt idx="278">
                  <c:v>1246374</c:v>
                </c:pt>
                <c:pt idx="279">
                  <c:v>922461</c:v>
                </c:pt>
                <c:pt idx="280">
                  <c:v>1192506</c:v>
                </c:pt>
                <c:pt idx="281">
                  <c:v>1603933</c:v>
                </c:pt>
                <c:pt idx="282">
                  <c:v>1648543</c:v>
                </c:pt>
                <c:pt idx="283">
                  <c:v>1061816</c:v>
                </c:pt>
                <c:pt idx="284">
                  <c:v>685379</c:v>
                </c:pt>
                <c:pt idx="285">
                  <c:v>2008295</c:v>
                </c:pt>
                <c:pt idx="286">
                  <c:v>1229920</c:v>
                </c:pt>
                <c:pt idx="287">
                  <c:v>967056</c:v>
                </c:pt>
                <c:pt idx="288">
                  <c:v>2798216</c:v>
                </c:pt>
                <c:pt idx="289">
                  <c:v>1827890</c:v>
                </c:pt>
                <c:pt idx="290">
                  <c:v>2422956</c:v>
                </c:pt>
                <c:pt idx="291">
                  <c:v>1273903</c:v>
                </c:pt>
                <c:pt idx="292">
                  <c:v>1632660</c:v>
                </c:pt>
                <c:pt idx="293">
                  <c:v>1294925</c:v>
                </c:pt>
                <c:pt idx="294">
                  <c:v>1230934</c:v>
                </c:pt>
                <c:pt idx="295">
                  <c:v>769861</c:v>
                </c:pt>
                <c:pt idx="296">
                  <c:v>969297</c:v>
                </c:pt>
                <c:pt idx="297">
                  <c:v>1643726</c:v>
                </c:pt>
                <c:pt idx="298">
                  <c:v>1232984</c:v>
                </c:pt>
                <c:pt idx="299">
                  <c:v>1349391</c:v>
                </c:pt>
                <c:pt idx="300">
                  <c:v>1042942</c:v>
                </c:pt>
                <c:pt idx="301">
                  <c:v>1331182</c:v>
                </c:pt>
                <c:pt idx="302">
                  <c:v>1034369</c:v>
                </c:pt>
                <c:pt idx="303">
                  <c:v>716840</c:v>
                </c:pt>
                <c:pt idx="304">
                  <c:v>822010</c:v>
                </c:pt>
                <c:pt idx="305">
                  <c:v>1409571</c:v>
                </c:pt>
                <c:pt idx="306">
                  <c:v>1399531</c:v>
                </c:pt>
                <c:pt idx="307">
                  <c:v>1271238</c:v>
                </c:pt>
                <c:pt idx="308">
                  <c:v>750456</c:v>
                </c:pt>
                <c:pt idx="309">
                  <c:v>1241492</c:v>
                </c:pt>
                <c:pt idx="310">
                  <c:v>2284377</c:v>
                </c:pt>
                <c:pt idx="311">
                  <c:v>3899164</c:v>
                </c:pt>
                <c:pt idx="312">
                  <c:v>2635047</c:v>
                </c:pt>
                <c:pt idx="313">
                  <c:v>4083180</c:v>
                </c:pt>
                <c:pt idx="314">
                  <c:v>2742600</c:v>
                </c:pt>
                <c:pt idx="315">
                  <c:v>1880910</c:v>
                </c:pt>
                <c:pt idx="316">
                  <c:v>1380941</c:v>
                </c:pt>
                <c:pt idx="317">
                  <c:v>1496744</c:v>
                </c:pt>
                <c:pt idx="318">
                  <c:v>2699135</c:v>
                </c:pt>
                <c:pt idx="319">
                  <c:v>1680920</c:v>
                </c:pt>
                <c:pt idx="320">
                  <c:v>1188201</c:v>
                </c:pt>
                <c:pt idx="321">
                  <c:v>1944911</c:v>
                </c:pt>
                <c:pt idx="322">
                  <c:v>2150067</c:v>
                </c:pt>
                <c:pt idx="323">
                  <c:v>1308931</c:v>
                </c:pt>
                <c:pt idx="324">
                  <c:v>1473018</c:v>
                </c:pt>
                <c:pt idx="325">
                  <c:v>1368192</c:v>
                </c:pt>
                <c:pt idx="326">
                  <c:v>226788</c:v>
                </c:pt>
                <c:pt idx="327">
                  <c:v>1991213</c:v>
                </c:pt>
                <c:pt idx="328">
                  <c:v>1167634</c:v>
                </c:pt>
                <c:pt idx="329">
                  <c:v>1927956</c:v>
                </c:pt>
                <c:pt idx="330">
                  <c:v>1828290</c:v>
                </c:pt>
                <c:pt idx="331">
                  <c:v>2574921</c:v>
                </c:pt>
                <c:pt idx="332">
                  <c:v>8883497</c:v>
                </c:pt>
                <c:pt idx="333">
                  <c:v>4250157</c:v>
                </c:pt>
                <c:pt idx="334">
                  <c:v>1547000</c:v>
                </c:pt>
                <c:pt idx="335">
                  <c:v>1015516</c:v>
                </c:pt>
                <c:pt idx="336">
                  <c:v>1560897</c:v>
                </c:pt>
                <c:pt idx="337">
                  <c:v>1076140</c:v>
                </c:pt>
                <c:pt idx="338">
                  <c:v>3483082</c:v>
                </c:pt>
                <c:pt idx="339">
                  <c:v>1048552</c:v>
                </c:pt>
                <c:pt idx="340">
                  <c:v>1222295</c:v>
                </c:pt>
                <c:pt idx="341">
                  <c:v>1426984</c:v>
                </c:pt>
                <c:pt idx="342">
                  <c:v>827643</c:v>
                </c:pt>
                <c:pt idx="343">
                  <c:v>1423044</c:v>
                </c:pt>
                <c:pt idx="344">
                  <c:v>971685</c:v>
                </c:pt>
                <c:pt idx="345">
                  <c:v>830105</c:v>
                </c:pt>
                <c:pt idx="346">
                  <c:v>854999</c:v>
                </c:pt>
                <c:pt idx="347">
                  <c:v>941902</c:v>
                </c:pt>
                <c:pt idx="348">
                  <c:v>7611988</c:v>
                </c:pt>
                <c:pt idx="349">
                  <c:v>1983817</c:v>
                </c:pt>
                <c:pt idx="350">
                  <c:v>809816</c:v>
                </c:pt>
                <c:pt idx="351">
                  <c:v>1060956</c:v>
                </c:pt>
                <c:pt idx="352">
                  <c:v>809748</c:v>
                </c:pt>
                <c:pt idx="353">
                  <c:v>1457856</c:v>
                </c:pt>
                <c:pt idx="354">
                  <c:v>2361183</c:v>
                </c:pt>
                <c:pt idx="355">
                  <c:v>4969448</c:v>
                </c:pt>
                <c:pt idx="356">
                  <c:v>1971130</c:v>
                </c:pt>
                <c:pt idx="357">
                  <c:v>1036082</c:v>
                </c:pt>
                <c:pt idx="358">
                  <c:v>1435892</c:v>
                </c:pt>
                <c:pt idx="359">
                  <c:v>2118272</c:v>
                </c:pt>
                <c:pt idx="360">
                  <c:v>1669910</c:v>
                </c:pt>
                <c:pt idx="361">
                  <c:v>1717539</c:v>
                </c:pt>
                <c:pt idx="362">
                  <c:v>981548</c:v>
                </c:pt>
                <c:pt idx="363">
                  <c:v>1078613</c:v>
                </c:pt>
                <c:pt idx="364">
                  <c:v>928506</c:v>
                </c:pt>
                <c:pt idx="365">
                  <c:v>894068</c:v>
                </c:pt>
                <c:pt idx="366">
                  <c:v>889699</c:v>
                </c:pt>
                <c:pt idx="367">
                  <c:v>1209487</c:v>
                </c:pt>
                <c:pt idx="368">
                  <c:v>614138</c:v>
                </c:pt>
                <c:pt idx="369">
                  <c:v>408490</c:v>
                </c:pt>
                <c:pt idx="370">
                  <c:v>1265233</c:v>
                </c:pt>
                <c:pt idx="371">
                  <c:v>594744</c:v>
                </c:pt>
                <c:pt idx="372">
                  <c:v>811488</c:v>
                </c:pt>
                <c:pt idx="373">
                  <c:v>1123996</c:v>
                </c:pt>
                <c:pt idx="374">
                  <c:v>658106</c:v>
                </c:pt>
                <c:pt idx="375">
                  <c:v>553856</c:v>
                </c:pt>
                <c:pt idx="376">
                  <c:v>1591218</c:v>
                </c:pt>
                <c:pt idx="377">
                  <c:v>1184386</c:v>
                </c:pt>
                <c:pt idx="378">
                  <c:v>540944</c:v>
                </c:pt>
                <c:pt idx="379">
                  <c:v>1215477</c:v>
                </c:pt>
                <c:pt idx="380">
                  <c:v>2000942</c:v>
                </c:pt>
                <c:pt idx="381">
                  <c:v>1390935</c:v>
                </c:pt>
                <c:pt idx="382">
                  <c:v>707317</c:v>
                </c:pt>
                <c:pt idx="383">
                  <c:v>2071117</c:v>
                </c:pt>
                <c:pt idx="384">
                  <c:v>2834908</c:v>
                </c:pt>
                <c:pt idx="385">
                  <c:v>2214792</c:v>
                </c:pt>
                <c:pt idx="386">
                  <c:v>1253443</c:v>
                </c:pt>
                <c:pt idx="387">
                  <c:v>2790934</c:v>
                </c:pt>
                <c:pt idx="388">
                  <c:v>2322066</c:v>
                </c:pt>
                <c:pt idx="389">
                  <c:v>6464461</c:v>
                </c:pt>
                <c:pt idx="390">
                  <c:v>3888860</c:v>
                </c:pt>
                <c:pt idx="391">
                  <c:v>2159137</c:v>
                </c:pt>
                <c:pt idx="392">
                  <c:v>1740662</c:v>
                </c:pt>
                <c:pt idx="393">
                  <c:v>1626394</c:v>
                </c:pt>
                <c:pt idx="394">
                  <c:v>1672460</c:v>
                </c:pt>
                <c:pt idx="395">
                  <c:v>555385</c:v>
                </c:pt>
                <c:pt idx="396">
                  <c:v>1207638</c:v>
                </c:pt>
                <c:pt idx="397">
                  <c:v>1521425</c:v>
                </c:pt>
                <c:pt idx="398">
                  <c:v>947684</c:v>
                </c:pt>
                <c:pt idx="399">
                  <c:v>953241</c:v>
                </c:pt>
                <c:pt idx="400">
                  <c:v>1324651</c:v>
                </c:pt>
                <c:pt idx="401">
                  <c:v>2111316</c:v>
                </c:pt>
                <c:pt idx="402">
                  <c:v>1412804</c:v>
                </c:pt>
                <c:pt idx="403">
                  <c:v>855888</c:v>
                </c:pt>
                <c:pt idx="404">
                  <c:v>981247</c:v>
                </c:pt>
                <c:pt idx="405">
                  <c:v>838946</c:v>
                </c:pt>
                <c:pt idx="406">
                  <c:v>469592</c:v>
                </c:pt>
                <c:pt idx="407">
                  <c:v>687326</c:v>
                </c:pt>
                <c:pt idx="408">
                  <c:v>689997</c:v>
                </c:pt>
                <c:pt idx="409">
                  <c:v>1333838</c:v>
                </c:pt>
                <c:pt idx="410">
                  <c:v>1753200</c:v>
                </c:pt>
                <c:pt idx="411">
                  <c:v>1849756</c:v>
                </c:pt>
                <c:pt idx="412">
                  <c:v>1803242</c:v>
                </c:pt>
                <c:pt idx="413">
                  <c:v>2296240</c:v>
                </c:pt>
                <c:pt idx="414">
                  <c:v>1511598</c:v>
                </c:pt>
                <c:pt idx="415">
                  <c:v>3510396</c:v>
                </c:pt>
                <c:pt idx="416">
                  <c:v>1052234</c:v>
                </c:pt>
                <c:pt idx="417">
                  <c:v>1890939</c:v>
                </c:pt>
                <c:pt idx="418">
                  <c:v>1060509</c:v>
                </c:pt>
                <c:pt idx="419">
                  <c:v>963701</c:v>
                </c:pt>
                <c:pt idx="420">
                  <c:v>1597730</c:v>
                </c:pt>
                <c:pt idx="421">
                  <c:v>2329349</c:v>
                </c:pt>
                <c:pt idx="422">
                  <c:v>2454389</c:v>
                </c:pt>
                <c:pt idx="423">
                  <c:v>1969692</c:v>
                </c:pt>
                <c:pt idx="424">
                  <c:v>1574522</c:v>
                </c:pt>
                <c:pt idx="425">
                  <c:v>1294975</c:v>
                </c:pt>
                <c:pt idx="426">
                  <c:v>1003677</c:v>
                </c:pt>
                <c:pt idx="427">
                  <c:v>849938</c:v>
                </c:pt>
                <c:pt idx="428">
                  <c:v>1035491</c:v>
                </c:pt>
                <c:pt idx="429">
                  <c:v>3359706</c:v>
                </c:pt>
                <c:pt idx="430">
                  <c:v>2112613</c:v>
                </c:pt>
                <c:pt idx="431">
                  <c:v>3166135</c:v>
                </c:pt>
                <c:pt idx="432">
                  <c:v>1577150</c:v>
                </c:pt>
                <c:pt idx="433">
                  <c:v>2165113</c:v>
                </c:pt>
                <c:pt idx="434">
                  <c:v>1991442</c:v>
                </c:pt>
                <c:pt idx="435">
                  <c:v>2240507</c:v>
                </c:pt>
                <c:pt idx="436">
                  <c:v>3560727</c:v>
                </c:pt>
                <c:pt idx="437">
                  <c:v>1099471</c:v>
                </c:pt>
                <c:pt idx="438">
                  <c:v>2330512</c:v>
                </c:pt>
                <c:pt idx="439">
                  <c:v>2063229</c:v>
                </c:pt>
                <c:pt idx="440">
                  <c:v>2746602</c:v>
                </c:pt>
                <c:pt idx="441">
                  <c:v>1931448</c:v>
                </c:pt>
                <c:pt idx="442">
                  <c:v>1463269</c:v>
                </c:pt>
                <c:pt idx="443">
                  <c:v>4693413</c:v>
                </c:pt>
                <c:pt idx="444">
                  <c:v>2014236</c:v>
                </c:pt>
                <c:pt idx="445">
                  <c:v>2564061</c:v>
                </c:pt>
                <c:pt idx="446">
                  <c:v>1605279</c:v>
                </c:pt>
                <c:pt idx="447">
                  <c:v>1230733</c:v>
                </c:pt>
                <c:pt idx="448">
                  <c:v>1573272</c:v>
                </c:pt>
                <c:pt idx="449">
                  <c:v>16407707</c:v>
                </c:pt>
                <c:pt idx="450">
                  <c:v>5638719</c:v>
                </c:pt>
                <c:pt idx="451">
                  <c:v>1940454</c:v>
                </c:pt>
                <c:pt idx="452">
                  <c:v>2336352</c:v>
                </c:pt>
                <c:pt idx="453">
                  <c:v>4545837</c:v>
                </c:pt>
                <c:pt idx="454">
                  <c:v>1227007</c:v>
                </c:pt>
                <c:pt idx="455">
                  <c:v>2285506</c:v>
                </c:pt>
                <c:pt idx="456">
                  <c:v>986348</c:v>
                </c:pt>
                <c:pt idx="457">
                  <c:v>3340410</c:v>
                </c:pt>
                <c:pt idx="458">
                  <c:v>2530096</c:v>
                </c:pt>
                <c:pt idx="459">
                  <c:v>964903</c:v>
                </c:pt>
                <c:pt idx="460">
                  <c:v>1506740</c:v>
                </c:pt>
                <c:pt idx="461">
                  <c:v>1946195</c:v>
                </c:pt>
                <c:pt idx="462">
                  <c:v>9276074</c:v>
                </c:pt>
                <c:pt idx="463">
                  <c:v>2362951</c:v>
                </c:pt>
                <c:pt idx="464">
                  <c:v>3982549</c:v>
                </c:pt>
                <c:pt idx="465">
                  <c:v>1926791</c:v>
                </c:pt>
                <c:pt idx="466">
                  <c:v>2488019</c:v>
                </c:pt>
                <c:pt idx="467">
                  <c:v>1277182</c:v>
                </c:pt>
                <c:pt idx="468">
                  <c:v>2183121</c:v>
                </c:pt>
                <c:pt idx="469">
                  <c:v>2002451</c:v>
                </c:pt>
                <c:pt idx="470">
                  <c:v>4659781</c:v>
                </c:pt>
                <c:pt idx="471">
                  <c:v>1909354</c:v>
                </c:pt>
                <c:pt idx="472">
                  <c:v>959327</c:v>
                </c:pt>
                <c:pt idx="473">
                  <c:v>5424483</c:v>
                </c:pt>
                <c:pt idx="474">
                  <c:v>1379034</c:v>
                </c:pt>
                <c:pt idx="475">
                  <c:v>2021793</c:v>
                </c:pt>
                <c:pt idx="476">
                  <c:v>1226407</c:v>
                </c:pt>
                <c:pt idx="477">
                  <c:v>944045</c:v>
                </c:pt>
                <c:pt idx="478">
                  <c:v>774687</c:v>
                </c:pt>
                <c:pt idx="479">
                  <c:v>862999</c:v>
                </c:pt>
                <c:pt idx="480">
                  <c:v>871896</c:v>
                </c:pt>
                <c:pt idx="481">
                  <c:v>1172155</c:v>
                </c:pt>
                <c:pt idx="482">
                  <c:v>1057772</c:v>
                </c:pt>
                <c:pt idx="483">
                  <c:v>1645027</c:v>
                </c:pt>
                <c:pt idx="484">
                  <c:v>1178640</c:v>
                </c:pt>
                <c:pt idx="485">
                  <c:v>430918</c:v>
                </c:pt>
                <c:pt idx="486">
                  <c:v>683616</c:v>
                </c:pt>
                <c:pt idx="487">
                  <c:v>774093</c:v>
                </c:pt>
                <c:pt idx="488">
                  <c:v>1312877</c:v>
                </c:pt>
                <c:pt idx="489">
                  <c:v>1618251</c:v>
                </c:pt>
                <c:pt idx="490">
                  <c:v>2878800</c:v>
                </c:pt>
                <c:pt idx="491">
                  <c:v>3346371</c:v>
                </c:pt>
                <c:pt idx="492">
                  <c:v>1699744</c:v>
                </c:pt>
                <c:pt idx="493">
                  <c:v>8857211</c:v>
                </c:pt>
                <c:pt idx="494">
                  <c:v>2446438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1-4D44-820F-7D8EE9CBE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97461"/>
        <c:axId val="72174661"/>
      </c:barChart>
      <c:lineChart>
        <c:grouping val="standard"/>
        <c:varyColors val="0"/>
        <c:ser>
          <c:idx val="1"/>
          <c:order val="1"/>
          <c:tx>
            <c:strRef>
              <c:f>'DR.REDDY''S'!$H$1</c:f>
              <c:strCache>
                <c:ptCount val="1"/>
                <c:pt idx="0">
                  <c:v>CLOSE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'DR.REDDY''S'!$A$2:$A$496</c:f>
              <c:numCache>
                <c:formatCode>d\-mmm\-yy</c:formatCode>
                <c:ptCount val="495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45481</c:v>
                </c:pt>
                <c:pt idx="6">
                  <c:v>45482</c:v>
                </c:pt>
                <c:pt idx="7">
                  <c:v>45483</c:v>
                </c:pt>
                <c:pt idx="8">
                  <c:v>45484</c:v>
                </c:pt>
                <c:pt idx="9">
                  <c:v>45485</c:v>
                </c:pt>
                <c:pt idx="10">
                  <c:v>45488</c:v>
                </c:pt>
                <c:pt idx="11">
                  <c:v>45489</c:v>
                </c:pt>
                <c:pt idx="12">
                  <c:v>45491</c:v>
                </c:pt>
                <c:pt idx="13">
                  <c:v>45492</c:v>
                </c:pt>
                <c:pt idx="14">
                  <c:v>45495</c:v>
                </c:pt>
                <c:pt idx="15">
                  <c:v>45496</c:v>
                </c:pt>
                <c:pt idx="16">
                  <c:v>45497</c:v>
                </c:pt>
                <c:pt idx="17">
                  <c:v>45498</c:v>
                </c:pt>
                <c:pt idx="18">
                  <c:v>45499</c:v>
                </c:pt>
                <c:pt idx="19">
                  <c:v>45502</c:v>
                </c:pt>
                <c:pt idx="20">
                  <c:v>45503</c:v>
                </c:pt>
                <c:pt idx="21">
                  <c:v>45504</c:v>
                </c:pt>
                <c:pt idx="22">
                  <c:v>45505</c:v>
                </c:pt>
                <c:pt idx="23">
                  <c:v>45506</c:v>
                </c:pt>
                <c:pt idx="24">
                  <c:v>45509</c:v>
                </c:pt>
                <c:pt idx="25">
                  <c:v>45510</c:v>
                </c:pt>
                <c:pt idx="26">
                  <c:v>45511</c:v>
                </c:pt>
                <c:pt idx="27">
                  <c:v>45512</c:v>
                </c:pt>
                <c:pt idx="28">
                  <c:v>45513</c:v>
                </c:pt>
                <c:pt idx="29">
                  <c:v>45516</c:v>
                </c:pt>
                <c:pt idx="30">
                  <c:v>45517</c:v>
                </c:pt>
                <c:pt idx="31">
                  <c:v>45518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45537</c:v>
                </c:pt>
                <c:pt idx="44">
                  <c:v>45538</c:v>
                </c:pt>
                <c:pt idx="45">
                  <c:v>45539</c:v>
                </c:pt>
                <c:pt idx="46">
                  <c:v>45540</c:v>
                </c:pt>
                <c:pt idx="47">
                  <c:v>45541</c:v>
                </c:pt>
                <c:pt idx="48">
                  <c:v>45544</c:v>
                </c:pt>
                <c:pt idx="49">
                  <c:v>45545</c:v>
                </c:pt>
                <c:pt idx="50">
                  <c:v>45546</c:v>
                </c:pt>
                <c:pt idx="51">
                  <c:v>45547</c:v>
                </c:pt>
                <c:pt idx="52">
                  <c:v>45548</c:v>
                </c:pt>
                <c:pt idx="53">
                  <c:v>45551</c:v>
                </c:pt>
                <c:pt idx="54">
                  <c:v>45552</c:v>
                </c:pt>
                <c:pt idx="55">
                  <c:v>45553</c:v>
                </c:pt>
                <c:pt idx="56">
                  <c:v>45554</c:v>
                </c:pt>
                <c:pt idx="57">
                  <c:v>45555</c:v>
                </c:pt>
                <c:pt idx="58">
                  <c:v>45558</c:v>
                </c:pt>
                <c:pt idx="59">
                  <c:v>45559</c:v>
                </c:pt>
                <c:pt idx="60">
                  <c:v>45560</c:v>
                </c:pt>
                <c:pt idx="61">
                  <c:v>45561</c:v>
                </c:pt>
                <c:pt idx="62">
                  <c:v>45562</c:v>
                </c:pt>
                <c:pt idx="63">
                  <c:v>45565</c:v>
                </c:pt>
                <c:pt idx="64">
                  <c:v>45566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45614</c:v>
                </c:pt>
                <c:pt idx="97">
                  <c:v>45615</c:v>
                </c:pt>
                <c:pt idx="98">
                  <c:v>45617</c:v>
                </c:pt>
                <c:pt idx="99">
                  <c:v>45618</c:v>
                </c:pt>
                <c:pt idx="100">
                  <c:v>45621</c:v>
                </c:pt>
                <c:pt idx="101">
                  <c:v>45622</c:v>
                </c:pt>
                <c:pt idx="102">
                  <c:v>45623</c:v>
                </c:pt>
                <c:pt idx="103">
                  <c:v>45624</c:v>
                </c:pt>
                <c:pt idx="104">
                  <c:v>45625</c:v>
                </c:pt>
                <c:pt idx="105">
                  <c:v>45628</c:v>
                </c:pt>
                <c:pt idx="106">
                  <c:v>45629</c:v>
                </c:pt>
                <c:pt idx="107">
                  <c:v>45630</c:v>
                </c:pt>
                <c:pt idx="108">
                  <c:v>45631</c:v>
                </c:pt>
                <c:pt idx="109">
                  <c:v>45632</c:v>
                </c:pt>
                <c:pt idx="110">
                  <c:v>45635</c:v>
                </c:pt>
                <c:pt idx="111">
                  <c:v>45636</c:v>
                </c:pt>
                <c:pt idx="112">
                  <c:v>45637</c:v>
                </c:pt>
                <c:pt idx="113">
                  <c:v>45638</c:v>
                </c:pt>
                <c:pt idx="114">
                  <c:v>45639</c:v>
                </c:pt>
                <c:pt idx="115">
                  <c:v>45642</c:v>
                </c:pt>
                <c:pt idx="116">
                  <c:v>45643</c:v>
                </c:pt>
                <c:pt idx="117">
                  <c:v>45644</c:v>
                </c:pt>
                <c:pt idx="118">
                  <c:v>45645</c:v>
                </c:pt>
                <c:pt idx="119">
                  <c:v>45646</c:v>
                </c:pt>
                <c:pt idx="120">
                  <c:v>45649</c:v>
                </c:pt>
                <c:pt idx="121">
                  <c:v>45650</c:v>
                </c:pt>
                <c:pt idx="122">
                  <c:v>45652</c:v>
                </c:pt>
                <c:pt idx="123">
                  <c:v>45653</c:v>
                </c:pt>
                <c:pt idx="124">
                  <c:v>45656</c:v>
                </c:pt>
                <c:pt idx="125">
                  <c:v>45657</c:v>
                </c:pt>
                <c:pt idx="126">
                  <c:v>45658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45666</c:v>
                </c:pt>
                <c:pt idx="133">
                  <c:v>45667</c:v>
                </c:pt>
                <c:pt idx="134">
                  <c:v>45670</c:v>
                </c:pt>
                <c:pt idx="135">
                  <c:v>45671</c:v>
                </c:pt>
                <c:pt idx="136">
                  <c:v>45672</c:v>
                </c:pt>
                <c:pt idx="137">
                  <c:v>45673</c:v>
                </c:pt>
                <c:pt idx="138">
                  <c:v>45674</c:v>
                </c:pt>
                <c:pt idx="139">
                  <c:v>45677</c:v>
                </c:pt>
                <c:pt idx="140">
                  <c:v>45678</c:v>
                </c:pt>
                <c:pt idx="141">
                  <c:v>45679</c:v>
                </c:pt>
                <c:pt idx="142">
                  <c:v>45680</c:v>
                </c:pt>
                <c:pt idx="143">
                  <c:v>45681</c:v>
                </c:pt>
                <c:pt idx="144">
                  <c:v>45684</c:v>
                </c:pt>
                <c:pt idx="145">
                  <c:v>45685</c:v>
                </c:pt>
                <c:pt idx="146">
                  <c:v>45686</c:v>
                </c:pt>
                <c:pt idx="147">
                  <c:v>45687</c:v>
                </c:pt>
                <c:pt idx="148">
                  <c:v>45688</c:v>
                </c:pt>
                <c:pt idx="149">
                  <c:v>45689</c:v>
                </c:pt>
                <c:pt idx="150">
                  <c:v>45691</c:v>
                </c:pt>
                <c:pt idx="151">
                  <c:v>45692</c:v>
                </c:pt>
                <c:pt idx="152">
                  <c:v>45693</c:v>
                </c:pt>
                <c:pt idx="153">
                  <c:v>45694</c:v>
                </c:pt>
                <c:pt idx="154">
                  <c:v>45695</c:v>
                </c:pt>
                <c:pt idx="155">
                  <c:v>45698</c:v>
                </c:pt>
                <c:pt idx="156">
                  <c:v>45699</c:v>
                </c:pt>
                <c:pt idx="157">
                  <c:v>45700</c:v>
                </c:pt>
                <c:pt idx="158">
                  <c:v>45701</c:v>
                </c:pt>
                <c:pt idx="159">
                  <c:v>45702</c:v>
                </c:pt>
                <c:pt idx="160">
                  <c:v>45705</c:v>
                </c:pt>
                <c:pt idx="161">
                  <c:v>45706</c:v>
                </c:pt>
                <c:pt idx="162">
                  <c:v>45707</c:v>
                </c:pt>
                <c:pt idx="163">
                  <c:v>45708</c:v>
                </c:pt>
                <c:pt idx="164">
                  <c:v>45709</c:v>
                </c:pt>
                <c:pt idx="165">
                  <c:v>45712</c:v>
                </c:pt>
                <c:pt idx="166">
                  <c:v>45713</c:v>
                </c:pt>
                <c:pt idx="167">
                  <c:v>45715</c:v>
                </c:pt>
                <c:pt idx="168">
                  <c:v>45716</c:v>
                </c:pt>
                <c:pt idx="169">
                  <c:v>45719</c:v>
                </c:pt>
                <c:pt idx="170">
                  <c:v>45720</c:v>
                </c:pt>
                <c:pt idx="171">
                  <c:v>45721</c:v>
                </c:pt>
                <c:pt idx="172">
                  <c:v>45722</c:v>
                </c:pt>
                <c:pt idx="173">
                  <c:v>45723</c:v>
                </c:pt>
                <c:pt idx="174">
                  <c:v>45726</c:v>
                </c:pt>
                <c:pt idx="175">
                  <c:v>45727</c:v>
                </c:pt>
                <c:pt idx="176">
                  <c:v>45728</c:v>
                </c:pt>
                <c:pt idx="177">
                  <c:v>45729</c:v>
                </c:pt>
                <c:pt idx="178">
                  <c:v>45733</c:v>
                </c:pt>
                <c:pt idx="179">
                  <c:v>45734</c:v>
                </c:pt>
                <c:pt idx="180">
                  <c:v>45735</c:v>
                </c:pt>
                <c:pt idx="181">
                  <c:v>45736</c:v>
                </c:pt>
                <c:pt idx="182">
                  <c:v>45737</c:v>
                </c:pt>
                <c:pt idx="183">
                  <c:v>45740</c:v>
                </c:pt>
                <c:pt idx="184">
                  <c:v>45741</c:v>
                </c:pt>
                <c:pt idx="185">
                  <c:v>45742</c:v>
                </c:pt>
                <c:pt idx="186">
                  <c:v>45743</c:v>
                </c:pt>
                <c:pt idx="187">
                  <c:v>45744</c:v>
                </c:pt>
                <c:pt idx="188">
                  <c:v>45748</c:v>
                </c:pt>
                <c:pt idx="189">
                  <c:v>45749</c:v>
                </c:pt>
                <c:pt idx="190">
                  <c:v>45750</c:v>
                </c:pt>
                <c:pt idx="191">
                  <c:v>45751</c:v>
                </c:pt>
                <c:pt idx="192">
                  <c:v>45754</c:v>
                </c:pt>
                <c:pt idx="193">
                  <c:v>45755</c:v>
                </c:pt>
                <c:pt idx="194">
                  <c:v>45756</c:v>
                </c:pt>
                <c:pt idx="195">
                  <c:v>45758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45768</c:v>
                </c:pt>
                <c:pt idx="200">
                  <c:v>45769</c:v>
                </c:pt>
                <c:pt idx="201">
                  <c:v>45770</c:v>
                </c:pt>
                <c:pt idx="202">
                  <c:v>45771</c:v>
                </c:pt>
                <c:pt idx="203">
                  <c:v>45772</c:v>
                </c:pt>
                <c:pt idx="204">
                  <c:v>45775</c:v>
                </c:pt>
                <c:pt idx="205">
                  <c:v>45776</c:v>
                </c:pt>
                <c:pt idx="206">
                  <c:v>45777</c:v>
                </c:pt>
                <c:pt idx="207">
                  <c:v>45779</c:v>
                </c:pt>
                <c:pt idx="208">
                  <c:v>45782</c:v>
                </c:pt>
                <c:pt idx="209">
                  <c:v>45783</c:v>
                </c:pt>
                <c:pt idx="210">
                  <c:v>45784</c:v>
                </c:pt>
                <c:pt idx="211">
                  <c:v>45785</c:v>
                </c:pt>
                <c:pt idx="212">
                  <c:v>45786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45796</c:v>
                </c:pt>
                <c:pt idx="219">
                  <c:v>45797</c:v>
                </c:pt>
                <c:pt idx="220">
                  <c:v>45798</c:v>
                </c:pt>
                <c:pt idx="221">
                  <c:v>45799</c:v>
                </c:pt>
                <c:pt idx="222">
                  <c:v>45800</c:v>
                </c:pt>
                <c:pt idx="223">
                  <c:v>45803</c:v>
                </c:pt>
                <c:pt idx="224">
                  <c:v>45804</c:v>
                </c:pt>
                <c:pt idx="225">
                  <c:v>45805</c:v>
                </c:pt>
                <c:pt idx="226">
                  <c:v>45806</c:v>
                </c:pt>
                <c:pt idx="227">
                  <c:v>45807</c:v>
                </c:pt>
                <c:pt idx="228">
                  <c:v>45810</c:v>
                </c:pt>
                <c:pt idx="229">
                  <c:v>45811</c:v>
                </c:pt>
                <c:pt idx="230">
                  <c:v>45812</c:v>
                </c:pt>
                <c:pt idx="231">
                  <c:v>45813</c:v>
                </c:pt>
                <c:pt idx="232">
                  <c:v>45814</c:v>
                </c:pt>
                <c:pt idx="233">
                  <c:v>45817</c:v>
                </c:pt>
                <c:pt idx="234">
                  <c:v>45818</c:v>
                </c:pt>
                <c:pt idx="235">
                  <c:v>45819</c:v>
                </c:pt>
                <c:pt idx="236">
                  <c:v>45820</c:v>
                </c:pt>
                <c:pt idx="237">
                  <c:v>45821</c:v>
                </c:pt>
                <c:pt idx="238">
                  <c:v>45824</c:v>
                </c:pt>
                <c:pt idx="239">
                  <c:v>45825</c:v>
                </c:pt>
                <c:pt idx="240">
                  <c:v>45826</c:v>
                </c:pt>
                <c:pt idx="241">
                  <c:v>45827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45842</c:v>
                </c:pt>
                <c:pt idx="253">
                  <c:v>45845</c:v>
                </c:pt>
                <c:pt idx="254">
                  <c:v>45846</c:v>
                </c:pt>
                <c:pt idx="255">
                  <c:v>45847</c:v>
                </c:pt>
                <c:pt idx="256">
                  <c:v>45848</c:v>
                </c:pt>
                <c:pt idx="257">
                  <c:v>45849</c:v>
                </c:pt>
                <c:pt idx="258">
                  <c:v>45852</c:v>
                </c:pt>
                <c:pt idx="259">
                  <c:v>45853</c:v>
                </c:pt>
                <c:pt idx="260">
                  <c:v>45854</c:v>
                </c:pt>
                <c:pt idx="261">
                  <c:v>45855</c:v>
                </c:pt>
                <c:pt idx="262">
                  <c:v>45856</c:v>
                </c:pt>
                <c:pt idx="263">
                  <c:v>45859</c:v>
                </c:pt>
                <c:pt idx="264">
                  <c:v>45860</c:v>
                </c:pt>
                <c:pt idx="265">
                  <c:v>45861</c:v>
                </c:pt>
                <c:pt idx="266">
                  <c:v>45862</c:v>
                </c:pt>
                <c:pt idx="267">
                  <c:v>45863</c:v>
                </c:pt>
                <c:pt idx="268">
                  <c:v>45866</c:v>
                </c:pt>
                <c:pt idx="269">
                  <c:v>45867</c:v>
                </c:pt>
                <c:pt idx="270">
                  <c:v>45868</c:v>
                </c:pt>
                <c:pt idx="271">
                  <c:v>45869</c:v>
                </c:pt>
                <c:pt idx="272">
                  <c:v>45870</c:v>
                </c:pt>
                <c:pt idx="273">
                  <c:v>45873</c:v>
                </c:pt>
                <c:pt idx="274">
                  <c:v>45874</c:v>
                </c:pt>
                <c:pt idx="275">
                  <c:v>45875</c:v>
                </c:pt>
                <c:pt idx="276">
                  <c:v>45876</c:v>
                </c:pt>
                <c:pt idx="277">
                  <c:v>45877</c:v>
                </c:pt>
                <c:pt idx="278">
                  <c:v>45880</c:v>
                </c:pt>
                <c:pt idx="279">
                  <c:v>45881</c:v>
                </c:pt>
                <c:pt idx="280">
                  <c:v>45882</c:v>
                </c:pt>
                <c:pt idx="281">
                  <c:v>45883</c:v>
                </c:pt>
                <c:pt idx="282">
                  <c:v>45887</c:v>
                </c:pt>
                <c:pt idx="283">
                  <c:v>45888</c:v>
                </c:pt>
                <c:pt idx="284">
                  <c:v>45889</c:v>
                </c:pt>
                <c:pt idx="285">
                  <c:v>45890</c:v>
                </c:pt>
                <c:pt idx="286">
                  <c:v>45891</c:v>
                </c:pt>
                <c:pt idx="287">
                  <c:v>45894</c:v>
                </c:pt>
                <c:pt idx="288">
                  <c:v>45895</c:v>
                </c:pt>
                <c:pt idx="289">
                  <c:v>45897</c:v>
                </c:pt>
                <c:pt idx="290">
                  <c:v>45898</c:v>
                </c:pt>
                <c:pt idx="291">
                  <c:v>45901</c:v>
                </c:pt>
                <c:pt idx="292">
                  <c:v>45902</c:v>
                </c:pt>
                <c:pt idx="293">
                  <c:v>45903</c:v>
                </c:pt>
                <c:pt idx="294">
                  <c:v>45904</c:v>
                </c:pt>
                <c:pt idx="295">
                  <c:v>45905</c:v>
                </c:pt>
                <c:pt idx="296">
                  <c:v>45908</c:v>
                </c:pt>
                <c:pt idx="297">
                  <c:v>45909</c:v>
                </c:pt>
                <c:pt idx="298">
                  <c:v>45910</c:v>
                </c:pt>
                <c:pt idx="299">
                  <c:v>45911</c:v>
                </c:pt>
                <c:pt idx="300">
                  <c:v>45912</c:v>
                </c:pt>
                <c:pt idx="301">
                  <c:v>45915</c:v>
                </c:pt>
                <c:pt idx="302">
                  <c:v>45916</c:v>
                </c:pt>
                <c:pt idx="303">
                  <c:v>45917</c:v>
                </c:pt>
                <c:pt idx="304">
                  <c:v>45918</c:v>
                </c:pt>
                <c:pt idx="305">
                  <c:v>45919</c:v>
                </c:pt>
                <c:pt idx="306">
                  <c:v>45922</c:v>
                </c:pt>
                <c:pt idx="307">
                  <c:v>45923</c:v>
                </c:pt>
                <c:pt idx="308">
                  <c:v>45924</c:v>
                </c:pt>
                <c:pt idx="309">
                  <c:v>45925</c:v>
                </c:pt>
                <c:pt idx="310">
                  <c:v>45926</c:v>
                </c:pt>
                <c:pt idx="311">
                  <c:v>45929</c:v>
                </c:pt>
                <c:pt idx="312">
                  <c:v>45930</c:v>
                </c:pt>
                <c:pt idx="313">
                  <c:v>45931</c:v>
                </c:pt>
                <c:pt idx="314">
                  <c:v>45933</c:v>
                </c:pt>
                <c:pt idx="315">
                  <c:v>45936</c:v>
                </c:pt>
                <c:pt idx="316">
                  <c:v>45937</c:v>
                </c:pt>
                <c:pt idx="317">
                  <c:v>45938</c:v>
                </c:pt>
                <c:pt idx="318">
                  <c:v>45939</c:v>
                </c:pt>
                <c:pt idx="319">
                  <c:v>45940</c:v>
                </c:pt>
                <c:pt idx="320">
                  <c:v>45943</c:v>
                </c:pt>
                <c:pt idx="321">
                  <c:v>45944</c:v>
                </c:pt>
                <c:pt idx="322">
                  <c:v>45945</c:v>
                </c:pt>
                <c:pt idx="323">
                  <c:v>45946</c:v>
                </c:pt>
                <c:pt idx="324">
                  <c:v>45947</c:v>
                </c:pt>
                <c:pt idx="325">
                  <c:v>45950</c:v>
                </c:pt>
                <c:pt idx="326">
                  <c:v>45951</c:v>
                </c:pt>
                <c:pt idx="327">
                  <c:v>45953</c:v>
                </c:pt>
                <c:pt idx="328">
                  <c:v>45954</c:v>
                </c:pt>
                <c:pt idx="329">
                  <c:v>45957</c:v>
                </c:pt>
                <c:pt idx="330">
                  <c:v>45958</c:v>
                </c:pt>
                <c:pt idx="331">
                  <c:v>45959</c:v>
                </c:pt>
                <c:pt idx="332">
                  <c:v>45960</c:v>
                </c:pt>
                <c:pt idx="333">
                  <c:v>45961</c:v>
                </c:pt>
                <c:pt idx="334">
                  <c:v>45964</c:v>
                </c:pt>
                <c:pt idx="335">
                  <c:v>45965</c:v>
                </c:pt>
                <c:pt idx="336">
                  <c:v>45967</c:v>
                </c:pt>
                <c:pt idx="337">
                  <c:v>45968</c:v>
                </c:pt>
                <c:pt idx="338">
                  <c:v>45971</c:v>
                </c:pt>
                <c:pt idx="339">
                  <c:v>45972</c:v>
                </c:pt>
                <c:pt idx="340">
                  <c:v>45973</c:v>
                </c:pt>
                <c:pt idx="341">
                  <c:v>45974</c:v>
                </c:pt>
                <c:pt idx="342">
                  <c:v>45975</c:v>
                </c:pt>
                <c:pt idx="343">
                  <c:v>45978</c:v>
                </c:pt>
                <c:pt idx="344">
                  <c:v>45979</c:v>
                </c:pt>
                <c:pt idx="345">
                  <c:v>45980</c:v>
                </c:pt>
                <c:pt idx="346">
                  <c:v>45981</c:v>
                </c:pt>
                <c:pt idx="347">
                  <c:v>45982</c:v>
                </c:pt>
                <c:pt idx="348">
                  <c:v>45985</c:v>
                </c:pt>
                <c:pt idx="349">
                  <c:v>45986</c:v>
                </c:pt>
                <c:pt idx="350">
                  <c:v>45987</c:v>
                </c:pt>
                <c:pt idx="351">
                  <c:v>45988</c:v>
                </c:pt>
                <c:pt idx="352">
                  <c:v>45989</c:v>
                </c:pt>
                <c:pt idx="353">
                  <c:v>45992</c:v>
                </c:pt>
                <c:pt idx="354">
                  <c:v>45993</c:v>
                </c:pt>
                <c:pt idx="355">
                  <c:v>45994</c:v>
                </c:pt>
                <c:pt idx="356">
                  <c:v>45995</c:v>
                </c:pt>
                <c:pt idx="357">
                  <c:v>45996</c:v>
                </c:pt>
                <c:pt idx="358">
                  <c:v>45999</c:v>
                </c:pt>
                <c:pt idx="359">
                  <c:v>46000</c:v>
                </c:pt>
                <c:pt idx="360">
                  <c:v>46001</c:v>
                </c:pt>
                <c:pt idx="361">
                  <c:v>46002</c:v>
                </c:pt>
                <c:pt idx="362">
                  <c:v>46003</c:v>
                </c:pt>
                <c:pt idx="363">
                  <c:v>46006</c:v>
                </c:pt>
                <c:pt idx="364">
                  <c:v>46007</c:v>
                </c:pt>
                <c:pt idx="365">
                  <c:v>46008</c:v>
                </c:pt>
                <c:pt idx="366">
                  <c:v>46009</c:v>
                </c:pt>
                <c:pt idx="367">
                  <c:v>46010</c:v>
                </c:pt>
                <c:pt idx="368">
                  <c:v>46013</c:v>
                </c:pt>
                <c:pt idx="369">
                  <c:v>46014</c:v>
                </c:pt>
                <c:pt idx="370">
                  <c:v>46015</c:v>
                </c:pt>
                <c:pt idx="371">
                  <c:v>46017</c:v>
                </c:pt>
                <c:pt idx="372">
                  <c:v>46020</c:v>
                </c:pt>
                <c:pt idx="373">
                  <c:v>46021</c:v>
                </c:pt>
                <c:pt idx="374">
                  <c:v>46022</c:v>
                </c:pt>
                <c:pt idx="375">
                  <c:v>46023</c:v>
                </c:pt>
                <c:pt idx="376">
                  <c:v>46024</c:v>
                </c:pt>
                <c:pt idx="377">
                  <c:v>46027</c:v>
                </c:pt>
                <c:pt idx="378">
                  <c:v>46028</c:v>
                </c:pt>
                <c:pt idx="379">
                  <c:v>46029</c:v>
                </c:pt>
                <c:pt idx="380">
                  <c:v>46030</c:v>
                </c:pt>
                <c:pt idx="381">
                  <c:v>46031</c:v>
                </c:pt>
                <c:pt idx="382">
                  <c:v>46034</c:v>
                </c:pt>
                <c:pt idx="383">
                  <c:v>46035</c:v>
                </c:pt>
                <c:pt idx="384">
                  <c:v>46036</c:v>
                </c:pt>
                <c:pt idx="385">
                  <c:v>46038</c:v>
                </c:pt>
                <c:pt idx="386">
                  <c:v>46041</c:v>
                </c:pt>
                <c:pt idx="387">
                  <c:v>46042</c:v>
                </c:pt>
                <c:pt idx="388">
                  <c:v>46043</c:v>
                </c:pt>
                <c:pt idx="389">
                  <c:v>46044</c:v>
                </c:pt>
                <c:pt idx="390">
                  <c:v>46045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46062</c:v>
                </c:pt>
                <c:pt idx="402">
                  <c:v>46063</c:v>
                </c:pt>
                <c:pt idx="403">
                  <c:v>46064</c:v>
                </c:pt>
                <c:pt idx="404">
                  <c:v>46065</c:v>
                </c:pt>
                <c:pt idx="405">
                  <c:v>46066</c:v>
                </c:pt>
                <c:pt idx="406">
                  <c:v>46069</c:v>
                </c:pt>
                <c:pt idx="407">
                  <c:v>46070</c:v>
                </c:pt>
                <c:pt idx="408">
                  <c:v>46071</c:v>
                </c:pt>
                <c:pt idx="409">
                  <c:v>46072</c:v>
                </c:pt>
                <c:pt idx="410">
                  <c:v>46073</c:v>
                </c:pt>
                <c:pt idx="411">
                  <c:v>46076</c:v>
                </c:pt>
                <c:pt idx="412">
                  <c:v>46077</c:v>
                </c:pt>
                <c:pt idx="413">
                  <c:v>46078</c:v>
                </c:pt>
                <c:pt idx="414">
                  <c:v>46079</c:v>
                </c:pt>
                <c:pt idx="415">
                  <c:v>46080</c:v>
                </c:pt>
                <c:pt idx="416">
                  <c:v>46083</c:v>
                </c:pt>
                <c:pt idx="417">
                  <c:v>46085</c:v>
                </c:pt>
                <c:pt idx="418">
                  <c:v>46086</c:v>
                </c:pt>
                <c:pt idx="419">
                  <c:v>46087</c:v>
                </c:pt>
                <c:pt idx="420">
                  <c:v>46090</c:v>
                </c:pt>
                <c:pt idx="421">
                  <c:v>46091</c:v>
                </c:pt>
                <c:pt idx="422">
                  <c:v>46092</c:v>
                </c:pt>
                <c:pt idx="423">
                  <c:v>46093</c:v>
                </c:pt>
                <c:pt idx="424">
                  <c:v>46094</c:v>
                </c:pt>
                <c:pt idx="425">
                  <c:v>46097</c:v>
                </c:pt>
                <c:pt idx="426">
                  <c:v>46098</c:v>
                </c:pt>
                <c:pt idx="427">
                  <c:v>46099</c:v>
                </c:pt>
                <c:pt idx="428">
                  <c:v>46100</c:v>
                </c:pt>
                <c:pt idx="429">
                  <c:v>46101</c:v>
                </c:pt>
                <c:pt idx="430">
                  <c:v>46104</c:v>
                </c:pt>
                <c:pt idx="431">
                  <c:v>46105</c:v>
                </c:pt>
                <c:pt idx="432">
                  <c:v>46106</c:v>
                </c:pt>
                <c:pt idx="433">
                  <c:v>46108</c:v>
                </c:pt>
                <c:pt idx="434">
                  <c:v>46111</c:v>
                </c:pt>
                <c:pt idx="435">
                  <c:v>46113</c:v>
                </c:pt>
                <c:pt idx="436">
                  <c:v>46114</c:v>
                </c:pt>
                <c:pt idx="437">
                  <c:v>46118</c:v>
                </c:pt>
                <c:pt idx="438">
                  <c:v>46119</c:v>
                </c:pt>
                <c:pt idx="439">
                  <c:v>46120</c:v>
                </c:pt>
                <c:pt idx="440">
                  <c:v>46121</c:v>
                </c:pt>
                <c:pt idx="441">
                  <c:v>46122</c:v>
                </c:pt>
                <c:pt idx="442">
                  <c:v>46125</c:v>
                </c:pt>
                <c:pt idx="443">
                  <c:v>46127</c:v>
                </c:pt>
                <c:pt idx="444">
                  <c:v>46128</c:v>
                </c:pt>
                <c:pt idx="445">
                  <c:v>46129</c:v>
                </c:pt>
                <c:pt idx="446">
                  <c:v>46132</c:v>
                </c:pt>
                <c:pt idx="447">
                  <c:v>46133</c:v>
                </c:pt>
                <c:pt idx="448">
                  <c:v>46134</c:v>
                </c:pt>
                <c:pt idx="449">
                  <c:v>46135</c:v>
                </c:pt>
                <c:pt idx="450">
                  <c:v>46136</c:v>
                </c:pt>
                <c:pt idx="451">
                  <c:v>46139</c:v>
                </c:pt>
                <c:pt idx="452">
                  <c:v>46140</c:v>
                </c:pt>
                <c:pt idx="453">
                  <c:v>46141</c:v>
                </c:pt>
                <c:pt idx="454">
                  <c:v>46142</c:v>
                </c:pt>
                <c:pt idx="455">
                  <c:v>46146</c:v>
                </c:pt>
                <c:pt idx="456">
                  <c:v>46147</c:v>
                </c:pt>
                <c:pt idx="457">
                  <c:v>46148</c:v>
                </c:pt>
                <c:pt idx="458">
                  <c:v>46149</c:v>
                </c:pt>
                <c:pt idx="459">
                  <c:v>46150</c:v>
                </c:pt>
                <c:pt idx="460">
                  <c:v>46153</c:v>
                </c:pt>
                <c:pt idx="461">
                  <c:v>46154</c:v>
                </c:pt>
                <c:pt idx="462">
                  <c:v>46155</c:v>
                </c:pt>
                <c:pt idx="463">
                  <c:v>46156</c:v>
                </c:pt>
                <c:pt idx="464">
                  <c:v>46157</c:v>
                </c:pt>
                <c:pt idx="465">
                  <c:v>46160</c:v>
                </c:pt>
                <c:pt idx="466">
                  <c:v>46161</c:v>
                </c:pt>
                <c:pt idx="467">
                  <c:v>46162</c:v>
                </c:pt>
                <c:pt idx="468">
                  <c:v>46163</c:v>
                </c:pt>
                <c:pt idx="469">
                  <c:v>46164</c:v>
                </c:pt>
                <c:pt idx="470">
                  <c:v>46167</c:v>
                </c:pt>
                <c:pt idx="471">
                  <c:v>46168</c:v>
                </c:pt>
                <c:pt idx="472">
                  <c:v>46169</c:v>
                </c:pt>
                <c:pt idx="473">
                  <c:v>46171</c:v>
                </c:pt>
                <c:pt idx="474">
                  <c:v>46174</c:v>
                </c:pt>
                <c:pt idx="475">
                  <c:v>46175</c:v>
                </c:pt>
                <c:pt idx="476">
                  <c:v>46176</c:v>
                </c:pt>
                <c:pt idx="477">
                  <c:v>46177</c:v>
                </c:pt>
                <c:pt idx="478">
                  <c:v>46178</c:v>
                </c:pt>
                <c:pt idx="479">
                  <c:v>46181</c:v>
                </c:pt>
                <c:pt idx="480">
                  <c:v>46182</c:v>
                </c:pt>
                <c:pt idx="481">
                  <c:v>46183</c:v>
                </c:pt>
                <c:pt idx="482">
                  <c:v>46184</c:v>
                </c:pt>
                <c:pt idx="483">
                  <c:v>46185</c:v>
                </c:pt>
                <c:pt idx="484">
                  <c:v>46188</c:v>
                </c:pt>
                <c:pt idx="485">
                  <c:v>46189</c:v>
                </c:pt>
                <c:pt idx="486">
                  <c:v>46190</c:v>
                </c:pt>
                <c:pt idx="487">
                  <c:v>46191</c:v>
                </c:pt>
                <c:pt idx="488">
                  <c:v>46192</c:v>
                </c:pt>
                <c:pt idx="489">
                  <c:v>46195</c:v>
                </c:pt>
                <c:pt idx="490">
                  <c:v>46196</c:v>
                </c:pt>
                <c:pt idx="491">
                  <c:v>46197</c:v>
                </c:pt>
                <c:pt idx="492">
                  <c:v>46198</c:v>
                </c:pt>
                <c:pt idx="493">
                  <c:v>46202</c:v>
                </c:pt>
                <c:pt idx="494">
                  <c:v>46203</c:v>
                </c:pt>
              </c:numCache>
            </c:numRef>
          </c:cat>
          <c:val>
            <c:numRef>
              <c:f>'DR.REDDY''S'!$H$2:$H$496</c:f>
              <c:numCache>
                <c:formatCode>#,##0.00</c:formatCode>
                <c:ptCount val="495"/>
                <c:pt idx="0">
                  <c:v>6353.7</c:v>
                </c:pt>
                <c:pt idx="1">
                  <c:v>6370.25</c:v>
                </c:pt>
                <c:pt idx="2">
                  <c:v>6425.9</c:v>
                </c:pt>
                <c:pt idx="3">
                  <c:v>6479.35</c:v>
                </c:pt>
                <c:pt idx="4">
                  <c:v>6520</c:v>
                </c:pt>
                <c:pt idx="5">
                  <c:v>6534.15</c:v>
                </c:pt>
                <c:pt idx="6">
                  <c:v>6582.85</c:v>
                </c:pt>
                <c:pt idx="7">
                  <c:v>6592.55</c:v>
                </c:pt>
                <c:pt idx="8">
                  <c:v>6594.75</c:v>
                </c:pt>
                <c:pt idx="9">
                  <c:v>6719.45</c:v>
                </c:pt>
                <c:pt idx="10">
                  <c:v>6794.75</c:v>
                </c:pt>
                <c:pt idx="11">
                  <c:v>6646.05</c:v>
                </c:pt>
                <c:pt idx="12">
                  <c:v>6667.5</c:v>
                </c:pt>
                <c:pt idx="13">
                  <c:v>6636</c:v>
                </c:pt>
                <c:pt idx="14">
                  <c:v>6770.9</c:v>
                </c:pt>
                <c:pt idx="15">
                  <c:v>6865</c:v>
                </c:pt>
                <c:pt idx="16">
                  <c:v>6820.15</c:v>
                </c:pt>
                <c:pt idx="17">
                  <c:v>6853.2</c:v>
                </c:pt>
                <c:pt idx="18">
                  <c:v>6878.65</c:v>
                </c:pt>
                <c:pt idx="19">
                  <c:v>6840.05</c:v>
                </c:pt>
                <c:pt idx="20">
                  <c:v>6804.15</c:v>
                </c:pt>
                <c:pt idx="21">
                  <c:v>6750.5</c:v>
                </c:pt>
                <c:pt idx="22">
                  <c:v>6887.95</c:v>
                </c:pt>
                <c:pt idx="23">
                  <c:v>6964.15</c:v>
                </c:pt>
                <c:pt idx="24">
                  <c:v>6812.05</c:v>
                </c:pt>
                <c:pt idx="25">
                  <c:v>6807.4</c:v>
                </c:pt>
                <c:pt idx="26">
                  <c:v>6926.35</c:v>
                </c:pt>
                <c:pt idx="27">
                  <c:v>6938.3</c:v>
                </c:pt>
                <c:pt idx="28">
                  <c:v>7013.5</c:v>
                </c:pt>
                <c:pt idx="29">
                  <c:v>6886.55</c:v>
                </c:pt>
                <c:pt idx="30">
                  <c:v>6948.4</c:v>
                </c:pt>
                <c:pt idx="31">
                  <c:v>6801.05</c:v>
                </c:pt>
                <c:pt idx="32">
                  <c:v>6793.6</c:v>
                </c:pt>
                <c:pt idx="33">
                  <c:v>6911.35</c:v>
                </c:pt>
                <c:pt idx="34">
                  <c:v>6965.35</c:v>
                </c:pt>
                <c:pt idx="35">
                  <c:v>7062.45</c:v>
                </c:pt>
                <c:pt idx="36">
                  <c:v>6969.05</c:v>
                </c:pt>
                <c:pt idx="37">
                  <c:v>6954.5</c:v>
                </c:pt>
                <c:pt idx="38">
                  <c:v>6943.3</c:v>
                </c:pt>
                <c:pt idx="39">
                  <c:v>6962.95</c:v>
                </c:pt>
                <c:pt idx="40">
                  <c:v>6999.3</c:v>
                </c:pt>
                <c:pt idx="41">
                  <c:v>6931.15</c:v>
                </c:pt>
                <c:pt idx="42">
                  <c:v>7031.35</c:v>
                </c:pt>
                <c:pt idx="43">
                  <c:v>6872.15</c:v>
                </c:pt>
                <c:pt idx="44">
                  <c:v>6853.85</c:v>
                </c:pt>
                <c:pt idx="45">
                  <c:v>6787.2</c:v>
                </c:pt>
                <c:pt idx="46">
                  <c:v>6695.75</c:v>
                </c:pt>
                <c:pt idx="47">
                  <c:v>6667.15</c:v>
                </c:pt>
                <c:pt idx="48">
                  <c:v>6655.9</c:v>
                </c:pt>
                <c:pt idx="49">
                  <c:v>6650.4</c:v>
                </c:pt>
                <c:pt idx="50">
                  <c:v>6612.5</c:v>
                </c:pt>
                <c:pt idx="51">
                  <c:v>6683.85</c:v>
                </c:pt>
                <c:pt idx="52">
                  <c:v>6660.7</c:v>
                </c:pt>
                <c:pt idx="53">
                  <c:v>6647.1</c:v>
                </c:pt>
                <c:pt idx="54">
                  <c:v>6631.65</c:v>
                </c:pt>
                <c:pt idx="55">
                  <c:v>6567.8</c:v>
                </c:pt>
                <c:pt idx="56">
                  <c:v>6502.55</c:v>
                </c:pt>
                <c:pt idx="57">
                  <c:v>6551.15</c:v>
                </c:pt>
                <c:pt idx="58">
                  <c:v>6654.45</c:v>
                </c:pt>
                <c:pt idx="59">
                  <c:v>6650.35</c:v>
                </c:pt>
                <c:pt idx="60">
                  <c:v>6691.45</c:v>
                </c:pt>
                <c:pt idx="61">
                  <c:v>6744.4</c:v>
                </c:pt>
                <c:pt idx="62">
                  <c:v>6749.9</c:v>
                </c:pt>
                <c:pt idx="63">
                  <c:v>6751.6</c:v>
                </c:pt>
                <c:pt idx="64">
                  <c:v>6749.1</c:v>
                </c:pt>
                <c:pt idx="65">
                  <c:v>6735.65</c:v>
                </c:pt>
                <c:pt idx="66">
                  <c:v>6633.25</c:v>
                </c:pt>
                <c:pt idx="67">
                  <c:v>6609.9</c:v>
                </c:pt>
                <c:pt idx="68">
                  <c:v>6656.05</c:v>
                </c:pt>
                <c:pt idx="69">
                  <c:v>6664.85</c:v>
                </c:pt>
                <c:pt idx="70">
                  <c:v>6583.1</c:v>
                </c:pt>
                <c:pt idx="71">
                  <c:v>6599.2</c:v>
                </c:pt>
                <c:pt idx="72">
                  <c:v>6659.9</c:v>
                </c:pt>
                <c:pt idx="73">
                  <c:v>6611.65</c:v>
                </c:pt>
                <c:pt idx="74">
                  <c:v>6710.9</c:v>
                </c:pt>
                <c:pt idx="75">
                  <c:v>6704.05</c:v>
                </c:pt>
                <c:pt idx="76">
                  <c:v>6741.1</c:v>
                </c:pt>
                <c:pt idx="77">
                  <c:v>6697.4</c:v>
                </c:pt>
                <c:pt idx="78">
                  <c:v>6662.4</c:v>
                </c:pt>
                <c:pt idx="79">
                  <c:v>6607.9</c:v>
                </c:pt>
                <c:pt idx="80">
                  <c:v>6582.7</c:v>
                </c:pt>
                <c:pt idx="81">
                  <c:v>6514.7</c:v>
                </c:pt>
                <c:pt idx="82">
                  <c:v>1311.5</c:v>
                </c:pt>
                <c:pt idx="83">
                  <c:v>1274.7</c:v>
                </c:pt>
                <c:pt idx="84">
                  <c:v>1249.8499999999999</c:v>
                </c:pt>
                <c:pt idx="85">
                  <c:v>1274.2</c:v>
                </c:pt>
                <c:pt idx="86">
                  <c:v>1259.5999999999999</c:v>
                </c:pt>
                <c:pt idx="87">
                  <c:v>1268.3</c:v>
                </c:pt>
                <c:pt idx="88">
                  <c:v>1272.2</c:v>
                </c:pt>
                <c:pt idx="89">
                  <c:v>1302.0999999999999</c:v>
                </c:pt>
                <c:pt idx="90">
                  <c:v>1287.3499999999999</c:v>
                </c:pt>
                <c:pt idx="91">
                  <c:v>1283.6500000000001</c:v>
                </c:pt>
                <c:pt idx="92">
                  <c:v>1287.9000000000001</c:v>
                </c:pt>
                <c:pt idx="93">
                  <c:v>1263.9000000000001</c:v>
                </c:pt>
                <c:pt idx="94">
                  <c:v>1245</c:v>
                </c:pt>
                <c:pt idx="95">
                  <c:v>1226.7</c:v>
                </c:pt>
                <c:pt idx="96">
                  <c:v>1193.55</c:v>
                </c:pt>
                <c:pt idx="97">
                  <c:v>1213.45</c:v>
                </c:pt>
                <c:pt idx="98">
                  <c:v>1195.3499999999999</c:v>
                </c:pt>
                <c:pt idx="99">
                  <c:v>1214.45</c:v>
                </c:pt>
                <c:pt idx="100">
                  <c:v>1209.3</c:v>
                </c:pt>
                <c:pt idx="101">
                  <c:v>1208.6500000000001</c:v>
                </c:pt>
                <c:pt idx="102">
                  <c:v>1199.9000000000001</c:v>
                </c:pt>
                <c:pt idx="103">
                  <c:v>1191.95</c:v>
                </c:pt>
                <c:pt idx="104">
                  <c:v>1202.3</c:v>
                </c:pt>
                <c:pt idx="105">
                  <c:v>1221.75</c:v>
                </c:pt>
                <c:pt idx="106">
                  <c:v>1224.5</c:v>
                </c:pt>
                <c:pt idx="107">
                  <c:v>1215.55</c:v>
                </c:pt>
                <c:pt idx="108">
                  <c:v>1239.8499999999999</c:v>
                </c:pt>
                <c:pt idx="109">
                  <c:v>1253.7</c:v>
                </c:pt>
                <c:pt idx="110">
                  <c:v>1255.1500000000001</c:v>
                </c:pt>
                <c:pt idx="111">
                  <c:v>1240.3499999999999</c:v>
                </c:pt>
                <c:pt idx="112">
                  <c:v>1238.55</c:v>
                </c:pt>
                <c:pt idx="113">
                  <c:v>1245.4000000000001</c:v>
                </c:pt>
                <c:pt idx="114">
                  <c:v>1246.3499999999999</c:v>
                </c:pt>
                <c:pt idx="115">
                  <c:v>1269.95</c:v>
                </c:pt>
                <c:pt idx="116">
                  <c:v>1247.6500000000001</c:v>
                </c:pt>
                <c:pt idx="117">
                  <c:v>1275.4000000000001</c:v>
                </c:pt>
                <c:pt idx="118">
                  <c:v>1325.6</c:v>
                </c:pt>
                <c:pt idx="119">
                  <c:v>1343.65</c:v>
                </c:pt>
                <c:pt idx="120">
                  <c:v>1341.35</c:v>
                </c:pt>
                <c:pt idx="121">
                  <c:v>1350.9</c:v>
                </c:pt>
                <c:pt idx="122">
                  <c:v>1355.15</c:v>
                </c:pt>
                <c:pt idx="123">
                  <c:v>1389.45</c:v>
                </c:pt>
                <c:pt idx="124">
                  <c:v>1376.9</c:v>
                </c:pt>
                <c:pt idx="125">
                  <c:v>1388.5</c:v>
                </c:pt>
                <c:pt idx="126">
                  <c:v>1369</c:v>
                </c:pt>
                <c:pt idx="127">
                  <c:v>1375.05</c:v>
                </c:pt>
                <c:pt idx="128">
                  <c:v>1352.65</c:v>
                </c:pt>
                <c:pt idx="129">
                  <c:v>1350.35</c:v>
                </c:pt>
                <c:pt idx="130">
                  <c:v>1351.55</c:v>
                </c:pt>
                <c:pt idx="131">
                  <c:v>1370.75</c:v>
                </c:pt>
                <c:pt idx="132">
                  <c:v>1371.6</c:v>
                </c:pt>
                <c:pt idx="133">
                  <c:v>1354.4</c:v>
                </c:pt>
                <c:pt idx="134">
                  <c:v>1335.1</c:v>
                </c:pt>
                <c:pt idx="135">
                  <c:v>1337.55</c:v>
                </c:pt>
                <c:pt idx="136">
                  <c:v>1337.2</c:v>
                </c:pt>
                <c:pt idx="137">
                  <c:v>1302.75</c:v>
                </c:pt>
                <c:pt idx="138">
                  <c:v>1309.4000000000001</c:v>
                </c:pt>
                <c:pt idx="139">
                  <c:v>1302.3499999999999</c:v>
                </c:pt>
                <c:pt idx="140">
                  <c:v>1288.1500000000001</c:v>
                </c:pt>
                <c:pt idx="141">
                  <c:v>1296.25</c:v>
                </c:pt>
                <c:pt idx="142">
                  <c:v>1289.4000000000001</c:v>
                </c:pt>
                <c:pt idx="143">
                  <c:v>1224.4000000000001</c:v>
                </c:pt>
                <c:pt idx="144">
                  <c:v>1197.6500000000001</c:v>
                </c:pt>
                <c:pt idx="145">
                  <c:v>1181.25</c:v>
                </c:pt>
                <c:pt idx="146">
                  <c:v>1181.2</c:v>
                </c:pt>
                <c:pt idx="147">
                  <c:v>1194.5</c:v>
                </c:pt>
                <c:pt idx="148">
                  <c:v>1217.3499999999999</c:v>
                </c:pt>
                <c:pt idx="149">
                  <c:v>1204.95</c:v>
                </c:pt>
                <c:pt idx="150">
                  <c:v>1203.8499999999999</c:v>
                </c:pt>
                <c:pt idx="151">
                  <c:v>1219.95</c:v>
                </c:pt>
                <c:pt idx="152">
                  <c:v>1227.55</c:v>
                </c:pt>
                <c:pt idx="153">
                  <c:v>1236.6500000000001</c:v>
                </c:pt>
                <c:pt idx="154">
                  <c:v>1240.4000000000001</c:v>
                </c:pt>
                <c:pt idx="155">
                  <c:v>1220.95</c:v>
                </c:pt>
                <c:pt idx="156">
                  <c:v>1209.8</c:v>
                </c:pt>
                <c:pt idx="157">
                  <c:v>1215.8499999999999</c:v>
                </c:pt>
                <c:pt idx="158">
                  <c:v>1223.5999999999999</c:v>
                </c:pt>
                <c:pt idx="159">
                  <c:v>1197.05</c:v>
                </c:pt>
                <c:pt idx="160">
                  <c:v>1198.95</c:v>
                </c:pt>
                <c:pt idx="161">
                  <c:v>1197.4000000000001</c:v>
                </c:pt>
                <c:pt idx="162">
                  <c:v>1165.8499999999999</c:v>
                </c:pt>
                <c:pt idx="163">
                  <c:v>1170.95</c:v>
                </c:pt>
                <c:pt idx="164">
                  <c:v>1151.8</c:v>
                </c:pt>
                <c:pt idx="165">
                  <c:v>1164.55</c:v>
                </c:pt>
                <c:pt idx="166">
                  <c:v>1128.1500000000001</c:v>
                </c:pt>
                <c:pt idx="167">
                  <c:v>1125.55</c:v>
                </c:pt>
                <c:pt idx="168">
                  <c:v>1116.5</c:v>
                </c:pt>
                <c:pt idx="169">
                  <c:v>1119.5999999999999</c:v>
                </c:pt>
                <c:pt idx="170">
                  <c:v>1120.1500000000001</c:v>
                </c:pt>
                <c:pt idx="171">
                  <c:v>1126.4000000000001</c:v>
                </c:pt>
                <c:pt idx="172">
                  <c:v>1140.0999999999999</c:v>
                </c:pt>
                <c:pt idx="173">
                  <c:v>1133.25</c:v>
                </c:pt>
                <c:pt idx="174">
                  <c:v>1120.2</c:v>
                </c:pt>
                <c:pt idx="175">
                  <c:v>1116.6500000000001</c:v>
                </c:pt>
                <c:pt idx="176">
                  <c:v>1105.1500000000001</c:v>
                </c:pt>
                <c:pt idx="177">
                  <c:v>1107.95</c:v>
                </c:pt>
                <c:pt idx="178">
                  <c:v>1150.7</c:v>
                </c:pt>
                <c:pt idx="179">
                  <c:v>1163.7</c:v>
                </c:pt>
                <c:pt idx="180">
                  <c:v>1172.0999999999999</c:v>
                </c:pt>
                <c:pt idx="181">
                  <c:v>1187.2</c:v>
                </c:pt>
                <c:pt idx="182">
                  <c:v>1200.1500000000001</c:v>
                </c:pt>
                <c:pt idx="183">
                  <c:v>1210.3</c:v>
                </c:pt>
                <c:pt idx="184">
                  <c:v>1177.9000000000001</c:v>
                </c:pt>
                <c:pt idx="185">
                  <c:v>1164.5999999999999</c:v>
                </c:pt>
                <c:pt idx="186">
                  <c:v>1162.2</c:v>
                </c:pt>
                <c:pt idx="187">
                  <c:v>1144.2</c:v>
                </c:pt>
                <c:pt idx="188">
                  <c:v>1152.2</c:v>
                </c:pt>
                <c:pt idx="189">
                  <c:v>1150</c:v>
                </c:pt>
                <c:pt idx="190">
                  <c:v>1151.45</c:v>
                </c:pt>
                <c:pt idx="191">
                  <c:v>1109.95</c:v>
                </c:pt>
                <c:pt idx="192">
                  <c:v>1087.9000000000001</c:v>
                </c:pt>
                <c:pt idx="193">
                  <c:v>1107.95</c:v>
                </c:pt>
                <c:pt idx="194">
                  <c:v>1094.05</c:v>
                </c:pt>
                <c:pt idx="195">
                  <c:v>1109.5</c:v>
                </c:pt>
                <c:pt idx="196">
                  <c:v>1154.9000000000001</c:v>
                </c:pt>
                <c:pt idx="197">
                  <c:v>1158.4000000000001</c:v>
                </c:pt>
                <c:pt idx="198">
                  <c:v>1163.5999999999999</c:v>
                </c:pt>
                <c:pt idx="199">
                  <c:v>1177.4000000000001</c:v>
                </c:pt>
                <c:pt idx="200">
                  <c:v>1175</c:v>
                </c:pt>
                <c:pt idx="201">
                  <c:v>1186</c:v>
                </c:pt>
                <c:pt idx="202">
                  <c:v>1200.5</c:v>
                </c:pt>
                <c:pt idx="203">
                  <c:v>1174.8</c:v>
                </c:pt>
                <c:pt idx="204">
                  <c:v>1198.7</c:v>
                </c:pt>
                <c:pt idx="205">
                  <c:v>1176</c:v>
                </c:pt>
                <c:pt idx="206">
                  <c:v>1183.9000000000001</c:v>
                </c:pt>
                <c:pt idx="207">
                  <c:v>1182.9000000000001</c:v>
                </c:pt>
                <c:pt idx="208">
                  <c:v>1171.3</c:v>
                </c:pt>
                <c:pt idx="209">
                  <c:v>1160.4000000000001</c:v>
                </c:pt>
                <c:pt idx="210">
                  <c:v>1160.7</c:v>
                </c:pt>
                <c:pt idx="211">
                  <c:v>1148</c:v>
                </c:pt>
                <c:pt idx="212">
                  <c:v>1155.9000000000001</c:v>
                </c:pt>
                <c:pt idx="213">
                  <c:v>1195.5999999999999</c:v>
                </c:pt>
                <c:pt idx="214">
                  <c:v>1207.0999999999999</c:v>
                </c:pt>
                <c:pt idx="215">
                  <c:v>1220</c:v>
                </c:pt>
                <c:pt idx="216">
                  <c:v>1236.3</c:v>
                </c:pt>
                <c:pt idx="217">
                  <c:v>1230.7</c:v>
                </c:pt>
                <c:pt idx="218">
                  <c:v>1219</c:v>
                </c:pt>
                <c:pt idx="219">
                  <c:v>1224.2</c:v>
                </c:pt>
                <c:pt idx="220">
                  <c:v>1224.7</c:v>
                </c:pt>
                <c:pt idx="221">
                  <c:v>1222.2</c:v>
                </c:pt>
                <c:pt idx="222">
                  <c:v>1230.0999999999999</c:v>
                </c:pt>
                <c:pt idx="223">
                  <c:v>1240.9000000000001</c:v>
                </c:pt>
                <c:pt idx="224">
                  <c:v>1243.2</c:v>
                </c:pt>
                <c:pt idx="225">
                  <c:v>1242.5999999999999</c:v>
                </c:pt>
                <c:pt idx="226">
                  <c:v>1248.2</c:v>
                </c:pt>
                <c:pt idx="227">
                  <c:v>1251.2</c:v>
                </c:pt>
                <c:pt idx="228">
                  <c:v>1247.7</c:v>
                </c:pt>
                <c:pt idx="229">
                  <c:v>1248.3</c:v>
                </c:pt>
                <c:pt idx="230">
                  <c:v>1251.9000000000001</c:v>
                </c:pt>
                <c:pt idx="231">
                  <c:v>1290.5999999999999</c:v>
                </c:pt>
                <c:pt idx="232">
                  <c:v>1320.9</c:v>
                </c:pt>
                <c:pt idx="233">
                  <c:v>1319.1</c:v>
                </c:pt>
                <c:pt idx="234">
                  <c:v>1348.8</c:v>
                </c:pt>
                <c:pt idx="235">
                  <c:v>1351.1</c:v>
                </c:pt>
                <c:pt idx="236">
                  <c:v>1362.7</c:v>
                </c:pt>
                <c:pt idx="237">
                  <c:v>1362.5</c:v>
                </c:pt>
                <c:pt idx="238">
                  <c:v>1346.8</c:v>
                </c:pt>
                <c:pt idx="239">
                  <c:v>1318.8</c:v>
                </c:pt>
                <c:pt idx="240">
                  <c:v>1313.3</c:v>
                </c:pt>
                <c:pt idx="241">
                  <c:v>1326.1</c:v>
                </c:pt>
                <c:pt idx="242">
                  <c:v>1325.3</c:v>
                </c:pt>
                <c:pt idx="243">
                  <c:v>1317.9</c:v>
                </c:pt>
                <c:pt idx="244">
                  <c:v>1337.3</c:v>
                </c:pt>
                <c:pt idx="245">
                  <c:v>1341.6</c:v>
                </c:pt>
                <c:pt idx="246">
                  <c:v>1321.5</c:v>
                </c:pt>
                <c:pt idx="247">
                  <c:v>1301</c:v>
                </c:pt>
                <c:pt idx="248">
                  <c:v>1283.3</c:v>
                </c:pt>
                <c:pt idx="249">
                  <c:v>1276.8</c:v>
                </c:pt>
                <c:pt idx="250">
                  <c:v>1270.8</c:v>
                </c:pt>
                <c:pt idx="251">
                  <c:v>1291.3</c:v>
                </c:pt>
                <c:pt idx="252">
                  <c:v>1307.4000000000001</c:v>
                </c:pt>
                <c:pt idx="253">
                  <c:v>1310.5</c:v>
                </c:pt>
                <c:pt idx="254">
                  <c:v>1283.8</c:v>
                </c:pt>
                <c:pt idx="255">
                  <c:v>1269.4000000000001</c:v>
                </c:pt>
                <c:pt idx="256">
                  <c:v>1262.5999999999999</c:v>
                </c:pt>
                <c:pt idx="257">
                  <c:v>1254.7</c:v>
                </c:pt>
                <c:pt idx="258">
                  <c:v>1250.5999999999999</c:v>
                </c:pt>
                <c:pt idx="259">
                  <c:v>1260.9000000000001</c:v>
                </c:pt>
                <c:pt idx="260">
                  <c:v>1259.4000000000001</c:v>
                </c:pt>
                <c:pt idx="261">
                  <c:v>1263.0999999999999</c:v>
                </c:pt>
                <c:pt idx="262">
                  <c:v>1257.5</c:v>
                </c:pt>
                <c:pt idx="263">
                  <c:v>1259.3</c:v>
                </c:pt>
                <c:pt idx="264">
                  <c:v>1240</c:v>
                </c:pt>
                <c:pt idx="265">
                  <c:v>1247.4000000000001</c:v>
                </c:pt>
                <c:pt idx="266">
                  <c:v>1265.5</c:v>
                </c:pt>
                <c:pt idx="267">
                  <c:v>1277.9000000000001</c:v>
                </c:pt>
                <c:pt idx="268">
                  <c:v>1287.4000000000001</c:v>
                </c:pt>
                <c:pt idx="269">
                  <c:v>1299.8</c:v>
                </c:pt>
                <c:pt idx="270">
                  <c:v>1292.0999999999999</c:v>
                </c:pt>
                <c:pt idx="271">
                  <c:v>1270.3</c:v>
                </c:pt>
                <c:pt idx="272">
                  <c:v>1220.5999999999999</c:v>
                </c:pt>
                <c:pt idx="273">
                  <c:v>1225</c:v>
                </c:pt>
                <c:pt idx="274">
                  <c:v>1214.8</c:v>
                </c:pt>
                <c:pt idx="275">
                  <c:v>1196.7</c:v>
                </c:pt>
                <c:pt idx="276">
                  <c:v>1200.8</c:v>
                </c:pt>
                <c:pt idx="277">
                  <c:v>1211.4000000000001</c:v>
                </c:pt>
                <c:pt idx="278">
                  <c:v>1219.5</c:v>
                </c:pt>
                <c:pt idx="279">
                  <c:v>1220.3</c:v>
                </c:pt>
                <c:pt idx="280">
                  <c:v>1253.4000000000001</c:v>
                </c:pt>
                <c:pt idx="281">
                  <c:v>1260.4000000000001</c:v>
                </c:pt>
                <c:pt idx="282">
                  <c:v>1262.7</c:v>
                </c:pt>
                <c:pt idx="283">
                  <c:v>1244.2</c:v>
                </c:pt>
                <c:pt idx="284">
                  <c:v>1245.4000000000001</c:v>
                </c:pt>
                <c:pt idx="285">
                  <c:v>1276.5999999999999</c:v>
                </c:pt>
                <c:pt idx="286">
                  <c:v>1277.5999999999999</c:v>
                </c:pt>
                <c:pt idx="287">
                  <c:v>1283.9000000000001</c:v>
                </c:pt>
                <c:pt idx="288">
                  <c:v>1263.2</c:v>
                </c:pt>
                <c:pt idx="289">
                  <c:v>1259.8</c:v>
                </c:pt>
                <c:pt idx="290">
                  <c:v>1260.0999999999999</c:v>
                </c:pt>
                <c:pt idx="291">
                  <c:v>1279.9000000000001</c:v>
                </c:pt>
                <c:pt idx="292">
                  <c:v>1253.7</c:v>
                </c:pt>
                <c:pt idx="293">
                  <c:v>1262.2</c:v>
                </c:pt>
                <c:pt idx="294">
                  <c:v>1253</c:v>
                </c:pt>
                <c:pt idx="295">
                  <c:v>1268.0999999999999</c:v>
                </c:pt>
                <c:pt idx="296">
                  <c:v>1250.5999999999999</c:v>
                </c:pt>
                <c:pt idx="297">
                  <c:v>1291.3</c:v>
                </c:pt>
                <c:pt idx="298">
                  <c:v>1304.2</c:v>
                </c:pt>
                <c:pt idx="299">
                  <c:v>1303.0999999999999</c:v>
                </c:pt>
                <c:pt idx="300">
                  <c:v>1316.7</c:v>
                </c:pt>
                <c:pt idx="301">
                  <c:v>1300.8</c:v>
                </c:pt>
                <c:pt idx="302">
                  <c:v>1310.4000000000001</c:v>
                </c:pt>
                <c:pt idx="303">
                  <c:v>1311.4</c:v>
                </c:pt>
                <c:pt idx="304">
                  <c:v>1322.7</c:v>
                </c:pt>
                <c:pt idx="305">
                  <c:v>1321.7</c:v>
                </c:pt>
                <c:pt idx="306">
                  <c:v>1301.4000000000001</c:v>
                </c:pt>
                <c:pt idx="307">
                  <c:v>1308.4000000000001</c:v>
                </c:pt>
                <c:pt idx="308">
                  <c:v>1298.0999999999999</c:v>
                </c:pt>
                <c:pt idx="309">
                  <c:v>1275.2</c:v>
                </c:pt>
                <c:pt idx="310">
                  <c:v>1253.0999999999999</c:v>
                </c:pt>
                <c:pt idx="311">
                  <c:v>1234.5999999999999</c:v>
                </c:pt>
                <c:pt idx="312">
                  <c:v>1223.7</c:v>
                </c:pt>
                <c:pt idx="313">
                  <c:v>1244.7</c:v>
                </c:pt>
                <c:pt idx="314">
                  <c:v>1248.0999999999999</c:v>
                </c:pt>
                <c:pt idx="315">
                  <c:v>1248.5999999999999</c:v>
                </c:pt>
                <c:pt idx="316">
                  <c:v>1248.5</c:v>
                </c:pt>
                <c:pt idx="317">
                  <c:v>1234.5</c:v>
                </c:pt>
                <c:pt idx="318">
                  <c:v>1246.0999999999999</c:v>
                </c:pt>
                <c:pt idx="319">
                  <c:v>1264.4000000000001</c:v>
                </c:pt>
                <c:pt idx="320">
                  <c:v>1262.4000000000001</c:v>
                </c:pt>
                <c:pt idx="321">
                  <c:v>1237.3</c:v>
                </c:pt>
                <c:pt idx="322">
                  <c:v>1232.4000000000001</c:v>
                </c:pt>
                <c:pt idx="323">
                  <c:v>1240.2</c:v>
                </c:pt>
                <c:pt idx="324">
                  <c:v>1255.9000000000001</c:v>
                </c:pt>
                <c:pt idx="325">
                  <c:v>1282</c:v>
                </c:pt>
                <c:pt idx="326">
                  <c:v>1288.7</c:v>
                </c:pt>
                <c:pt idx="327">
                  <c:v>1279.4000000000001</c:v>
                </c:pt>
                <c:pt idx="328">
                  <c:v>1283.5999999999999</c:v>
                </c:pt>
                <c:pt idx="329">
                  <c:v>1284.3</c:v>
                </c:pt>
                <c:pt idx="330">
                  <c:v>1289.4000000000001</c:v>
                </c:pt>
                <c:pt idx="331">
                  <c:v>1250.9000000000001</c:v>
                </c:pt>
                <c:pt idx="332">
                  <c:v>1202.2</c:v>
                </c:pt>
                <c:pt idx="333">
                  <c:v>1197.5999999999999</c:v>
                </c:pt>
                <c:pt idx="334">
                  <c:v>1196</c:v>
                </c:pt>
                <c:pt idx="335">
                  <c:v>1200</c:v>
                </c:pt>
                <c:pt idx="336">
                  <c:v>1205.2</c:v>
                </c:pt>
                <c:pt idx="337">
                  <c:v>1205.4000000000001</c:v>
                </c:pt>
                <c:pt idx="338">
                  <c:v>1198.7</c:v>
                </c:pt>
                <c:pt idx="339">
                  <c:v>1211.5</c:v>
                </c:pt>
                <c:pt idx="340">
                  <c:v>1229.5999999999999</c:v>
                </c:pt>
                <c:pt idx="341">
                  <c:v>1234.9000000000001</c:v>
                </c:pt>
                <c:pt idx="342">
                  <c:v>1246</c:v>
                </c:pt>
                <c:pt idx="343">
                  <c:v>1244.4000000000001</c:v>
                </c:pt>
                <c:pt idx="344">
                  <c:v>1243.8</c:v>
                </c:pt>
                <c:pt idx="345">
                  <c:v>1250.2</c:v>
                </c:pt>
                <c:pt idx="346">
                  <c:v>1248.5999999999999</c:v>
                </c:pt>
                <c:pt idx="347">
                  <c:v>1243.9000000000001</c:v>
                </c:pt>
                <c:pt idx="348">
                  <c:v>1226.2</c:v>
                </c:pt>
                <c:pt idx="349">
                  <c:v>1236.0999999999999</c:v>
                </c:pt>
                <c:pt idx="350">
                  <c:v>1248</c:v>
                </c:pt>
                <c:pt idx="351">
                  <c:v>1249.3</c:v>
                </c:pt>
                <c:pt idx="352">
                  <c:v>1258.8</c:v>
                </c:pt>
                <c:pt idx="353">
                  <c:v>1260.0999999999999</c:v>
                </c:pt>
                <c:pt idx="354">
                  <c:v>1275.2</c:v>
                </c:pt>
                <c:pt idx="355">
                  <c:v>1280.7</c:v>
                </c:pt>
                <c:pt idx="356">
                  <c:v>1277.5999999999999</c:v>
                </c:pt>
                <c:pt idx="357">
                  <c:v>1275.2</c:v>
                </c:pt>
                <c:pt idx="358">
                  <c:v>1266.5</c:v>
                </c:pt>
                <c:pt idx="359">
                  <c:v>1246.2</c:v>
                </c:pt>
                <c:pt idx="360">
                  <c:v>1250.8</c:v>
                </c:pt>
                <c:pt idx="361">
                  <c:v>1273.5</c:v>
                </c:pt>
                <c:pt idx="362">
                  <c:v>1279.3</c:v>
                </c:pt>
                <c:pt idx="363">
                  <c:v>1280.5999999999999</c:v>
                </c:pt>
                <c:pt idx="364">
                  <c:v>1276.9000000000001</c:v>
                </c:pt>
                <c:pt idx="365">
                  <c:v>1272</c:v>
                </c:pt>
                <c:pt idx="366">
                  <c:v>1280</c:v>
                </c:pt>
                <c:pt idx="367">
                  <c:v>1278.2</c:v>
                </c:pt>
                <c:pt idx="368">
                  <c:v>1283.4000000000001</c:v>
                </c:pt>
                <c:pt idx="369">
                  <c:v>1283.5</c:v>
                </c:pt>
                <c:pt idx="370">
                  <c:v>1265.8</c:v>
                </c:pt>
                <c:pt idx="371">
                  <c:v>1269.3</c:v>
                </c:pt>
                <c:pt idx="372">
                  <c:v>1268.5999999999999</c:v>
                </c:pt>
                <c:pt idx="373">
                  <c:v>1265.8</c:v>
                </c:pt>
                <c:pt idx="374">
                  <c:v>1271.4000000000001</c:v>
                </c:pt>
                <c:pt idx="375">
                  <c:v>1253.4000000000001</c:v>
                </c:pt>
                <c:pt idx="376">
                  <c:v>1256.0999999999999</c:v>
                </c:pt>
                <c:pt idx="377">
                  <c:v>1250</c:v>
                </c:pt>
                <c:pt idx="378">
                  <c:v>1256.2</c:v>
                </c:pt>
                <c:pt idx="379">
                  <c:v>1242.8</c:v>
                </c:pt>
                <c:pt idx="380">
                  <c:v>1206.9000000000001</c:v>
                </c:pt>
                <c:pt idx="381">
                  <c:v>1210.0999999999999</c:v>
                </c:pt>
                <c:pt idx="382">
                  <c:v>1215.5</c:v>
                </c:pt>
                <c:pt idx="383">
                  <c:v>1191.3</c:v>
                </c:pt>
                <c:pt idx="384">
                  <c:v>1186.5</c:v>
                </c:pt>
                <c:pt idx="385">
                  <c:v>1175.5</c:v>
                </c:pt>
                <c:pt idx="386">
                  <c:v>1167.2</c:v>
                </c:pt>
                <c:pt idx="387">
                  <c:v>1166.7</c:v>
                </c:pt>
                <c:pt idx="388">
                  <c:v>1157.2</c:v>
                </c:pt>
                <c:pt idx="389">
                  <c:v>1217.5</c:v>
                </c:pt>
                <c:pt idx="390">
                  <c:v>1235.5999999999999</c:v>
                </c:pt>
                <c:pt idx="391">
                  <c:v>1239.8</c:v>
                </c:pt>
                <c:pt idx="392">
                  <c:v>1222.5</c:v>
                </c:pt>
                <c:pt idx="393">
                  <c:v>1208.9000000000001</c:v>
                </c:pt>
                <c:pt idx="394">
                  <c:v>1218.0999999999999</c:v>
                </c:pt>
                <c:pt idx="395">
                  <c:v>1178.7</c:v>
                </c:pt>
                <c:pt idx="396">
                  <c:v>1182.5</c:v>
                </c:pt>
                <c:pt idx="397">
                  <c:v>1235.4000000000001</c:v>
                </c:pt>
                <c:pt idx="398">
                  <c:v>1240.2</c:v>
                </c:pt>
                <c:pt idx="399">
                  <c:v>1244.9000000000001</c:v>
                </c:pt>
                <c:pt idx="400">
                  <c:v>1241.2</c:v>
                </c:pt>
                <c:pt idx="401">
                  <c:v>1275.5</c:v>
                </c:pt>
                <c:pt idx="402">
                  <c:v>1256</c:v>
                </c:pt>
                <c:pt idx="403">
                  <c:v>1270.3</c:v>
                </c:pt>
                <c:pt idx="404">
                  <c:v>1274.9000000000001</c:v>
                </c:pt>
                <c:pt idx="405">
                  <c:v>1268.0999999999999</c:v>
                </c:pt>
                <c:pt idx="406">
                  <c:v>1269.4000000000001</c:v>
                </c:pt>
                <c:pt idx="407">
                  <c:v>1284.8</c:v>
                </c:pt>
                <c:pt idx="408">
                  <c:v>1280.3</c:v>
                </c:pt>
                <c:pt idx="409">
                  <c:v>1282.3</c:v>
                </c:pt>
                <c:pt idx="410">
                  <c:v>1280.4000000000001</c:v>
                </c:pt>
                <c:pt idx="411">
                  <c:v>1307.4000000000001</c:v>
                </c:pt>
                <c:pt idx="412">
                  <c:v>1300.2</c:v>
                </c:pt>
                <c:pt idx="413">
                  <c:v>1306.5</c:v>
                </c:pt>
                <c:pt idx="414">
                  <c:v>1319.3</c:v>
                </c:pt>
                <c:pt idx="415">
                  <c:v>1286.3</c:v>
                </c:pt>
                <c:pt idx="416">
                  <c:v>1294.4000000000001</c:v>
                </c:pt>
                <c:pt idx="417">
                  <c:v>1291.2</c:v>
                </c:pt>
                <c:pt idx="418">
                  <c:v>1313.5</c:v>
                </c:pt>
                <c:pt idx="419">
                  <c:v>1303.8</c:v>
                </c:pt>
                <c:pt idx="420">
                  <c:v>1287</c:v>
                </c:pt>
                <c:pt idx="421">
                  <c:v>1314.6</c:v>
                </c:pt>
                <c:pt idx="422">
                  <c:v>1325.5</c:v>
                </c:pt>
                <c:pt idx="423">
                  <c:v>1319</c:v>
                </c:pt>
                <c:pt idx="424">
                  <c:v>1292.3</c:v>
                </c:pt>
                <c:pt idx="425">
                  <c:v>1276.9000000000001</c:v>
                </c:pt>
                <c:pt idx="426">
                  <c:v>1283.8</c:v>
                </c:pt>
                <c:pt idx="427">
                  <c:v>1294.8</c:v>
                </c:pt>
                <c:pt idx="428">
                  <c:v>1274.5</c:v>
                </c:pt>
                <c:pt idx="429">
                  <c:v>1298.9000000000001</c:v>
                </c:pt>
                <c:pt idx="430">
                  <c:v>1253.3</c:v>
                </c:pt>
                <c:pt idx="431">
                  <c:v>1259.5999999999999</c:v>
                </c:pt>
                <c:pt idx="432">
                  <c:v>1300.7</c:v>
                </c:pt>
                <c:pt idx="433">
                  <c:v>1281.7</c:v>
                </c:pt>
                <c:pt idx="434">
                  <c:v>1254.9000000000001</c:v>
                </c:pt>
                <c:pt idx="435">
                  <c:v>1209.5999999999999</c:v>
                </c:pt>
                <c:pt idx="436">
                  <c:v>1217.3</c:v>
                </c:pt>
                <c:pt idx="437">
                  <c:v>1217.8</c:v>
                </c:pt>
                <c:pt idx="438">
                  <c:v>1196.0999999999999</c:v>
                </c:pt>
                <c:pt idx="439">
                  <c:v>1191.4000000000001</c:v>
                </c:pt>
                <c:pt idx="440">
                  <c:v>1211.9000000000001</c:v>
                </c:pt>
                <c:pt idx="441">
                  <c:v>1232.2</c:v>
                </c:pt>
                <c:pt idx="442">
                  <c:v>1235.9000000000001</c:v>
                </c:pt>
                <c:pt idx="443">
                  <c:v>1217.8</c:v>
                </c:pt>
                <c:pt idx="444">
                  <c:v>1221.4000000000001</c:v>
                </c:pt>
                <c:pt idx="445">
                  <c:v>1235.7</c:v>
                </c:pt>
                <c:pt idx="446">
                  <c:v>1232.5999999999999</c:v>
                </c:pt>
                <c:pt idx="447">
                  <c:v>1220.5999999999999</c:v>
                </c:pt>
                <c:pt idx="448">
                  <c:v>1217</c:v>
                </c:pt>
                <c:pt idx="449">
                  <c:v>1331</c:v>
                </c:pt>
                <c:pt idx="450">
                  <c:v>1317.1</c:v>
                </c:pt>
                <c:pt idx="451">
                  <c:v>1334.5</c:v>
                </c:pt>
                <c:pt idx="452">
                  <c:v>1354.6</c:v>
                </c:pt>
                <c:pt idx="453">
                  <c:v>1329.8</c:v>
                </c:pt>
                <c:pt idx="454">
                  <c:v>1322.9</c:v>
                </c:pt>
                <c:pt idx="455">
                  <c:v>1287.2</c:v>
                </c:pt>
                <c:pt idx="456">
                  <c:v>1271.2</c:v>
                </c:pt>
                <c:pt idx="457">
                  <c:v>1311</c:v>
                </c:pt>
                <c:pt idx="458">
                  <c:v>1307.5999999999999</c:v>
                </c:pt>
                <c:pt idx="459">
                  <c:v>1293.9000000000001</c:v>
                </c:pt>
                <c:pt idx="460">
                  <c:v>1279.9000000000001</c:v>
                </c:pt>
                <c:pt idx="461">
                  <c:v>1270</c:v>
                </c:pt>
                <c:pt idx="462">
                  <c:v>1265.3</c:v>
                </c:pt>
                <c:pt idx="463">
                  <c:v>1303.5999999999999</c:v>
                </c:pt>
                <c:pt idx="464">
                  <c:v>1336.7</c:v>
                </c:pt>
                <c:pt idx="465">
                  <c:v>1331.2</c:v>
                </c:pt>
                <c:pt idx="466">
                  <c:v>1335.2</c:v>
                </c:pt>
                <c:pt idx="467">
                  <c:v>1321.9</c:v>
                </c:pt>
                <c:pt idx="468">
                  <c:v>1318.5</c:v>
                </c:pt>
                <c:pt idx="469">
                  <c:v>1307.2</c:v>
                </c:pt>
                <c:pt idx="470">
                  <c:v>1331.4</c:v>
                </c:pt>
                <c:pt idx="471">
                  <c:v>1327.9</c:v>
                </c:pt>
                <c:pt idx="472">
                  <c:v>1319</c:v>
                </c:pt>
                <c:pt idx="473">
                  <c:v>1303.5</c:v>
                </c:pt>
                <c:pt idx="474">
                  <c:v>1290.4000000000001</c:v>
                </c:pt>
                <c:pt idx="475">
                  <c:v>1274</c:v>
                </c:pt>
                <c:pt idx="476">
                  <c:v>1263.3</c:v>
                </c:pt>
                <c:pt idx="477">
                  <c:v>1267.5</c:v>
                </c:pt>
                <c:pt idx="478">
                  <c:v>1278.2</c:v>
                </c:pt>
                <c:pt idx="479">
                  <c:v>1275.5999999999999</c:v>
                </c:pt>
                <c:pt idx="480">
                  <c:v>1268.5</c:v>
                </c:pt>
                <c:pt idx="481">
                  <c:v>1271.7</c:v>
                </c:pt>
                <c:pt idx="482">
                  <c:v>1276</c:v>
                </c:pt>
                <c:pt idx="483">
                  <c:v>1275.4000000000001</c:v>
                </c:pt>
                <c:pt idx="484">
                  <c:v>1279.5</c:v>
                </c:pt>
                <c:pt idx="485">
                  <c:v>1276.9000000000001</c:v>
                </c:pt>
                <c:pt idx="486">
                  <c:v>1269</c:v>
                </c:pt>
                <c:pt idx="487">
                  <c:v>1267.5</c:v>
                </c:pt>
                <c:pt idx="488">
                  <c:v>1272.0999999999999</c:v>
                </c:pt>
                <c:pt idx="489">
                  <c:v>1290.7</c:v>
                </c:pt>
                <c:pt idx="490">
                  <c:v>1301.3</c:v>
                </c:pt>
                <c:pt idx="491">
                  <c:v>1328.4</c:v>
                </c:pt>
                <c:pt idx="492">
                  <c:v>1350.5</c:v>
                </c:pt>
                <c:pt idx="493">
                  <c:v>1375.7</c:v>
                </c:pt>
                <c:pt idx="494">
                  <c:v>1357.1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51-4D44-820F-7D8EE9CBE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4435081"/>
        <c:axId val="94432611"/>
      </c:lineChart>
      <c:dateAx>
        <c:axId val="280974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174661"/>
        <c:crosses val="autoZero"/>
        <c:auto val="1"/>
        <c:lblOffset val="100"/>
        <c:baseTimeUnit val="days"/>
      </c:dateAx>
      <c:valAx>
        <c:axId val="7217466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097461"/>
        <c:crosses val="autoZero"/>
        <c:crossBetween val="between"/>
      </c:valAx>
      <c:dateAx>
        <c:axId val="744350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432611"/>
        <c:crosses val="autoZero"/>
        <c:auto val="1"/>
        <c:lblOffset val="100"/>
        <c:baseTimeUnit val="days"/>
      </c:dateAx>
      <c:valAx>
        <c:axId val="9443261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Close Price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43508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Yield Curve: Years to Maturity vs Yield to Maturity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YTM</c:v>
          </c:tx>
          <c:spPr>
            <a:ln w="24840">
              <a:solidFill>
                <a:srgbClr val="1F4E79"/>
              </a:solidFill>
              <a:round/>
            </a:ln>
          </c:spPr>
          <c:marker>
            <c:symbol val="circle"/>
            <c:size val="8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BONDS!$F$25:$F$29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6</c:v>
                </c:pt>
                <c:pt idx="3">
                  <c:v>14</c:v>
                </c:pt>
                <c:pt idx="4">
                  <c:v>7</c:v>
                </c:pt>
              </c:numCache>
            </c:numRef>
          </c:xVal>
          <c:yVal>
            <c:numRef>
              <c:f>BONDS!$D$25:$D$29</c:f>
              <c:numCache>
                <c:formatCode>0.0000%</c:formatCode>
                <c:ptCount val="5"/>
                <c:pt idx="0">
                  <c:v>6.8346000000000004E-2</c:v>
                </c:pt>
                <c:pt idx="1">
                  <c:v>6.4237000000000002E-2</c:v>
                </c:pt>
                <c:pt idx="2">
                  <c:v>6.4881999999999995E-2</c:v>
                </c:pt>
                <c:pt idx="3">
                  <c:v>7.0215E-2</c:v>
                </c:pt>
                <c:pt idx="4">
                  <c:v>6.6219E-2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5-4907-8D4A-A366286A0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1954"/>
        <c:axId val="20215938"/>
      </c:scatterChart>
      <c:valAx>
        <c:axId val="1641195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Years to Maturity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215938"/>
        <c:crosses val="autoZero"/>
        <c:crossBetween val="midCat"/>
      </c:valAx>
      <c:valAx>
        <c:axId val="202159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Yield to Maturity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1195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176040</xdr:rowOff>
    </xdr:from>
    <xdr:to>
      <xdr:col>7</xdr:col>
      <xdr:colOff>1043580</xdr:colOff>
      <xdr:row>33</xdr:row>
      <xdr:rowOff>151200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176040</xdr:rowOff>
    </xdr:from>
    <xdr:to>
      <xdr:col>7</xdr:col>
      <xdr:colOff>1043580</xdr:colOff>
      <xdr:row>54</xdr:row>
      <xdr:rowOff>151560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56</xdr:row>
      <xdr:rowOff>176040</xdr:rowOff>
    </xdr:from>
    <xdr:to>
      <xdr:col>7</xdr:col>
      <xdr:colOff>1043580</xdr:colOff>
      <xdr:row>75</xdr:row>
      <xdr:rowOff>151200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77</xdr:row>
      <xdr:rowOff>176040</xdr:rowOff>
    </xdr:from>
    <xdr:to>
      <xdr:col>7</xdr:col>
      <xdr:colOff>1043580</xdr:colOff>
      <xdr:row>96</xdr:row>
      <xdr:rowOff>151560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98</xdr:row>
      <xdr:rowOff>176040</xdr:rowOff>
    </xdr:from>
    <xdr:to>
      <xdr:col>7</xdr:col>
      <xdr:colOff>1043580</xdr:colOff>
      <xdr:row>117</xdr:row>
      <xdr:rowOff>151200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119</xdr:row>
      <xdr:rowOff>176040</xdr:rowOff>
    </xdr:from>
    <xdr:to>
      <xdr:col>7</xdr:col>
      <xdr:colOff>1043580</xdr:colOff>
      <xdr:row>138</xdr:row>
      <xdr:rowOff>151560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54</xdr:row>
      <xdr:rowOff>30480</xdr:rowOff>
    </xdr:from>
    <xdr:to>
      <xdr:col>2</xdr:col>
      <xdr:colOff>619440</xdr:colOff>
      <xdr:row>75</xdr:row>
      <xdr:rowOff>111300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6"/>
  <sheetViews>
    <sheetView zoomScaleNormal="100" workbookViewId="0">
      <selection sqref="A1:XFD1"/>
    </sheetView>
  </sheetViews>
  <sheetFormatPr defaultColWidth="8.6640625" defaultRowHeight="14.4" x14ac:dyDescent="0.3"/>
  <cols>
    <col min="1" max="1" width="9.88671875" customWidth="1"/>
    <col min="2" max="2" width="6.44140625" customWidth="1"/>
    <col min="3" max="5" width="8" customWidth="1"/>
    <col min="6" max="6" width="11.44140625" customWidth="1"/>
    <col min="7" max="11" width="8" customWidth="1"/>
    <col min="12" max="12" width="10.33203125" customWidth="1"/>
    <col min="13" max="13" width="16.44140625" customWidth="1"/>
    <col min="14" max="14" width="14.21875" customWidth="1"/>
    <col min="15" max="15" width="12.6640625" bestFit="1" customWidth="1"/>
  </cols>
  <sheetData>
    <row r="1" spans="1:15" s="10" customFormat="1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 ht="14.25" customHeight="1" x14ac:dyDescent="0.3">
      <c r="A2" s="2">
        <v>45474</v>
      </c>
      <c r="B2" t="s">
        <v>15</v>
      </c>
      <c r="C2" s="3">
        <v>1465</v>
      </c>
      <c r="D2" s="3">
        <v>1478.6</v>
      </c>
      <c r="E2" s="3">
        <v>1455</v>
      </c>
      <c r="F2" s="3">
        <v>1459.6</v>
      </c>
      <c r="G2" s="3">
        <v>1467</v>
      </c>
      <c r="H2" s="3">
        <v>1468.85</v>
      </c>
      <c r="I2" s="3">
        <v>1469.49</v>
      </c>
      <c r="J2" s="3">
        <v>1697.35</v>
      </c>
      <c r="K2" s="3">
        <v>1087.05</v>
      </c>
      <c r="L2" s="4">
        <v>3723295</v>
      </c>
      <c r="M2" s="3">
        <v>5471339747.75</v>
      </c>
      <c r="N2" s="4">
        <v>136363</v>
      </c>
    </row>
    <row r="3" spans="1:15" ht="14.25" customHeight="1" x14ac:dyDescent="0.3">
      <c r="A3" s="2">
        <v>45475</v>
      </c>
      <c r="B3" t="s">
        <v>15</v>
      </c>
      <c r="C3" s="3">
        <v>1475</v>
      </c>
      <c r="D3" s="3">
        <v>1492.45</v>
      </c>
      <c r="E3" s="3">
        <v>1473</v>
      </c>
      <c r="F3" s="3">
        <v>1468.85</v>
      </c>
      <c r="G3" s="3">
        <v>1479</v>
      </c>
      <c r="H3" s="3">
        <v>1480.8</v>
      </c>
      <c r="I3" s="3">
        <v>1483.06</v>
      </c>
      <c r="J3" s="3">
        <v>1697.35</v>
      </c>
      <c r="K3" s="3">
        <v>1087.05</v>
      </c>
      <c r="L3" s="4">
        <v>3811366</v>
      </c>
      <c r="M3" s="3">
        <v>5652501019.9499998</v>
      </c>
      <c r="N3" s="4">
        <v>148852</v>
      </c>
      <c r="O3">
        <f t="shared" ref="O3:O66" si="0">(H3-H2)/H2</f>
        <v>8.1356162984648171E-3</v>
      </c>
    </row>
    <row r="4" spans="1:15" ht="14.25" customHeight="1" x14ac:dyDescent="0.3">
      <c r="A4" s="2">
        <v>45476</v>
      </c>
      <c r="B4" t="s">
        <v>15</v>
      </c>
      <c r="C4" s="3">
        <v>1489</v>
      </c>
      <c r="D4" s="3">
        <v>1489</v>
      </c>
      <c r="E4" s="3">
        <v>1471.2</v>
      </c>
      <c r="F4" s="3">
        <v>1480.8</v>
      </c>
      <c r="G4" s="3">
        <v>1482.1</v>
      </c>
      <c r="H4" s="3">
        <v>1481</v>
      </c>
      <c r="I4" s="3">
        <v>1481.18</v>
      </c>
      <c r="J4" s="3">
        <v>1697.35</v>
      </c>
      <c r="K4" s="3">
        <v>1087.05</v>
      </c>
      <c r="L4" s="4">
        <v>2070876</v>
      </c>
      <c r="M4" s="3">
        <v>3067339631.6500001</v>
      </c>
      <c r="N4" s="4">
        <v>96911</v>
      </c>
      <c r="O4">
        <f t="shared" si="0"/>
        <v>1.3506212857917712E-4</v>
      </c>
    </row>
    <row r="5" spans="1:15" ht="14.25" customHeight="1" x14ac:dyDescent="0.3">
      <c r="A5" s="2">
        <v>45477</v>
      </c>
      <c r="B5" t="s">
        <v>15</v>
      </c>
      <c r="C5" s="3">
        <v>1485</v>
      </c>
      <c r="D5" s="3">
        <v>1534.55</v>
      </c>
      <c r="E5" s="3">
        <v>1485</v>
      </c>
      <c r="F5" s="3">
        <v>1481</v>
      </c>
      <c r="G5" s="3">
        <v>1520</v>
      </c>
      <c r="H5" s="3">
        <v>1522.35</v>
      </c>
      <c r="I5" s="3">
        <v>1519.71</v>
      </c>
      <c r="J5" s="3">
        <v>1697.35</v>
      </c>
      <c r="K5" s="3">
        <v>1087.05</v>
      </c>
      <c r="L5" s="4">
        <v>6822557</v>
      </c>
      <c r="M5" s="3">
        <v>10368305782.799999</v>
      </c>
      <c r="N5" s="4">
        <v>227299</v>
      </c>
      <c r="O5">
        <f t="shared" si="0"/>
        <v>2.7920324105334172E-2</v>
      </c>
    </row>
    <row r="6" spans="1:15" ht="14.25" customHeight="1" x14ac:dyDescent="0.3">
      <c r="A6" s="2">
        <v>45478</v>
      </c>
      <c r="B6" t="s">
        <v>15</v>
      </c>
      <c r="C6" s="3">
        <v>1523</v>
      </c>
      <c r="D6" s="3">
        <v>1529.25</v>
      </c>
      <c r="E6" s="3">
        <v>1505.55</v>
      </c>
      <c r="F6" s="3">
        <v>1522.35</v>
      </c>
      <c r="G6" s="3">
        <v>1517.1</v>
      </c>
      <c r="H6" s="3">
        <v>1519.4</v>
      </c>
      <c r="I6" s="3">
        <v>1520.04</v>
      </c>
      <c r="J6" s="3">
        <v>1697.35</v>
      </c>
      <c r="K6" s="3">
        <v>1087.05</v>
      </c>
      <c r="L6" s="4">
        <v>3061687</v>
      </c>
      <c r="M6" s="3">
        <v>4653881379.6999998</v>
      </c>
      <c r="N6" s="4">
        <v>144035</v>
      </c>
      <c r="O6">
        <f t="shared" si="0"/>
        <v>-1.9377935428776683E-3</v>
      </c>
    </row>
    <row r="7" spans="1:15" ht="14.25" customHeight="1" x14ac:dyDescent="0.3">
      <c r="A7" s="2">
        <v>45481</v>
      </c>
      <c r="B7" t="s">
        <v>15</v>
      </c>
      <c r="C7" s="3">
        <v>1528</v>
      </c>
      <c r="D7" s="3">
        <v>1540</v>
      </c>
      <c r="E7" s="3">
        <v>1506.2</v>
      </c>
      <c r="F7" s="3">
        <v>1519.4</v>
      </c>
      <c r="G7" s="3">
        <v>1537.95</v>
      </c>
      <c r="H7" s="3">
        <v>1533.4</v>
      </c>
      <c r="I7" s="3">
        <v>1520.96</v>
      </c>
      <c r="J7" s="3">
        <v>1697.35</v>
      </c>
      <c r="K7" s="3">
        <v>1087.05</v>
      </c>
      <c r="L7" s="4">
        <v>2939620</v>
      </c>
      <c r="M7" s="3">
        <v>4471046099.6999998</v>
      </c>
      <c r="N7" s="4">
        <v>124735</v>
      </c>
      <c r="O7">
        <f t="shared" si="0"/>
        <v>9.2141634855864157E-3</v>
      </c>
    </row>
    <row r="8" spans="1:15" ht="14.25" customHeight="1" x14ac:dyDescent="0.3">
      <c r="A8" s="2">
        <v>45482</v>
      </c>
      <c r="B8" t="s">
        <v>15</v>
      </c>
      <c r="C8" s="3">
        <v>1533.4</v>
      </c>
      <c r="D8" s="3">
        <v>1546.3</v>
      </c>
      <c r="E8" s="3">
        <v>1525</v>
      </c>
      <c r="F8" s="3">
        <v>1533.4</v>
      </c>
      <c r="G8" s="3">
        <v>1530</v>
      </c>
      <c r="H8" s="3">
        <v>1531.1</v>
      </c>
      <c r="I8" s="3">
        <v>1536.13</v>
      </c>
      <c r="J8" s="3">
        <v>1697.35</v>
      </c>
      <c r="K8" s="3">
        <v>1087.05</v>
      </c>
      <c r="L8" s="4">
        <v>2658608</v>
      </c>
      <c r="M8" s="3">
        <v>4083958660</v>
      </c>
      <c r="N8" s="4">
        <v>117369</v>
      </c>
      <c r="O8">
        <f t="shared" si="0"/>
        <v>-1.4999347854442297E-3</v>
      </c>
    </row>
    <row r="9" spans="1:15" ht="14.25" customHeight="1" x14ac:dyDescent="0.3">
      <c r="A9" s="2">
        <v>45483</v>
      </c>
      <c r="B9" t="s">
        <v>15</v>
      </c>
      <c r="C9" s="3">
        <v>1531.1</v>
      </c>
      <c r="D9" s="3">
        <v>1532.6</v>
      </c>
      <c r="E9" s="3">
        <v>1487.85</v>
      </c>
      <c r="F9" s="3">
        <v>1531.1</v>
      </c>
      <c r="G9" s="3">
        <v>1506.1</v>
      </c>
      <c r="H9" s="3">
        <v>1509.95</v>
      </c>
      <c r="I9" s="3">
        <v>1504.92</v>
      </c>
      <c r="J9" s="3">
        <v>1697.35</v>
      </c>
      <c r="K9" s="3">
        <v>1087.05</v>
      </c>
      <c r="L9" s="4">
        <v>3507096</v>
      </c>
      <c r="M9" s="3">
        <v>5277889868.8500004</v>
      </c>
      <c r="N9" s="4">
        <v>143838</v>
      </c>
      <c r="O9">
        <f t="shared" si="0"/>
        <v>-1.3813598066749307E-2</v>
      </c>
    </row>
    <row r="10" spans="1:15" ht="14.25" customHeight="1" x14ac:dyDescent="0.3">
      <c r="A10" s="2">
        <v>45484</v>
      </c>
      <c r="B10" t="s">
        <v>15</v>
      </c>
      <c r="C10" s="3">
        <v>1515</v>
      </c>
      <c r="D10" s="3">
        <v>1534</v>
      </c>
      <c r="E10" s="3">
        <v>1508.05</v>
      </c>
      <c r="F10" s="3">
        <v>1509.95</v>
      </c>
      <c r="G10" s="3">
        <v>1516.75</v>
      </c>
      <c r="H10" s="3">
        <v>1511.9</v>
      </c>
      <c r="I10" s="3">
        <v>1518.68</v>
      </c>
      <c r="J10" s="3">
        <v>1697.35</v>
      </c>
      <c r="K10" s="3">
        <v>1087.05</v>
      </c>
      <c r="L10" s="4">
        <v>3304053</v>
      </c>
      <c r="M10" s="3">
        <v>5017800547.6999998</v>
      </c>
      <c r="N10" s="4">
        <v>209418</v>
      </c>
      <c r="O10">
        <f t="shared" si="0"/>
        <v>1.2914334911752346E-3</v>
      </c>
    </row>
    <row r="11" spans="1:15" ht="14.25" customHeight="1" x14ac:dyDescent="0.3">
      <c r="A11" s="2">
        <v>45485</v>
      </c>
      <c r="B11" t="s">
        <v>15</v>
      </c>
      <c r="C11" s="3">
        <v>1530</v>
      </c>
      <c r="D11" s="3">
        <v>1566</v>
      </c>
      <c r="E11" s="3">
        <v>1510.5</v>
      </c>
      <c r="F11" s="3">
        <v>1511.9</v>
      </c>
      <c r="G11" s="3">
        <v>1561.75</v>
      </c>
      <c r="H11" s="3">
        <v>1560.2</v>
      </c>
      <c r="I11" s="3">
        <v>1550.48</v>
      </c>
      <c r="J11" s="3">
        <v>1697.35</v>
      </c>
      <c r="K11" s="3">
        <v>1087.05</v>
      </c>
      <c r="L11" s="4">
        <v>6430647</v>
      </c>
      <c r="M11" s="3">
        <v>9970557888.8500004</v>
      </c>
      <c r="N11" s="4">
        <v>298826</v>
      </c>
      <c r="O11">
        <f t="shared" si="0"/>
        <v>3.1946557311991503E-2</v>
      </c>
    </row>
    <row r="12" spans="1:15" ht="14.25" customHeight="1" x14ac:dyDescent="0.3">
      <c r="A12" s="2">
        <v>45488</v>
      </c>
      <c r="B12" t="s">
        <v>15</v>
      </c>
      <c r="C12" s="3">
        <v>1580</v>
      </c>
      <c r="D12" s="3">
        <v>1636.4</v>
      </c>
      <c r="E12" s="3">
        <v>1567.4</v>
      </c>
      <c r="F12" s="3">
        <v>1560.2</v>
      </c>
      <c r="G12" s="3">
        <v>1568</v>
      </c>
      <c r="H12" s="3">
        <v>1569.6</v>
      </c>
      <c r="I12" s="3">
        <v>1596.87</v>
      </c>
      <c r="J12" s="3">
        <v>1697.35</v>
      </c>
      <c r="K12" s="3">
        <v>1095</v>
      </c>
      <c r="L12" s="4">
        <v>10337489</v>
      </c>
      <c r="M12" s="3">
        <v>16507600461</v>
      </c>
      <c r="N12" s="4">
        <v>369261</v>
      </c>
      <c r="O12">
        <f t="shared" si="0"/>
        <v>6.0248686065888114E-3</v>
      </c>
    </row>
    <row r="13" spans="1:15" ht="14.25" customHeight="1" x14ac:dyDescent="0.3">
      <c r="A13" s="2">
        <v>45489</v>
      </c>
      <c r="B13" t="s">
        <v>15</v>
      </c>
      <c r="C13" s="3">
        <v>1565</v>
      </c>
      <c r="D13" s="3">
        <v>1583</v>
      </c>
      <c r="E13" s="3">
        <v>1555</v>
      </c>
      <c r="F13" s="3">
        <v>1569.6</v>
      </c>
      <c r="G13" s="3">
        <v>1567.4</v>
      </c>
      <c r="H13" s="3">
        <v>1569.55</v>
      </c>
      <c r="I13" s="3">
        <v>1570.01</v>
      </c>
      <c r="J13" s="3">
        <v>1697.35</v>
      </c>
      <c r="K13" s="3">
        <v>1095</v>
      </c>
      <c r="L13" s="4">
        <v>3540661</v>
      </c>
      <c r="M13" s="3">
        <v>5558878229.8000002</v>
      </c>
      <c r="N13" s="4">
        <v>169358</v>
      </c>
      <c r="O13">
        <f t="shared" si="0"/>
        <v>-3.1855249745129029E-5</v>
      </c>
    </row>
    <row r="14" spans="1:15" ht="14.25" customHeight="1" x14ac:dyDescent="0.3">
      <c r="A14" s="2">
        <v>45491</v>
      </c>
      <c r="B14" t="s">
        <v>15</v>
      </c>
      <c r="C14" s="3">
        <v>1558.05</v>
      </c>
      <c r="D14" s="3">
        <v>1599.25</v>
      </c>
      <c r="E14" s="3">
        <v>1557</v>
      </c>
      <c r="F14" s="3">
        <v>1569.55</v>
      </c>
      <c r="G14" s="3">
        <v>1589</v>
      </c>
      <c r="H14" s="3">
        <v>1594.55</v>
      </c>
      <c r="I14" s="3">
        <v>1583.5</v>
      </c>
      <c r="J14" s="3">
        <v>1697.35</v>
      </c>
      <c r="K14" s="3">
        <v>1095</v>
      </c>
      <c r="L14" s="4">
        <v>4399468</v>
      </c>
      <c r="M14" s="3">
        <v>6966536295.5</v>
      </c>
      <c r="N14" s="4">
        <v>205545</v>
      </c>
      <c r="O14">
        <f t="shared" si="0"/>
        <v>1.5928132267210349E-2</v>
      </c>
    </row>
    <row r="15" spans="1:15" ht="14.25" customHeight="1" x14ac:dyDescent="0.3">
      <c r="A15" s="2">
        <v>45492</v>
      </c>
      <c r="B15" t="s">
        <v>15</v>
      </c>
      <c r="C15" s="3">
        <v>1610.5</v>
      </c>
      <c r="D15" s="3">
        <v>1616.45</v>
      </c>
      <c r="E15" s="3">
        <v>1588.6</v>
      </c>
      <c r="F15" s="3">
        <v>1594.55</v>
      </c>
      <c r="G15" s="3">
        <v>1592</v>
      </c>
      <c r="H15" s="3">
        <v>1594.55</v>
      </c>
      <c r="I15" s="3">
        <v>1600.49</v>
      </c>
      <c r="J15" s="3">
        <v>1697.35</v>
      </c>
      <c r="K15" s="3">
        <v>1095</v>
      </c>
      <c r="L15" s="4">
        <v>5633838</v>
      </c>
      <c r="M15" s="3">
        <v>9016906921.0499992</v>
      </c>
      <c r="N15" s="4">
        <v>170456</v>
      </c>
      <c r="O15">
        <f t="shared" si="0"/>
        <v>0</v>
      </c>
    </row>
    <row r="16" spans="1:15" ht="14.25" customHeight="1" x14ac:dyDescent="0.3">
      <c r="A16" s="2">
        <v>45495</v>
      </c>
      <c r="B16" t="s">
        <v>15</v>
      </c>
      <c r="C16" s="3">
        <v>1588.6</v>
      </c>
      <c r="D16" s="3">
        <v>1594.5</v>
      </c>
      <c r="E16" s="3">
        <v>1570.9</v>
      </c>
      <c r="F16" s="3">
        <v>1594.55</v>
      </c>
      <c r="G16" s="3">
        <v>1579.9</v>
      </c>
      <c r="H16" s="3">
        <v>1577.1</v>
      </c>
      <c r="I16" s="3">
        <v>1580.31</v>
      </c>
      <c r="J16" s="3">
        <v>1697.35</v>
      </c>
      <c r="K16" s="3">
        <v>1096</v>
      </c>
      <c r="L16" s="4">
        <v>2704495</v>
      </c>
      <c r="M16" s="3">
        <v>4273948571.75</v>
      </c>
      <c r="N16" s="4">
        <v>77514</v>
      </c>
      <c r="O16">
        <f t="shared" si="0"/>
        <v>-1.0943526386754913E-2</v>
      </c>
    </row>
    <row r="17" spans="1:15" ht="14.25" customHeight="1" x14ac:dyDescent="0.3">
      <c r="A17" s="2">
        <v>45496</v>
      </c>
      <c r="B17" t="s">
        <v>15</v>
      </c>
      <c r="C17" s="3">
        <v>1574</v>
      </c>
      <c r="D17" s="3">
        <v>1600.8</v>
      </c>
      <c r="E17" s="3">
        <v>1551.1</v>
      </c>
      <c r="F17" s="3">
        <v>1577.1</v>
      </c>
      <c r="G17" s="3">
        <v>1596</v>
      </c>
      <c r="H17" s="3">
        <v>1598.35</v>
      </c>
      <c r="I17" s="3">
        <v>1581.04</v>
      </c>
      <c r="J17" s="3">
        <v>1697.35</v>
      </c>
      <c r="K17" s="3">
        <v>1096</v>
      </c>
      <c r="L17" s="4">
        <v>2907674</v>
      </c>
      <c r="M17" s="3">
        <v>4597157706</v>
      </c>
      <c r="N17" s="4">
        <v>137508</v>
      </c>
      <c r="O17">
        <f t="shared" si="0"/>
        <v>1.3474098028026125E-2</v>
      </c>
    </row>
    <row r="18" spans="1:15" ht="14.25" customHeight="1" x14ac:dyDescent="0.3">
      <c r="A18" s="2">
        <v>45497</v>
      </c>
      <c r="B18" t="s">
        <v>15</v>
      </c>
      <c r="C18" s="3">
        <v>1594</v>
      </c>
      <c r="D18" s="3">
        <v>1598</v>
      </c>
      <c r="E18" s="3">
        <v>1576.85</v>
      </c>
      <c r="F18" s="3">
        <v>1598.35</v>
      </c>
      <c r="G18" s="3">
        <v>1586</v>
      </c>
      <c r="H18" s="3">
        <v>1583.7</v>
      </c>
      <c r="I18" s="3">
        <v>1586.33</v>
      </c>
      <c r="J18" s="3">
        <v>1697.35</v>
      </c>
      <c r="K18" s="3">
        <v>1096</v>
      </c>
      <c r="L18" s="4">
        <v>2484299</v>
      </c>
      <c r="M18" s="3">
        <v>3940929243.1999998</v>
      </c>
      <c r="N18" s="4">
        <v>92391</v>
      </c>
      <c r="O18">
        <f t="shared" si="0"/>
        <v>-9.1657021303218102E-3</v>
      </c>
    </row>
    <row r="19" spans="1:15" ht="14.25" customHeight="1" x14ac:dyDescent="0.3">
      <c r="A19" s="2">
        <v>45498</v>
      </c>
      <c r="B19" t="s">
        <v>15</v>
      </c>
      <c r="C19" s="3">
        <v>1570</v>
      </c>
      <c r="D19" s="3">
        <v>1594</v>
      </c>
      <c r="E19" s="3">
        <v>1562.85</v>
      </c>
      <c r="F19" s="3">
        <v>1583.7</v>
      </c>
      <c r="G19" s="3">
        <v>1586.5</v>
      </c>
      <c r="H19" s="3">
        <v>1587.6</v>
      </c>
      <c r="I19" s="3">
        <v>1585.63</v>
      </c>
      <c r="J19" s="3">
        <v>1697.35</v>
      </c>
      <c r="K19" s="3">
        <v>1096</v>
      </c>
      <c r="L19" s="4">
        <v>2934731</v>
      </c>
      <c r="M19" s="3">
        <v>4653408233.5500002</v>
      </c>
      <c r="N19" s="4">
        <v>109691</v>
      </c>
      <c r="O19">
        <f t="shared" si="0"/>
        <v>2.462587611289931E-3</v>
      </c>
    </row>
    <row r="20" spans="1:15" ht="14.25" customHeight="1" x14ac:dyDescent="0.3">
      <c r="A20" s="2">
        <v>45499</v>
      </c>
      <c r="B20" t="s">
        <v>15</v>
      </c>
      <c r="C20" s="3">
        <v>1602.8</v>
      </c>
      <c r="D20" s="3">
        <v>1640</v>
      </c>
      <c r="E20" s="3">
        <v>1594</v>
      </c>
      <c r="F20" s="3">
        <v>1587.6</v>
      </c>
      <c r="G20" s="3">
        <v>1638.8</v>
      </c>
      <c r="H20" s="3">
        <v>1635.35</v>
      </c>
      <c r="I20" s="3">
        <v>1625</v>
      </c>
      <c r="J20" s="3">
        <v>1697.35</v>
      </c>
      <c r="K20" s="3">
        <v>1096</v>
      </c>
      <c r="L20" s="4">
        <v>2814159</v>
      </c>
      <c r="M20" s="3">
        <v>4573003827.5</v>
      </c>
      <c r="N20" s="4">
        <v>118711</v>
      </c>
      <c r="O20">
        <f t="shared" si="0"/>
        <v>3.0076845553036032E-2</v>
      </c>
    </row>
    <row r="21" spans="1:15" ht="14.25" customHeight="1" x14ac:dyDescent="0.3">
      <c r="A21" s="2">
        <v>45502</v>
      </c>
      <c r="B21" t="s">
        <v>15</v>
      </c>
      <c r="C21" s="3">
        <v>1640.2</v>
      </c>
      <c r="D21" s="3">
        <v>1645</v>
      </c>
      <c r="E21" s="3">
        <v>1620</v>
      </c>
      <c r="F21" s="3">
        <v>1635.35</v>
      </c>
      <c r="G21" s="3">
        <v>1628.05</v>
      </c>
      <c r="H21" s="3">
        <v>1632.35</v>
      </c>
      <c r="I21" s="3">
        <v>1629.09</v>
      </c>
      <c r="J21" s="3">
        <v>1697.35</v>
      </c>
      <c r="K21" s="3">
        <v>1096</v>
      </c>
      <c r="L21" s="4">
        <v>1639491</v>
      </c>
      <c r="M21" s="3">
        <v>2670877664.75</v>
      </c>
      <c r="N21" s="4">
        <v>87552</v>
      </c>
      <c r="O21">
        <f t="shared" si="0"/>
        <v>-1.8344696853884492E-3</v>
      </c>
    </row>
    <row r="22" spans="1:15" ht="14.25" customHeight="1" x14ac:dyDescent="0.3">
      <c r="A22" s="2">
        <v>45503</v>
      </c>
      <c r="B22" t="s">
        <v>15</v>
      </c>
      <c r="C22" s="3">
        <v>1629</v>
      </c>
      <c r="D22" s="3">
        <v>1633</v>
      </c>
      <c r="E22" s="3">
        <v>1618</v>
      </c>
      <c r="F22" s="3">
        <v>1632.35</v>
      </c>
      <c r="G22" s="3">
        <v>1630.15</v>
      </c>
      <c r="H22" s="3">
        <v>1630.25</v>
      </c>
      <c r="I22" s="3">
        <v>1625.65</v>
      </c>
      <c r="J22" s="3">
        <v>1697.35</v>
      </c>
      <c r="K22" s="3">
        <v>1096</v>
      </c>
      <c r="L22" s="4">
        <v>1783877</v>
      </c>
      <c r="M22" s="3">
        <v>2899966633.5999999</v>
      </c>
      <c r="N22" s="4">
        <v>112185</v>
      </c>
      <c r="O22">
        <f t="shared" si="0"/>
        <v>-1.2864888044842768E-3</v>
      </c>
    </row>
    <row r="23" spans="1:15" ht="14.25" customHeight="1" x14ac:dyDescent="0.3">
      <c r="A23" s="2">
        <v>45504</v>
      </c>
      <c r="B23" t="s">
        <v>15</v>
      </c>
      <c r="C23" s="3">
        <v>1621</v>
      </c>
      <c r="D23" s="3">
        <v>1645</v>
      </c>
      <c r="E23" s="3">
        <v>1619.2</v>
      </c>
      <c r="F23" s="3">
        <v>1630.25</v>
      </c>
      <c r="G23" s="3">
        <v>1640.85</v>
      </c>
      <c r="H23" s="3">
        <v>1642.6</v>
      </c>
      <c r="I23" s="3">
        <v>1637.39</v>
      </c>
      <c r="J23" s="3">
        <v>1697.35</v>
      </c>
      <c r="K23" s="3">
        <v>1096</v>
      </c>
      <c r="L23" s="4">
        <v>1984986</v>
      </c>
      <c r="M23" s="3">
        <v>3250190509.5999999</v>
      </c>
      <c r="N23" s="4">
        <v>130193</v>
      </c>
      <c r="O23">
        <f t="shared" si="0"/>
        <v>7.575525226192246E-3</v>
      </c>
    </row>
    <row r="24" spans="1:15" ht="14.25" customHeight="1" x14ac:dyDescent="0.3">
      <c r="A24" s="2">
        <v>45505</v>
      </c>
      <c r="B24" t="s">
        <v>15</v>
      </c>
      <c r="C24" s="3">
        <v>1640.05</v>
      </c>
      <c r="D24" s="3">
        <v>1655.5</v>
      </c>
      <c r="E24" s="3">
        <v>1636.1</v>
      </c>
      <c r="F24" s="3">
        <v>1642.6</v>
      </c>
      <c r="G24" s="3">
        <v>1639.5</v>
      </c>
      <c r="H24" s="3">
        <v>1640.55</v>
      </c>
      <c r="I24" s="3">
        <v>1643.63</v>
      </c>
      <c r="J24" s="3">
        <v>1697.35</v>
      </c>
      <c r="K24" s="3">
        <v>1096</v>
      </c>
      <c r="L24" s="4">
        <v>1785188</v>
      </c>
      <c r="M24" s="3">
        <v>2934190917.8000002</v>
      </c>
      <c r="N24" s="4">
        <v>105718</v>
      </c>
      <c r="O24">
        <f t="shared" si="0"/>
        <v>-1.2480214294411022E-3</v>
      </c>
    </row>
    <row r="25" spans="1:15" ht="14.25" customHeight="1" x14ac:dyDescent="0.3">
      <c r="A25" s="2">
        <v>45506</v>
      </c>
      <c r="B25" t="s">
        <v>15</v>
      </c>
      <c r="C25" s="3">
        <v>1620.05</v>
      </c>
      <c r="D25" s="3">
        <v>1639</v>
      </c>
      <c r="E25" s="3">
        <v>1601.15</v>
      </c>
      <c r="F25" s="3">
        <v>1640.55</v>
      </c>
      <c r="G25" s="3">
        <v>1605</v>
      </c>
      <c r="H25" s="3">
        <v>1609.3</v>
      </c>
      <c r="I25" s="3">
        <v>1615.64</v>
      </c>
      <c r="J25" s="3">
        <v>1697.35</v>
      </c>
      <c r="K25" s="3">
        <v>1096</v>
      </c>
      <c r="L25" s="4">
        <v>1692851</v>
      </c>
      <c r="M25" s="3">
        <v>2735042921.0999999</v>
      </c>
      <c r="N25" s="4">
        <v>95389</v>
      </c>
      <c r="O25">
        <f t="shared" si="0"/>
        <v>-1.9048489835725824E-2</v>
      </c>
    </row>
    <row r="26" spans="1:15" ht="14.25" customHeight="1" x14ac:dyDescent="0.3">
      <c r="A26" s="2">
        <v>45509</v>
      </c>
      <c r="B26" t="s">
        <v>15</v>
      </c>
      <c r="C26" s="3">
        <v>1575</v>
      </c>
      <c r="D26" s="3">
        <v>1595.7</v>
      </c>
      <c r="E26" s="3">
        <v>1537</v>
      </c>
      <c r="F26" s="3">
        <v>1609.3</v>
      </c>
      <c r="G26" s="3">
        <v>1557.95</v>
      </c>
      <c r="H26" s="3">
        <v>1562.4</v>
      </c>
      <c r="I26" s="3">
        <v>1560.9</v>
      </c>
      <c r="J26" s="3">
        <v>1697.35</v>
      </c>
      <c r="K26" s="3">
        <v>1125</v>
      </c>
      <c r="L26" s="4">
        <v>3279717</v>
      </c>
      <c r="M26" s="3">
        <v>5119323144.5500002</v>
      </c>
      <c r="N26" s="4">
        <v>153044</v>
      </c>
      <c r="O26">
        <f t="shared" si="0"/>
        <v>-2.9143105698129539E-2</v>
      </c>
    </row>
    <row r="27" spans="1:15" ht="14.25" customHeight="1" x14ac:dyDescent="0.3">
      <c r="A27" s="2">
        <v>45510</v>
      </c>
      <c r="B27" t="s">
        <v>15</v>
      </c>
      <c r="C27" s="3">
        <v>1563</v>
      </c>
      <c r="D27" s="3">
        <v>1605</v>
      </c>
      <c r="E27" s="3">
        <v>1563</v>
      </c>
      <c r="F27" s="3">
        <v>1562.4</v>
      </c>
      <c r="G27" s="3">
        <v>1583</v>
      </c>
      <c r="H27" s="3">
        <v>1582.75</v>
      </c>
      <c r="I27" s="3">
        <v>1591.48</v>
      </c>
      <c r="J27" s="3">
        <v>1697.35</v>
      </c>
      <c r="K27" s="3">
        <v>1125</v>
      </c>
      <c r="L27" s="4">
        <v>2138704</v>
      </c>
      <c r="M27" s="3">
        <v>3403707528.9000001</v>
      </c>
      <c r="N27" s="4">
        <v>133680</v>
      </c>
      <c r="O27">
        <f t="shared" si="0"/>
        <v>1.3024833589349659E-2</v>
      </c>
    </row>
    <row r="28" spans="1:15" ht="14.25" customHeight="1" x14ac:dyDescent="0.3">
      <c r="A28" s="2">
        <v>45511</v>
      </c>
      <c r="B28" t="s">
        <v>15</v>
      </c>
      <c r="C28" s="3">
        <v>1605</v>
      </c>
      <c r="D28" s="3">
        <v>1615</v>
      </c>
      <c r="E28" s="3">
        <v>1590</v>
      </c>
      <c r="F28" s="3">
        <v>1582.75</v>
      </c>
      <c r="G28" s="3">
        <v>1598</v>
      </c>
      <c r="H28" s="3">
        <v>1594.6</v>
      </c>
      <c r="I28" s="3">
        <v>1599.27</v>
      </c>
      <c r="J28" s="3">
        <v>1697.35</v>
      </c>
      <c r="K28" s="3">
        <v>1125</v>
      </c>
      <c r="L28" s="4">
        <v>1897787</v>
      </c>
      <c r="M28" s="3">
        <v>3035073860.9499998</v>
      </c>
      <c r="N28" s="4">
        <v>78453</v>
      </c>
      <c r="O28">
        <f t="shared" si="0"/>
        <v>7.4869688832727276E-3</v>
      </c>
    </row>
    <row r="29" spans="1:15" ht="14.25" customHeight="1" x14ac:dyDescent="0.3">
      <c r="A29" s="2">
        <v>45512</v>
      </c>
      <c r="B29" t="s">
        <v>15</v>
      </c>
      <c r="C29" s="3">
        <v>1597</v>
      </c>
      <c r="D29" s="3">
        <v>1602</v>
      </c>
      <c r="E29" s="3">
        <v>1554.55</v>
      </c>
      <c r="F29" s="3">
        <v>1594.6</v>
      </c>
      <c r="G29" s="3">
        <v>1558</v>
      </c>
      <c r="H29" s="3">
        <v>1557.85</v>
      </c>
      <c r="I29" s="3">
        <v>1574.02</v>
      </c>
      <c r="J29" s="3">
        <v>1697.35</v>
      </c>
      <c r="K29" s="3">
        <v>1125</v>
      </c>
      <c r="L29" s="4">
        <v>2373805</v>
      </c>
      <c r="M29" s="3">
        <v>3736427385.6500001</v>
      </c>
      <c r="N29" s="4">
        <v>110668</v>
      </c>
      <c r="O29">
        <f t="shared" si="0"/>
        <v>-2.3046532045654083E-2</v>
      </c>
    </row>
    <row r="30" spans="1:15" ht="14.25" customHeight="1" x14ac:dyDescent="0.3">
      <c r="A30" s="2">
        <v>45513</v>
      </c>
      <c r="B30" t="s">
        <v>15</v>
      </c>
      <c r="C30" s="3">
        <v>1584.9</v>
      </c>
      <c r="D30" s="3">
        <v>1602</v>
      </c>
      <c r="E30" s="3">
        <v>1575.85</v>
      </c>
      <c r="F30" s="3">
        <v>1557.85</v>
      </c>
      <c r="G30" s="3">
        <v>1589.05</v>
      </c>
      <c r="H30" s="3">
        <v>1589.95</v>
      </c>
      <c r="I30" s="3">
        <v>1593.85</v>
      </c>
      <c r="J30" s="3">
        <v>1697.35</v>
      </c>
      <c r="K30" s="3">
        <v>1125</v>
      </c>
      <c r="L30" s="4">
        <v>2021762</v>
      </c>
      <c r="M30" s="3">
        <v>3222380643.1999998</v>
      </c>
      <c r="N30" s="4">
        <v>136303</v>
      </c>
      <c r="O30">
        <f t="shared" si="0"/>
        <v>2.0605321436595398E-2</v>
      </c>
    </row>
    <row r="31" spans="1:15" ht="14.25" customHeight="1" x14ac:dyDescent="0.3">
      <c r="A31" s="2">
        <v>45516</v>
      </c>
      <c r="B31" t="s">
        <v>15</v>
      </c>
      <c r="C31" s="3">
        <v>1590</v>
      </c>
      <c r="D31" s="3">
        <v>1600.5</v>
      </c>
      <c r="E31" s="3">
        <v>1573.85</v>
      </c>
      <c r="F31" s="3">
        <v>1589.95</v>
      </c>
      <c r="G31" s="3">
        <v>1583.25</v>
      </c>
      <c r="H31" s="3">
        <v>1585.25</v>
      </c>
      <c r="I31" s="3">
        <v>1590.02</v>
      </c>
      <c r="J31" s="3">
        <v>1697.35</v>
      </c>
      <c r="K31" s="3">
        <v>1139.3</v>
      </c>
      <c r="L31" s="4">
        <v>1273739</v>
      </c>
      <c r="M31" s="3">
        <v>2025264965.7</v>
      </c>
      <c r="N31" s="4">
        <v>96709</v>
      </c>
      <c r="O31">
        <f t="shared" si="0"/>
        <v>-2.9560678008742698E-3</v>
      </c>
    </row>
    <row r="32" spans="1:15" ht="14.25" customHeight="1" x14ac:dyDescent="0.3">
      <c r="A32" s="2">
        <v>45517</v>
      </c>
      <c r="B32" t="s">
        <v>15</v>
      </c>
      <c r="C32" s="3">
        <v>1578</v>
      </c>
      <c r="D32" s="3">
        <v>1608.4</v>
      </c>
      <c r="E32" s="3">
        <v>1577.65</v>
      </c>
      <c r="F32" s="3">
        <v>1585.25</v>
      </c>
      <c r="G32" s="3">
        <v>1594</v>
      </c>
      <c r="H32" s="3">
        <v>1592.65</v>
      </c>
      <c r="I32" s="3">
        <v>1594.35</v>
      </c>
      <c r="J32" s="3">
        <v>1697.35</v>
      </c>
      <c r="K32" s="3">
        <v>1139.3</v>
      </c>
      <c r="L32" s="4">
        <v>1973825</v>
      </c>
      <c r="M32" s="3">
        <v>3146966163.8499999</v>
      </c>
      <c r="N32" s="4">
        <v>120834</v>
      </c>
      <c r="O32">
        <f t="shared" si="0"/>
        <v>4.6680334332124844E-3</v>
      </c>
    </row>
    <row r="33" spans="1:15" ht="14.25" customHeight="1" x14ac:dyDescent="0.3">
      <c r="A33" s="2">
        <v>45518</v>
      </c>
      <c r="B33" t="s">
        <v>15</v>
      </c>
      <c r="C33" s="3">
        <v>1600.1</v>
      </c>
      <c r="D33" s="3">
        <v>1629.75</v>
      </c>
      <c r="E33" s="3">
        <v>1598.25</v>
      </c>
      <c r="F33" s="3">
        <v>1592.65</v>
      </c>
      <c r="G33" s="3">
        <v>1623.9</v>
      </c>
      <c r="H33" s="3">
        <v>1626.15</v>
      </c>
      <c r="I33" s="3">
        <v>1614.49</v>
      </c>
      <c r="J33" s="3">
        <v>1697.35</v>
      </c>
      <c r="K33" s="3">
        <v>1139.3</v>
      </c>
      <c r="L33" s="4">
        <v>3932148</v>
      </c>
      <c r="M33" s="3">
        <v>6348429631.1000004</v>
      </c>
      <c r="N33" s="4">
        <v>119652</v>
      </c>
      <c r="O33">
        <f t="shared" si="0"/>
        <v>2.1034125514080307E-2</v>
      </c>
    </row>
    <row r="34" spans="1:15" ht="14.25" customHeight="1" x14ac:dyDescent="0.3">
      <c r="A34" s="2">
        <v>45520</v>
      </c>
      <c r="B34" t="s">
        <v>15</v>
      </c>
      <c r="C34" s="3">
        <v>1635</v>
      </c>
      <c r="D34" s="3">
        <v>1674</v>
      </c>
      <c r="E34" s="3">
        <v>1632.7</v>
      </c>
      <c r="F34" s="3">
        <v>1626.15</v>
      </c>
      <c r="G34" s="3">
        <v>1668.7</v>
      </c>
      <c r="H34" s="3">
        <v>1668.25</v>
      </c>
      <c r="I34" s="3">
        <v>1657.02</v>
      </c>
      <c r="J34" s="3">
        <v>1697.35</v>
      </c>
      <c r="K34" s="3">
        <v>1139.3</v>
      </c>
      <c r="L34" s="4">
        <v>3101056</v>
      </c>
      <c r="M34" s="3">
        <v>5138498722.6000004</v>
      </c>
      <c r="N34" s="4">
        <v>155943</v>
      </c>
      <c r="O34">
        <f t="shared" si="0"/>
        <v>2.5889370599268154E-2</v>
      </c>
    </row>
    <row r="35" spans="1:15" ht="14.25" customHeight="1" x14ac:dyDescent="0.3">
      <c r="A35" s="2">
        <v>45523</v>
      </c>
      <c r="B35" t="s">
        <v>15</v>
      </c>
      <c r="C35" s="3">
        <v>1665</v>
      </c>
      <c r="D35" s="3">
        <v>1685</v>
      </c>
      <c r="E35" s="3">
        <v>1659.05</v>
      </c>
      <c r="F35" s="3">
        <v>1668.25</v>
      </c>
      <c r="G35" s="3">
        <v>1677.2</v>
      </c>
      <c r="H35" s="3">
        <v>1678.5</v>
      </c>
      <c r="I35" s="3">
        <v>1674.01</v>
      </c>
      <c r="J35" s="3">
        <v>1697.35</v>
      </c>
      <c r="K35" s="3">
        <v>1139.3</v>
      </c>
      <c r="L35" s="4">
        <v>1631947</v>
      </c>
      <c r="M35" s="3">
        <v>2731900621.0999999</v>
      </c>
      <c r="N35" s="4">
        <v>68733</v>
      </c>
      <c r="O35">
        <f t="shared" si="0"/>
        <v>6.1441630451071483E-3</v>
      </c>
    </row>
    <row r="36" spans="1:15" ht="14.25" customHeight="1" x14ac:dyDescent="0.3">
      <c r="A36" s="2">
        <v>45524</v>
      </c>
      <c r="B36" t="s">
        <v>15</v>
      </c>
      <c r="C36" s="3">
        <v>1680</v>
      </c>
      <c r="D36" s="3">
        <v>1695.05</v>
      </c>
      <c r="E36" s="3">
        <v>1669.2</v>
      </c>
      <c r="F36" s="3">
        <v>1678.5</v>
      </c>
      <c r="G36" s="3">
        <v>1688.65</v>
      </c>
      <c r="H36" s="3">
        <v>1686.75</v>
      </c>
      <c r="I36" s="3">
        <v>1681.8</v>
      </c>
      <c r="J36" s="3">
        <v>1697.35</v>
      </c>
      <c r="K36" s="3">
        <v>1139.3</v>
      </c>
      <c r="L36" s="4">
        <v>2786109</v>
      </c>
      <c r="M36" s="3">
        <v>4685688913.8500004</v>
      </c>
      <c r="N36" s="4">
        <v>87014</v>
      </c>
      <c r="O36">
        <f t="shared" si="0"/>
        <v>4.9151027703306528E-3</v>
      </c>
    </row>
    <row r="37" spans="1:15" ht="14.25" customHeight="1" x14ac:dyDescent="0.3">
      <c r="A37" s="2">
        <v>45525</v>
      </c>
      <c r="B37" t="s">
        <v>15</v>
      </c>
      <c r="C37" s="3">
        <v>1686</v>
      </c>
      <c r="D37" s="3">
        <v>1688.85</v>
      </c>
      <c r="E37" s="3">
        <v>1673.75</v>
      </c>
      <c r="F37" s="3">
        <v>1686.75</v>
      </c>
      <c r="G37" s="3">
        <v>1679</v>
      </c>
      <c r="H37" s="3">
        <v>1677.25</v>
      </c>
      <c r="I37" s="3">
        <v>1678.49</v>
      </c>
      <c r="J37" s="3">
        <v>1697.35</v>
      </c>
      <c r="K37" s="3">
        <v>1139.3</v>
      </c>
      <c r="L37" s="4">
        <v>1410370</v>
      </c>
      <c r="M37" s="3">
        <v>2367289464.25</v>
      </c>
      <c r="N37" s="4">
        <v>72539</v>
      </c>
      <c r="O37">
        <f t="shared" si="0"/>
        <v>-5.6321327997628573E-3</v>
      </c>
    </row>
    <row r="38" spans="1:15" ht="14.25" customHeight="1" x14ac:dyDescent="0.3">
      <c r="A38" s="2">
        <v>45526</v>
      </c>
      <c r="B38" t="s">
        <v>15</v>
      </c>
      <c r="C38" s="3">
        <v>1687</v>
      </c>
      <c r="D38" s="3">
        <v>1687</v>
      </c>
      <c r="E38" s="3">
        <v>1673</v>
      </c>
      <c r="F38" s="3">
        <v>1677.25</v>
      </c>
      <c r="G38" s="3">
        <v>1675</v>
      </c>
      <c r="H38" s="3">
        <v>1676.15</v>
      </c>
      <c r="I38" s="3">
        <v>1678.52</v>
      </c>
      <c r="J38" s="3">
        <v>1697.35</v>
      </c>
      <c r="K38" s="3">
        <v>1139.3</v>
      </c>
      <c r="L38" s="4">
        <v>1749127</v>
      </c>
      <c r="M38" s="3">
        <v>2935942084.0999999</v>
      </c>
      <c r="N38" s="4">
        <v>108937</v>
      </c>
      <c r="O38">
        <f t="shared" si="0"/>
        <v>-6.5583544492467372E-4</v>
      </c>
    </row>
    <row r="39" spans="1:15" ht="14.25" customHeight="1" x14ac:dyDescent="0.3">
      <c r="A39" s="2">
        <v>45527</v>
      </c>
      <c r="B39" t="s">
        <v>15</v>
      </c>
      <c r="C39" s="3">
        <v>1676.05</v>
      </c>
      <c r="D39" s="3">
        <v>1685.95</v>
      </c>
      <c r="E39" s="3">
        <v>1657.15</v>
      </c>
      <c r="F39" s="3">
        <v>1676.15</v>
      </c>
      <c r="G39" s="3">
        <v>1662.9</v>
      </c>
      <c r="H39" s="3">
        <v>1661.45</v>
      </c>
      <c r="I39" s="3">
        <v>1667.32</v>
      </c>
      <c r="J39" s="3">
        <v>1697.35</v>
      </c>
      <c r="K39" s="3">
        <v>1139.3</v>
      </c>
      <c r="L39" s="4">
        <v>2158185</v>
      </c>
      <c r="M39" s="3">
        <v>3598384728.9000001</v>
      </c>
      <c r="N39" s="4">
        <v>122406</v>
      </c>
      <c r="O39">
        <f t="shared" si="0"/>
        <v>-8.7700981415744679E-3</v>
      </c>
    </row>
    <row r="40" spans="1:15" ht="14.25" customHeight="1" x14ac:dyDescent="0.3">
      <c r="A40" s="2">
        <v>45530</v>
      </c>
      <c r="B40" t="s">
        <v>15</v>
      </c>
      <c r="C40" s="3">
        <v>1671</v>
      </c>
      <c r="D40" s="3">
        <v>1734</v>
      </c>
      <c r="E40" s="3">
        <v>1667.1</v>
      </c>
      <c r="F40" s="3">
        <v>1661.45</v>
      </c>
      <c r="G40" s="3">
        <v>1731.95</v>
      </c>
      <c r="H40" s="3">
        <v>1719.45</v>
      </c>
      <c r="I40" s="3">
        <v>1704.59</v>
      </c>
      <c r="J40" s="3">
        <v>1734</v>
      </c>
      <c r="K40" s="3">
        <v>1139.3</v>
      </c>
      <c r="L40" s="4">
        <v>2672708</v>
      </c>
      <c r="M40" s="3">
        <v>4555872150.3000002</v>
      </c>
      <c r="N40" s="4">
        <v>114075</v>
      </c>
      <c r="O40">
        <f t="shared" si="0"/>
        <v>3.4909266002588098E-2</v>
      </c>
    </row>
    <row r="41" spans="1:15" ht="14.25" customHeight="1" x14ac:dyDescent="0.3">
      <c r="A41" s="2">
        <v>45531</v>
      </c>
      <c r="B41" t="s">
        <v>15</v>
      </c>
      <c r="C41" s="3">
        <v>1725.85</v>
      </c>
      <c r="D41" s="3">
        <v>1756.85</v>
      </c>
      <c r="E41" s="3">
        <v>1705.1</v>
      </c>
      <c r="F41" s="3">
        <v>1719.45</v>
      </c>
      <c r="G41" s="3">
        <v>1706</v>
      </c>
      <c r="H41" s="3">
        <v>1711.6</v>
      </c>
      <c r="I41" s="3">
        <v>1729.29</v>
      </c>
      <c r="J41" s="3">
        <v>1756.85</v>
      </c>
      <c r="K41" s="3">
        <v>1139.3</v>
      </c>
      <c r="L41" s="4">
        <v>3556487</v>
      </c>
      <c r="M41" s="3">
        <v>6150206994.9499998</v>
      </c>
      <c r="N41" s="4">
        <v>157952</v>
      </c>
      <c r="O41">
        <f t="shared" si="0"/>
        <v>-4.5654133589229902E-3</v>
      </c>
    </row>
    <row r="42" spans="1:15" ht="14.25" customHeight="1" x14ac:dyDescent="0.3">
      <c r="A42" s="2">
        <v>45532</v>
      </c>
      <c r="B42" t="s">
        <v>15</v>
      </c>
      <c r="C42" s="3">
        <v>1712.55</v>
      </c>
      <c r="D42" s="3">
        <v>1737.75</v>
      </c>
      <c r="E42" s="3">
        <v>1693.05</v>
      </c>
      <c r="F42" s="3">
        <v>1711.6</v>
      </c>
      <c r="G42" s="3">
        <v>1714</v>
      </c>
      <c r="H42" s="3">
        <v>1719.45</v>
      </c>
      <c r="I42" s="3">
        <v>1724.11</v>
      </c>
      <c r="J42" s="3">
        <v>1756.85</v>
      </c>
      <c r="K42" s="3">
        <v>1139.3</v>
      </c>
      <c r="L42" s="4">
        <v>2516461</v>
      </c>
      <c r="M42" s="3">
        <v>4338661403.8999996</v>
      </c>
      <c r="N42" s="4">
        <v>83998</v>
      </c>
      <c r="O42">
        <f t="shared" si="0"/>
        <v>4.586351951390592E-3</v>
      </c>
    </row>
    <row r="43" spans="1:15" ht="14.25" customHeight="1" x14ac:dyDescent="0.3">
      <c r="A43" s="2">
        <v>45533</v>
      </c>
      <c r="B43" t="s">
        <v>15</v>
      </c>
      <c r="C43" s="3">
        <v>1714</v>
      </c>
      <c r="D43" s="3">
        <v>1756</v>
      </c>
      <c r="E43" s="3">
        <v>1697.25</v>
      </c>
      <c r="F43" s="3">
        <v>1719.45</v>
      </c>
      <c r="G43" s="3">
        <v>1750.45</v>
      </c>
      <c r="H43" s="3">
        <v>1751.85</v>
      </c>
      <c r="I43" s="3">
        <v>1743.29</v>
      </c>
      <c r="J43" s="3">
        <v>1756.85</v>
      </c>
      <c r="K43" s="3">
        <v>1139.3</v>
      </c>
      <c r="L43" s="4">
        <v>5112407</v>
      </c>
      <c r="M43" s="3">
        <v>8912413845.3500004</v>
      </c>
      <c r="N43" s="4">
        <v>204310</v>
      </c>
      <c r="O43">
        <f t="shared" si="0"/>
        <v>1.884323475529958E-2</v>
      </c>
    </row>
    <row r="44" spans="1:15" ht="14.25" customHeight="1" x14ac:dyDescent="0.3">
      <c r="A44" s="2">
        <v>45534</v>
      </c>
      <c r="B44" t="s">
        <v>15</v>
      </c>
      <c r="C44" s="3">
        <v>1751.85</v>
      </c>
      <c r="D44" s="3">
        <v>1766.3</v>
      </c>
      <c r="E44" s="3">
        <v>1742.2</v>
      </c>
      <c r="F44" s="3">
        <v>1751.85</v>
      </c>
      <c r="G44" s="3">
        <v>1749.1</v>
      </c>
      <c r="H44" s="3">
        <v>1753.25</v>
      </c>
      <c r="I44" s="3">
        <v>1754.62</v>
      </c>
      <c r="J44" s="3">
        <v>1766.3</v>
      </c>
      <c r="K44" s="3">
        <v>1139.3</v>
      </c>
      <c r="L44" s="4">
        <v>4792561</v>
      </c>
      <c r="M44" s="3">
        <v>8409117094.0500002</v>
      </c>
      <c r="N44" s="4">
        <v>138406</v>
      </c>
      <c r="O44">
        <f t="shared" si="0"/>
        <v>7.9915517881102324E-4</v>
      </c>
    </row>
    <row r="45" spans="1:15" ht="14.25" customHeight="1" x14ac:dyDescent="0.3">
      <c r="A45" s="2">
        <v>45537</v>
      </c>
      <c r="B45" t="s">
        <v>15</v>
      </c>
      <c r="C45" s="3">
        <v>1764.2</v>
      </c>
      <c r="D45" s="3">
        <v>1812</v>
      </c>
      <c r="E45" s="3">
        <v>1760</v>
      </c>
      <c r="F45" s="3">
        <v>1753.25</v>
      </c>
      <c r="G45" s="3">
        <v>1800</v>
      </c>
      <c r="H45" s="3">
        <v>1806.65</v>
      </c>
      <c r="I45" s="3">
        <v>1795.29</v>
      </c>
      <c r="J45" s="3">
        <v>1812</v>
      </c>
      <c r="K45" s="3">
        <v>1185</v>
      </c>
      <c r="L45" s="4">
        <v>4445349</v>
      </c>
      <c r="M45" s="3">
        <v>7980704030.9499998</v>
      </c>
      <c r="N45" s="4">
        <v>171323</v>
      </c>
      <c r="O45">
        <f t="shared" si="0"/>
        <v>3.0457721374590099E-2</v>
      </c>
    </row>
    <row r="46" spans="1:15" ht="14.25" customHeight="1" x14ac:dyDescent="0.3">
      <c r="A46" s="2">
        <v>45538</v>
      </c>
      <c r="B46" t="s">
        <v>15</v>
      </c>
      <c r="C46" s="3">
        <v>1806</v>
      </c>
      <c r="D46" s="3">
        <v>1817.15</v>
      </c>
      <c r="E46" s="3">
        <v>1787.05</v>
      </c>
      <c r="F46" s="3">
        <v>1806.65</v>
      </c>
      <c r="G46" s="3">
        <v>1788.2</v>
      </c>
      <c r="H46" s="3">
        <v>1790.45</v>
      </c>
      <c r="I46" s="3">
        <v>1803.69</v>
      </c>
      <c r="J46" s="3">
        <v>1817.15</v>
      </c>
      <c r="K46" s="3">
        <v>1185</v>
      </c>
      <c r="L46" s="4">
        <v>2553290</v>
      </c>
      <c r="M46" s="3">
        <v>4605355003.8000002</v>
      </c>
      <c r="N46" s="4">
        <v>105975</v>
      </c>
      <c r="O46">
        <f t="shared" si="0"/>
        <v>-8.9668723881216866E-3</v>
      </c>
    </row>
    <row r="47" spans="1:15" ht="14.25" customHeight="1" x14ac:dyDescent="0.3">
      <c r="A47" s="2">
        <v>45539</v>
      </c>
      <c r="B47" t="s">
        <v>15</v>
      </c>
      <c r="C47" s="3">
        <v>1765.1</v>
      </c>
      <c r="D47" s="3">
        <v>1795.65</v>
      </c>
      <c r="E47" s="3">
        <v>1765</v>
      </c>
      <c r="F47" s="3">
        <v>1790.45</v>
      </c>
      <c r="G47" s="3">
        <v>1785</v>
      </c>
      <c r="H47" s="3">
        <v>1785.25</v>
      </c>
      <c r="I47" s="3">
        <v>1784.3</v>
      </c>
      <c r="J47" s="3">
        <v>1817.15</v>
      </c>
      <c r="K47" s="3">
        <v>1185</v>
      </c>
      <c r="L47" s="4">
        <v>2644961</v>
      </c>
      <c r="M47" s="3">
        <v>4719412132.6999998</v>
      </c>
      <c r="N47" s="4">
        <v>115768</v>
      </c>
      <c r="O47">
        <f t="shared" si="0"/>
        <v>-2.9042978022285155E-3</v>
      </c>
    </row>
    <row r="48" spans="1:15" ht="14.25" customHeight="1" x14ac:dyDescent="0.3">
      <c r="A48" s="2">
        <v>45540</v>
      </c>
      <c r="B48" t="s">
        <v>15</v>
      </c>
      <c r="C48" s="3">
        <v>1792</v>
      </c>
      <c r="D48" s="3">
        <v>1797.7</v>
      </c>
      <c r="E48" s="3">
        <v>1767.3</v>
      </c>
      <c r="F48" s="3">
        <v>1785.25</v>
      </c>
      <c r="G48" s="3">
        <v>1794.6</v>
      </c>
      <c r="H48" s="3">
        <v>1790.55</v>
      </c>
      <c r="I48" s="3">
        <v>1780.29</v>
      </c>
      <c r="J48" s="3">
        <v>1817.15</v>
      </c>
      <c r="K48" s="3">
        <v>1185</v>
      </c>
      <c r="L48" s="4">
        <v>2878565</v>
      </c>
      <c r="M48" s="3">
        <v>5124687722</v>
      </c>
      <c r="N48" s="4">
        <v>152776</v>
      </c>
      <c r="O48">
        <f t="shared" si="0"/>
        <v>2.9687718806889539E-3</v>
      </c>
    </row>
    <row r="49" spans="1:15" ht="14.25" customHeight="1" x14ac:dyDescent="0.3">
      <c r="A49" s="2">
        <v>45541</v>
      </c>
      <c r="B49" t="s">
        <v>15</v>
      </c>
      <c r="C49" s="3">
        <v>1788</v>
      </c>
      <c r="D49" s="3">
        <v>1795.75</v>
      </c>
      <c r="E49" s="3">
        <v>1740.05</v>
      </c>
      <c r="F49" s="3">
        <v>1790.55</v>
      </c>
      <c r="G49" s="3">
        <v>1754</v>
      </c>
      <c r="H49" s="3">
        <v>1756.1</v>
      </c>
      <c r="I49" s="3">
        <v>1757.91</v>
      </c>
      <c r="J49" s="3">
        <v>1817.15</v>
      </c>
      <c r="K49" s="3">
        <v>1185</v>
      </c>
      <c r="L49" s="4">
        <v>3351716</v>
      </c>
      <c r="M49" s="3">
        <v>5892017836.8999996</v>
      </c>
      <c r="N49" s="4">
        <v>164239</v>
      </c>
      <c r="O49">
        <f t="shared" si="0"/>
        <v>-1.9239898355253998E-2</v>
      </c>
    </row>
    <row r="50" spans="1:15" ht="14.25" customHeight="1" x14ac:dyDescent="0.3">
      <c r="A50" s="2">
        <v>45544</v>
      </c>
      <c r="B50" t="s">
        <v>15</v>
      </c>
      <c r="C50" s="3">
        <v>1758.35</v>
      </c>
      <c r="D50" s="3">
        <v>1766.3</v>
      </c>
      <c r="E50" s="3">
        <v>1741.15</v>
      </c>
      <c r="F50" s="3">
        <v>1756.1</v>
      </c>
      <c r="G50" s="3">
        <v>1748.5</v>
      </c>
      <c r="H50" s="3">
        <v>1746.75</v>
      </c>
      <c r="I50" s="3">
        <v>1753.07</v>
      </c>
      <c r="J50" s="3">
        <v>1817.15</v>
      </c>
      <c r="K50" s="3">
        <v>1208.55</v>
      </c>
      <c r="L50" s="4">
        <v>1418238</v>
      </c>
      <c r="M50" s="3">
        <v>2486268121.1500001</v>
      </c>
      <c r="N50" s="4">
        <v>73263</v>
      </c>
      <c r="O50">
        <f t="shared" si="0"/>
        <v>-5.3242981606969478E-3</v>
      </c>
    </row>
    <row r="51" spans="1:15" ht="14.25" customHeight="1" x14ac:dyDescent="0.3">
      <c r="A51" s="2">
        <v>45545</v>
      </c>
      <c r="B51" t="s">
        <v>15</v>
      </c>
      <c r="C51" s="3">
        <v>1749.45</v>
      </c>
      <c r="D51" s="3">
        <v>1789.3</v>
      </c>
      <c r="E51" s="3">
        <v>1747.15</v>
      </c>
      <c r="F51" s="3">
        <v>1746.75</v>
      </c>
      <c r="G51" s="3">
        <v>1781.6</v>
      </c>
      <c r="H51" s="3">
        <v>1779.1</v>
      </c>
      <c r="I51" s="3">
        <v>1771.97</v>
      </c>
      <c r="J51" s="3">
        <v>1817.15</v>
      </c>
      <c r="K51" s="3">
        <v>1208.55</v>
      </c>
      <c r="L51" s="4">
        <v>2307528</v>
      </c>
      <c r="M51" s="3">
        <v>4088868154.3499999</v>
      </c>
      <c r="N51" s="4">
        <v>125459</v>
      </c>
      <c r="O51">
        <f t="shared" si="0"/>
        <v>1.8520108773436329E-2</v>
      </c>
    </row>
    <row r="52" spans="1:15" ht="14.25" customHeight="1" x14ac:dyDescent="0.3">
      <c r="A52" s="2">
        <v>45546</v>
      </c>
      <c r="B52" t="s">
        <v>15</v>
      </c>
      <c r="C52" s="3">
        <v>1778.2</v>
      </c>
      <c r="D52" s="3">
        <v>1796.85</v>
      </c>
      <c r="E52" s="3">
        <v>1773.7</v>
      </c>
      <c r="F52" s="3">
        <v>1779.1</v>
      </c>
      <c r="G52" s="3">
        <v>1783.2</v>
      </c>
      <c r="H52" s="3">
        <v>1778.75</v>
      </c>
      <c r="I52" s="3">
        <v>1783.36</v>
      </c>
      <c r="J52" s="3">
        <v>1817.15</v>
      </c>
      <c r="K52" s="3">
        <v>1208.55</v>
      </c>
      <c r="L52" s="4">
        <v>2303930</v>
      </c>
      <c r="M52" s="3">
        <v>4108731238.3499999</v>
      </c>
      <c r="N52" s="4">
        <v>131347</v>
      </c>
      <c r="O52">
        <f t="shared" si="0"/>
        <v>-1.9672868304193642E-4</v>
      </c>
    </row>
    <row r="53" spans="1:15" ht="14.25" customHeight="1" x14ac:dyDescent="0.3">
      <c r="A53" s="2">
        <v>45547</v>
      </c>
      <c r="B53" t="s">
        <v>15</v>
      </c>
      <c r="C53" s="3">
        <v>1800</v>
      </c>
      <c r="D53" s="3">
        <v>1814.2</v>
      </c>
      <c r="E53" s="3">
        <v>1777.1</v>
      </c>
      <c r="F53" s="3">
        <v>1778.75</v>
      </c>
      <c r="G53" s="3">
        <v>1795.6</v>
      </c>
      <c r="H53" s="3">
        <v>1807.6</v>
      </c>
      <c r="I53" s="3">
        <v>1796.86</v>
      </c>
      <c r="J53" s="3">
        <v>1817.15</v>
      </c>
      <c r="K53" s="3">
        <v>1208.55</v>
      </c>
      <c r="L53" s="4">
        <v>3349489</v>
      </c>
      <c r="M53" s="3">
        <v>6018567432.8999996</v>
      </c>
      <c r="N53" s="4">
        <v>138145</v>
      </c>
      <c r="O53">
        <f t="shared" si="0"/>
        <v>1.621925509486994E-2</v>
      </c>
    </row>
    <row r="54" spans="1:15" ht="14.25" customHeight="1" x14ac:dyDescent="0.3">
      <c r="A54" s="2">
        <v>45548</v>
      </c>
      <c r="B54" t="s">
        <v>15</v>
      </c>
      <c r="C54" s="3">
        <v>1805</v>
      </c>
      <c r="D54" s="3">
        <v>1820</v>
      </c>
      <c r="E54" s="3">
        <v>1795.65</v>
      </c>
      <c r="F54" s="3">
        <v>1807.6</v>
      </c>
      <c r="G54" s="3">
        <v>1809.25</v>
      </c>
      <c r="H54" s="3">
        <v>1812.8</v>
      </c>
      <c r="I54" s="3">
        <v>1811.69</v>
      </c>
      <c r="J54" s="3">
        <v>1820</v>
      </c>
      <c r="K54" s="3">
        <v>1208.55</v>
      </c>
      <c r="L54" s="4">
        <v>1599349</v>
      </c>
      <c r="M54" s="3">
        <v>2897516998.1999998</v>
      </c>
      <c r="N54" s="4">
        <v>71229</v>
      </c>
      <c r="O54">
        <f t="shared" si="0"/>
        <v>2.8767426421774981E-3</v>
      </c>
    </row>
    <row r="55" spans="1:15" ht="14.25" customHeight="1" x14ac:dyDescent="0.3">
      <c r="A55" s="2">
        <v>45551</v>
      </c>
      <c r="B55" t="s">
        <v>15</v>
      </c>
      <c r="C55" s="3">
        <v>1819</v>
      </c>
      <c r="D55" s="3">
        <v>1824.25</v>
      </c>
      <c r="E55" s="3">
        <v>1808.2</v>
      </c>
      <c r="F55" s="3">
        <v>1812.8</v>
      </c>
      <c r="G55" s="3">
        <v>1812</v>
      </c>
      <c r="H55" s="3">
        <v>1811.85</v>
      </c>
      <c r="I55" s="3">
        <v>1814.13</v>
      </c>
      <c r="J55" s="3">
        <v>1824.25</v>
      </c>
      <c r="K55" s="3">
        <v>1208.55</v>
      </c>
      <c r="L55" s="4">
        <v>836199</v>
      </c>
      <c r="M55" s="3">
        <v>1516973904.8</v>
      </c>
      <c r="N55" s="4">
        <v>47463</v>
      </c>
      <c r="O55">
        <f t="shared" si="0"/>
        <v>-5.2405119152694479E-4</v>
      </c>
    </row>
    <row r="56" spans="1:15" ht="14.25" customHeight="1" x14ac:dyDescent="0.3">
      <c r="A56" s="2">
        <v>45552</v>
      </c>
      <c r="B56" t="s">
        <v>15</v>
      </c>
      <c r="C56" s="3">
        <v>1811.95</v>
      </c>
      <c r="D56" s="3">
        <v>1828</v>
      </c>
      <c r="E56" s="3">
        <v>1807.2</v>
      </c>
      <c r="F56" s="3">
        <v>1811.85</v>
      </c>
      <c r="G56" s="3">
        <v>1811</v>
      </c>
      <c r="H56" s="3">
        <v>1813.75</v>
      </c>
      <c r="I56" s="3">
        <v>1819.44</v>
      </c>
      <c r="J56" s="3">
        <v>1828</v>
      </c>
      <c r="K56" s="3">
        <v>1208.55</v>
      </c>
      <c r="L56" s="4">
        <v>830317</v>
      </c>
      <c r="M56" s="3">
        <v>1510715373.8499999</v>
      </c>
      <c r="N56" s="4">
        <v>75446</v>
      </c>
      <c r="O56">
        <f t="shared" si="0"/>
        <v>1.0486519303474851E-3</v>
      </c>
    </row>
    <row r="57" spans="1:15" ht="14.25" customHeight="1" x14ac:dyDescent="0.3">
      <c r="A57" s="2">
        <v>45553</v>
      </c>
      <c r="B57" t="s">
        <v>15</v>
      </c>
      <c r="C57" s="3">
        <v>1808.1</v>
      </c>
      <c r="D57" s="3">
        <v>1808.1</v>
      </c>
      <c r="E57" s="3">
        <v>1740.1</v>
      </c>
      <c r="F57" s="3">
        <v>1813.75</v>
      </c>
      <c r="G57" s="3">
        <v>1758.1</v>
      </c>
      <c r="H57" s="3">
        <v>1756.5</v>
      </c>
      <c r="I57" s="3">
        <v>1760.86</v>
      </c>
      <c r="J57" s="3">
        <v>1828</v>
      </c>
      <c r="K57" s="3">
        <v>1208.55</v>
      </c>
      <c r="L57" s="4">
        <v>2629136</v>
      </c>
      <c r="M57" s="3">
        <v>4629529684.1499996</v>
      </c>
      <c r="N57" s="4">
        <v>136563</v>
      </c>
      <c r="O57">
        <f t="shared" si="0"/>
        <v>-3.1564438318401104E-2</v>
      </c>
    </row>
    <row r="58" spans="1:15" ht="14.25" customHeight="1" x14ac:dyDescent="0.3">
      <c r="A58" s="2">
        <v>45554</v>
      </c>
      <c r="B58" t="s">
        <v>15</v>
      </c>
      <c r="C58" s="3">
        <v>1776</v>
      </c>
      <c r="D58" s="3">
        <v>1776</v>
      </c>
      <c r="E58" s="3">
        <v>1721.5</v>
      </c>
      <c r="F58" s="3">
        <v>1756.5</v>
      </c>
      <c r="G58" s="3">
        <v>1741.85</v>
      </c>
      <c r="H58" s="3">
        <v>1736.5</v>
      </c>
      <c r="I58" s="3">
        <v>1740.1</v>
      </c>
      <c r="J58" s="3">
        <v>1828</v>
      </c>
      <c r="K58" s="3">
        <v>1208.55</v>
      </c>
      <c r="L58" s="4">
        <v>4167373</v>
      </c>
      <c r="M58" s="3">
        <v>7251657873.6000004</v>
      </c>
      <c r="N58" s="4">
        <v>184832</v>
      </c>
      <c r="O58">
        <f t="shared" si="0"/>
        <v>-1.1386279533162539E-2</v>
      </c>
    </row>
    <row r="59" spans="1:15" ht="14.25" customHeight="1" x14ac:dyDescent="0.3">
      <c r="A59" s="2">
        <v>45555</v>
      </c>
      <c r="B59" t="s">
        <v>15</v>
      </c>
      <c r="C59" s="3">
        <v>1748</v>
      </c>
      <c r="D59" s="3">
        <v>1766.1</v>
      </c>
      <c r="E59" s="3">
        <v>1721.4</v>
      </c>
      <c r="F59" s="3">
        <v>1736.5</v>
      </c>
      <c r="G59" s="3">
        <v>1763</v>
      </c>
      <c r="H59" s="3">
        <v>1760.05</v>
      </c>
      <c r="I59" s="3">
        <v>1751.98</v>
      </c>
      <c r="J59" s="3">
        <v>1828</v>
      </c>
      <c r="K59" s="3">
        <v>1208.55</v>
      </c>
      <c r="L59" s="4">
        <v>4644317</v>
      </c>
      <c r="M59" s="3">
        <v>8136760094.6000004</v>
      </c>
      <c r="N59" s="4">
        <v>188906</v>
      </c>
      <c r="O59">
        <f t="shared" si="0"/>
        <v>1.3561762165274951E-2</v>
      </c>
    </row>
    <row r="60" spans="1:15" ht="14.25" customHeight="1" x14ac:dyDescent="0.3">
      <c r="A60" s="2">
        <v>45558</v>
      </c>
      <c r="B60" t="s">
        <v>15</v>
      </c>
      <c r="C60" s="3">
        <v>1764</v>
      </c>
      <c r="D60" s="3">
        <v>1764</v>
      </c>
      <c r="E60" s="3">
        <v>1732.5</v>
      </c>
      <c r="F60" s="3">
        <v>1760.05</v>
      </c>
      <c r="G60" s="3">
        <v>1750.7</v>
      </c>
      <c r="H60" s="3">
        <v>1752.8</v>
      </c>
      <c r="I60" s="3">
        <v>1746.23</v>
      </c>
      <c r="J60" s="3">
        <v>1828</v>
      </c>
      <c r="K60" s="3">
        <v>1208.55</v>
      </c>
      <c r="L60" s="4">
        <v>1541597</v>
      </c>
      <c r="M60" s="3">
        <v>2691975774.5</v>
      </c>
      <c r="N60" s="4">
        <v>74031</v>
      </c>
      <c r="O60">
        <f t="shared" si="0"/>
        <v>-4.1192011590579815E-3</v>
      </c>
    </row>
    <row r="61" spans="1:15" ht="14.25" customHeight="1" x14ac:dyDescent="0.3">
      <c r="A61" s="2">
        <v>45559</v>
      </c>
      <c r="B61" t="s">
        <v>15</v>
      </c>
      <c r="C61" s="3">
        <v>1750</v>
      </c>
      <c r="D61" s="3">
        <v>1783.5</v>
      </c>
      <c r="E61" s="3">
        <v>1738.35</v>
      </c>
      <c r="F61" s="3">
        <v>1752.8</v>
      </c>
      <c r="G61" s="3">
        <v>1779.05</v>
      </c>
      <c r="H61" s="3">
        <v>1775.6</v>
      </c>
      <c r="I61" s="3">
        <v>1763.55</v>
      </c>
      <c r="J61" s="3">
        <v>1828</v>
      </c>
      <c r="K61" s="3">
        <v>1208.55</v>
      </c>
      <c r="L61" s="4">
        <v>1907389</v>
      </c>
      <c r="M61" s="3">
        <v>3363767481.3000002</v>
      </c>
      <c r="N61" s="4">
        <v>87644</v>
      </c>
      <c r="O61">
        <f t="shared" si="0"/>
        <v>1.3007759014148764E-2</v>
      </c>
    </row>
    <row r="62" spans="1:15" ht="14.25" customHeight="1" x14ac:dyDescent="0.3">
      <c r="A62" s="2">
        <v>45560</v>
      </c>
      <c r="B62" t="s">
        <v>15</v>
      </c>
      <c r="C62" s="3">
        <v>1778.8</v>
      </c>
      <c r="D62" s="3">
        <v>1784.05</v>
      </c>
      <c r="E62" s="3">
        <v>1755</v>
      </c>
      <c r="F62" s="3">
        <v>1775.6</v>
      </c>
      <c r="G62" s="3">
        <v>1780</v>
      </c>
      <c r="H62" s="3">
        <v>1782.4</v>
      </c>
      <c r="I62" s="3">
        <v>1770.87</v>
      </c>
      <c r="J62" s="3">
        <v>1828</v>
      </c>
      <c r="K62" s="3">
        <v>1208.55</v>
      </c>
      <c r="L62" s="4">
        <v>2240579</v>
      </c>
      <c r="M62" s="3">
        <v>3967763596.25</v>
      </c>
      <c r="N62" s="4">
        <v>128880</v>
      </c>
      <c r="O62">
        <f t="shared" si="0"/>
        <v>3.8296913719307176E-3</v>
      </c>
    </row>
    <row r="63" spans="1:15" ht="14.25" customHeight="1" x14ac:dyDescent="0.3">
      <c r="A63" s="2">
        <v>45561</v>
      </c>
      <c r="B63" t="s">
        <v>15</v>
      </c>
      <c r="C63" s="3">
        <v>1782.25</v>
      </c>
      <c r="D63" s="3">
        <v>1808.4</v>
      </c>
      <c r="E63" s="3">
        <v>1778.9</v>
      </c>
      <c r="F63" s="3">
        <v>1782.4</v>
      </c>
      <c r="G63" s="3">
        <v>1782</v>
      </c>
      <c r="H63" s="3">
        <v>1783.85</v>
      </c>
      <c r="I63" s="3">
        <v>1790.4</v>
      </c>
      <c r="J63" s="3">
        <v>1828</v>
      </c>
      <c r="K63" s="3">
        <v>1208.55</v>
      </c>
      <c r="L63" s="4">
        <v>4303250</v>
      </c>
      <c r="M63" s="3">
        <v>7704544331.1999998</v>
      </c>
      <c r="N63" s="4">
        <v>145204</v>
      </c>
      <c r="O63">
        <f t="shared" si="0"/>
        <v>8.1350987432664832E-4</v>
      </c>
    </row>
    <row r="64" spans="1:15" ht="14.25" customHeight="1" x14ac:dyDescent="0.3">
      <c r="A64" s="2">
        <v>45562</v>
      </c>
      <c r="B64" t="s">
        <v>15</v>
      </c>
      <c r="C64" s="3">
        <v>1810</v>
      </c>
      <c r="D64" s="3">
        <v>1828.55</v>
      </c>
      <c r="E64" s="3">
        <v>1796.55</v>
      </c>
      <c r="F64" s="3">
        <v>1783.85</v>
      </c>
      <c r="G64" s="3">
        <v>1809</v>
      </c>
      <c r="H64" s="3">
        <v>1808.4</v>
      </c>
      <c r="I64" s="3">
        <v>1810.62</v>
      </c>
      <c r="J64" s="3">
        <v>1828.55</v>
      </c>
      <c r="K64" s="3">
        <v>1208.55</v>
      </c>
      <c r="L64" s="4">
        <v>4099016</v>
      </c>
      <c r="M64" s="3">
        <v>7421772241.6999998</v>
      </c>
      <c r="N64" s="4">
        <v>175739</v>
      </c>
      <c r="O64">
        <f t="shared" si="0"/>
        <v>1.3762367912100336E-2</v>
      </c>
    </row>
    <row r="65" spans="1:15" ht="14.25" customHeight="1" x14ac:dyDescent="0.3">
      <c r="A65" s="2">
        <v>45565</v>
      </c>
      <c r="B65" t="s">
        <v>15</v>
      </c>
      <c r="C65" s="3">
        <v>1808</v>
      </c>
      <c r="D65" s="3">
        <v>1820.7</v>
      </c>
      <c r="E65" s="3">
        <v>1789.15</v>
      </c>
      <c r="F65" s="3">
        <v>1808.4</v>
      </c>
      <c r="G65" s="3">
        <v>1796</v>
      </c>
      <c r="H65" s="3">
        <v>1796.1</v>
      </c>
      <c r="I65" s="3">
        <v>1804.46</v>
      </c>
      <c r="J65" s="3">
        <v>1828.55</v>
      </c>
      <c r="K65" s="3">
        <v>1208.55</v>
      </c>
      <c r="L65" s="4">
        <v>2117894</v>
      </c>
      <c r="M65" s="3">
        <v>3821662432.3000002</v>
      </c>
      <c r="N65" s="4">
        <v>94065</v>
      </c>
      <c r="O65">
        <f t="shared" si="0"/>
        <v>-6.8015925680160261E-3</v>
      </c>
    </row>
    <row r="66" spans="1:15" ht="14.25" customHeight="1" x14ac:dyDescent="0.3">
      <c r="A66" s="2">
        <v>45566</v>
      </c>
      <c r="B66" t="s">
        <v>15</v>
      </c>
      <c r="C66" s="3">
        <v>1790</v>
      </c>
      <c r="D66" s="3">
        <v>1822.45</v>
      </c>
      <c r="E66" s="3">
        <v>1790</v>
      </c>
      <c r="F66" s="3">
        <v>1796.1</v>
      </c>
      <c r="G66" s="3">
        <v>1816.45</v>
      </c>
      <c r="H66" s="3">
        <v>1816.5</v>
      </c>
      <c r="I66" s="3">
        <v>1804.79</v>
      </c>
      <c r="J66" s="3">
        <v>1828.55</v>
      </c>
      <c r="K66" s="3">
        <v>1208.55</v>
      </c>
      <c r="L66" s="4">
        <v>1642542</v>
      </c>
      <c r="M66" s="3">
        <v>2964450145.75</v>
      </c>
      <c r="N66" s="4">
        <v>86150</v>
      </c>
      <c r="O66">
        <f t="shared" si="0"/>
        <v>1.1357942208117639E-2</v>
      </c>
    </row>
    <row r="67" spans="1:15" ht="14.25" customHeight="1" x14ac:dyDescent="0.3">
      <c r="A67" s="2">
        <v>45568</v>
      </c>
      <c r="B67" t="s">
        <v>15</v>
      </c>
      <c r="C67" s="3">
        <v>1778</v>
      </c>
      <c r="D67" s="3">
        <v>1809.3</v>
      </c>
      <c r="E67" s="3">
        <v>1770</v>
      </c>
      <c r="F67" s="3">
        <v>1816.5</v>
      </c>
      <c r="G67" s="3">
        <v>1779</v>
      </c>
      <c r="H67" s="3">
        <v>1778.55</v>
      </c>
      <c r="I67" s="3">
        <v>1784.4</v>
      </c>
      <c r="J67" s="3">
        <v>1828.55</v>
      </c>
      <c r="K67" s="3">
        <v>1208.55</v>
      </c>
      <c r="L67" s="4">
        <v>3552386</v>
      </c>
      <c r="M67" s="3">
        <v>6338888981.5500002</v>
      </c>
      <c r="N67" s="4">
        <v>142185</v>
      </c>
      <c r="O67">
        <f t="shared" ref="O67:O130" si="1">(H67-H66)/H66</f>
        <v>-2.0891824938067738E-2</v>
      </c>
    </row>
    <row r="68" spans="1:15" ht="14.25" customHeight="1" x14ac:dyDescent="0.3">
      <c r="A68" s="2">
        <v>45569</v>
      </c>
      <c r="B68" t="s">
        <v>15</v>
      </c>
      <c r="C68" s="3">
        <v>1778</v>
      </c>
      <c r="D68" s="3">
        <v>1807.9</v>
      </c>
      <c r="E68" s="3">
        <v>1767.25</v>
      </c>
      <c r="F68" s="3">
        <v>1778.55</v>
      </c>
      <c r="G68" s="3">
        <v>1782.25</v>
      </c>
      <c r="H68" s="3">
        <v>1776.6</v>
      </c>
      <c r="I68" s="3">
        <v>1787.14</v>
      </c>
      <c r="J68" s="3">
        <v>1828.55</v>
      </c>
      <c r="K68" s="3">
        <v>1208.55</v>
      </c>
      <c r="L68" s="4">
        <v>2982759</v>
      </c>
      <c r="M68" s="3">
        <v>5330611423.8999996</v>
      </c>
      <c r="N68" s="4">
        <v>148375</v>
      </c>
      <c r="O68">
        <f t="shared" si="1"/>
        <v>-1.0963987517922159E-3</v>
      </c>
    </row>
    <row r="69" spans="1:15" ht="14.25" customHeight="1" x14ac:dyDescent="0.3">
      <c r="A69" s="2">
        <v>45572</v>
      </c>
      <c r="B69" t="s">
        <v>15</v>
      </c>
      <c r="C69" s="3">
        <v>1784.95</v>
      </c>
      <c r="D69" s="3">
        <v>1804.2</v>
      </c>
      <c r="E69" s="3">
        <v>1767.9</v>
      </c>
      <c r="F69" s="3">
        <v>1776.6</v>
      </c>
      <c r="G69" s="3">
        <v>1773.65</v>
      </c>
      <c r="H69" s="3">
        <v>1776.95</v>
      </c>
      <c r="I69" s="3">
        <v>1777.65</v>
      </c>
      <c r="J69" s="3">
        <v>1828.55</v>
      </c>
      <c r="K69" s="3">
        <v>1208.55</v>
      </c>
      <c r="L69" s="4">
        <v>3419048</v>
      </c>
      <c r="M69" s="3">
        <v>6077878236.5500002</v>
      </c>
      <c r="N69" s="4">
        <v>121516</v>
      </c>
      <c r="O69">
        <f t="shared" si="1"/>
        <v>1.9700551615452913E-4</v>
      </c>
    </row>
    <row r="70" spans="1:15" ht="14.25" customHeight="1" x14ac:dyDescent="0.3">
      <c r="A70" s="2">
        <v>45573</v>
      </c>
      <c r="B70" t="s">
        <v>15</v>
      </c>
      <c r="C70" s="3">
        <v>1774</v>
      </c>
      <c r="D70" s="3">
        <v>1794</v>
      </c>
      <c r="E70" s="3">
        <v>1743</v>
      </c>
      <c r="F70" s="3">
        <v>1776.95</v>
      </c>
      <c r="G70" s="3">
        <v>1784</v>
      </c>
      <c r="H70" s="3">
        <v>1789.45</v>
      </c>
      <c r="I70" s="3">
        <v>1773.74</v>
      </c>
      <c r="J70" s="3">
        <v>1828.55</v>
      </c>
      <c r="K70" s="3">
        <v>1208.55</v>
      </c>
      <c r="L70" s="4">
        <v>2353030</v>
      </c>
      <c r="M70" s="3">
        <v>4173669588.9000001</v>
      </c>
      <c r="N70" s="4">
        <v>155794</v>
      </c>
      <c r="O70">
        <f t="shared" si="1"/>
        <v>7.034525450913081E-3</v>
      </c>
    </row>
    <row r="71" spans="1:15" ht="14.25" customHeight="1" x14ac:dyDescent="0.3">
      <c r="A71" s="2">
        <v>45574</v>
      </c>
      <c r="B71" t="s">
        <v>15</v>
      </c>
      <c r="C71" s="3">
        <v>1793.05</v>
      </c>
      <c r="D71" s="3">
        <v>1825</v>
      </c>
      <c r="E71" s="3">
        <v>1790.15</v>
      </c>
      <c r="F71" s="3">
        <v>1789.45</v>
      </c>
      <c r="G71" s="3">
        <v>1812</v>
      </c>
      <c r="H71" s="3">
        <v>1809.7</v>
      </c>
      <c r="I71" s="3">
        <v>1811.77</v>
      </c>
      <c r="J71" s="3">
        <v>1828.55</v>
      </c>
      <c r="K71" s="3">
        <v>1208.55</v>
      </c>
      <c r="L71" s="4">
        <v>2499596</v>
      </c>
      <c r="M71" s="3">
        <v>4528700959.0500002</v>
      </c>
      <c r="N71" s="4">
        <v>102612</v>
      </c>
      <c r="O71">
        <f t="shared" si="1"/>
        <v>1.1316326245494425E-2</v>
      </c>
    </row>
    <row r="72" spans="1:15" ht="14.25" customHeight="1" x14ac:dyDescent="0.3">
      <c r="A72" s="2">
        <v>45575</v>
      </c>
      <c r="B72" t="s">
        <v>15</v>
      </c>
      <c r="C72" s="3">
        <v>1820</v>
      </c>
      <c r="D72" s="3">
        <v>1839.95</v>
      </c>
      <c r="E72" s="3">
        <v>1797</v>
      </c>
      <c r="F72" s="3">
        <v>1809.7</v>
      </c>
      <c r="G72" s="3">
        <v>1812</v>
      </c>
      <c r="H72" s="3">
        <v>1808.65</v>
      </c>
      <c r="I72" s="3">
        <v>1816.44</v>
      </c>
      <c r="J72" s="3">
        <v>1839.95</v>
      </c>
      <c r="K72" s="3">
        <v>1208.55</v>
      </c>
      <c r="L72" s="4">
        <v>3753869</v>
      </c>
      <c r="M72" s="3">
        <v>6818669363.5</v>
      </c>
      <c r="N72" s="4">
        <v>146791</v>
      </c>
      <c r="O72">
        <f t="shared" si="1"/>
        <v>-5.8020666408794522E-4</v>
      </c>
    </row>
    <row r="73" spans="1:15" ht="14.25" customHeight="1" x14ac:dyDescent="0.3">
      <c r="A73" s="2">
        <v>45576</v>
      </c>
      <c r="B73" t="s">
        <v>15</v>
      </c>
      <c r="C73" s="3">
        <v>1804</v>
      </c>
      <c r="D73" s="3">
        <v>1852.8</v>
      </c>
      <c r="E73" s="3">
        <v>1800.65</v>
      </c>
      <c r="F73" s="3">
        <v>1808.65</v>
      </c>
      <c r="G73" s="3">
        <v>1839.95</v>
      </c>
      <c r="H73" s="3">
        <v>1839.65</v>
      </c>
      <c r="I73" s="3">
        <v>1834.51</v>
      </c>
      <c r="J73" s="3">
        <v>1852.8</v>
      </c>
      <c r="K73" s="3">
        <v>1208.55</v>
      </c>
      <c r="L73" s="4">
        <v>2977110</v>
      </c>
      <c r="M73" s="3">
        <v>5461546850.3500004</v>
      </c>
      <c r="N73" s="4">
        <v>150170</v>
      </c>
      <c r="O73">
        <f t="shared" si="1"/>
        <v>1.7139855693473031E-2</v>
      </c>
    </row>
    <row r="74" spans="1:15" ht="14.25" customHeight="1" x14ac:dyDescent="0.3">
      <c r="A74" s="2">
        <v>45579</v>
      </c>
      <c r="B74" t="s">
        <v>15</v>
      </c>
      <c r="C74" s="3">
        <v>1846.05</v>
      </c>
      <c r="D74" s="3">
        <v>1865.5</v>
      </c>
      <c r="E74" s="3">
        <v>1832.4</v>
      </c>
      <c r="F74" s="3">
        <v>1839.65</v>
      </c>
      <c r="G74" s="3">
        <v>1865</v>
      </c>
      <c r="H74" s="3">
        <v>1855.9</v>
      </c>
      <c r="I74" s="3">
        <v>1849.67</v>
      </c>
      <c r="J74" s="3">
        <v>1865.5</v>
      </c>
      <c r="K74" s="3">
        <v>1212.05</v>
      </c>
      <c r="L74" s="4">
        <v>1751092</v>
      </c>
      <c r="M74" s="3">
        <v>3238947129.6500001</v>
      </c>
      <c r="N74" s="4">
        <v>161598</v>
      </c>
      <c r="O74">
        <f t="shared" si="1"/>
        <v>8.8332019677656078E-3</v>
      </c>
    </row>
    <row r="75" spans="1:15" ht="14.25" customHeight="1" x14ac:dyDescent="0.3">
      <c r="A75" s="2">
        <v>45580</v>
      </c>
      <c r="B75" t="s">
        <v>15</v>
      </c>
      <c r="C75" s="3">
        <v>1830</v>
      </c>
      <c r="D75" s="3">
        <v>1882.75</v>
      </c>
      <c r="E75" s="3">
        <v>1829.95</v>
      </c>
      <c r="F75" s="3">
        <v>1855.9</v>
      </c>
      <c r="G75" s="3">
        <v>1866</v>
      </c>
      <c r="H75" s="3">
        <v>1870.1</v>
      </c>
      <c r="I75" s="3">
        <v>1865.18</v>
      </c>
      <c r="J75" s="3">
        <v>1882.75</v>
      </c>
      <c r="K75" s="3">
        <v>1212.05</v>
      </c>
      <c r="L75" s="4">
        <v>5696544</v>
      </c>
      <c r="M75" s="3">
        <v>10625094067.6</v>
      </c>
      <c r="N75" s="4">
        <v>200838</v>
      </c>
      <c r="O75">
        <f t="shared" si="1"/>
        <v>7.651274314348735E-3</v>
      </c>
    </row>
    <row r="76" spans="1:15" ht="14.25" customHeight="1" x14ac:dyDescent="0.3">
      <c r="A76" s="2">
        <v>45581</v>
      </c>
      <c r="B76" t="s">
        <v>15</v>
      </c>
      <c r="C76" s="3">
        <v>1869</v>
      </c>
      <c r="D76" s="3">
        <v>1885</v>
      </c>
      <c r="E76" s="3">
        <v>1854.05</v>
      </c>
      <c r="F76" s="3">
        <v>1870.1</v>
      </c>
      <c r="G76" s="3">
        <v>1857</v>
      </c>
      <c r="H76" s="3">
        <v>1865.25</v>
      </c>
      <c r="I76" s="3">
        <v>1868.86</v>
      </c>
      <c r="J76" s="3">
        <v>1885</v>
      </c>
      <c r="K76" s="3">
        <v>1212.05</v>
      </c>
      <c r="L76" s="4">
        <v>2144442</v>
      </c>
      <c r="M76" s="3">
        <v>4007651519.8499999</v>
      </c>
      <c r="N76" s="4">
        <v>141225</v>
      </c>
      <c r="O76">
        <f t="shared" si="1"/>
        <v>-2.5934442008448259E-3</v>
      </c>
    </row>
    <row r="77" spans="1:15" ht="14.25" customHeight="1" x14ac:dyDescent="0.3">
      <c r="A77" s="2">
        <v>45582</v>
      </c>
      <c r="B77" t="s">
        <v>15</v>
      </c>
      <c r="C77" s="3">
        <v>1869.9</v>
      </c>
      <c r="D77" s="3">
        <v>1877.05</v>
      </c>
      <c r="E77" s="3">
        <v>1851.45</v>
      </c>
      <c r="F77" s="3">
        <v>1865.25</v>
      </c>
      <c r="G77" s="3">
        <v>1865.75</v>
      </c>
      <c r="H77" s="3">
        <v>1867.8</v>
      </c>
      <c r="I77" s="3">
        <v>1863.97</v>
      </c>
      <c r="J77" s="3">
        <v>1885</v>
      </c>
      <c r="K77" s="3">
        <v>1212.05</v>
      </c>
      <c r="L77" s="4">
        <v>2399099</v>
      </c>
      <c r="M77" s="3">
        <v>4471844146.0500002</v>
      </c>
      <c r="N77" s="4">
        <v>128951</v>
      </c>
      <c r="O77">
        <f t="shared" si="1"/>
        <v>1.3671089666264331E-3</v>
      </c>
    </row>
    <row r="78" spans="1:15" ht="14.25" customHeight="1" x14ac:dyDescent="0.3">
      <c r="A78" s="2">
        <v>45583</v>
      </c>
      <c r="B78" t="s">
        <v>15</v>
      </c>
      <c r="C78" s="3">
        <v>1867</v>
      </c>
      <c r="D78" s="3">
        <v>1873.9</v>
      </c>
      <c r="E78" s="3">
        <v>1843</v>
      </c>
      <c r="F78" s="3">
        <v>1867.8</v>
      </c>
      <c r="G78" s="3">
        <v>1856.55</v>
      </c>
      <c r="H78" s="3">
        <v>1857.7</v>
      </c>
      <c r="I78" s="3">
        <v>1856.03</v>
      </c>
      <c r="J78" s="3">
        <v>1885</v>
      </c>
      <c r="K78" s="3">
        <v>1212.05</v>
      </c>
      <c r="L78" s="4">
        <v>2366406</v>
      </c>
      <c r="M78" s="3">
        <v>4392118496.6499996</v>
      </c>
      <c r="N78" s="4">
        <v>111867</v>
      </c>
      <c r="O78">
        <f t="shared" si="1"/>
        <v>-5.4074312024841578E-3</v>
      </c>
    </row>
    <row r="79" spans="1:15" ht="14.25" customHeight="1" x14ac:dyDescent="0.3">
      <c r="A79" s="2">
        <v>45586</v>
      </c>
      <c r="B79" t="s">
        <v>15</v>
      </c>
      <c r="C79" s="3">
        <v>1875.3</v>
      </c>
      <c r="D79" s="3">
        <v>1888.5</v>
      </c>
      <c r="E79" s="3">
        <v>1840</v>
      </c>
      <c r="F79" s="3">
        <v>1857.7</v>
      </c>
      <c r="G79" s="3">
        <v>1840.1</v>
      </c>
      <c r="H79" s="3">
        <v>1843.6</v>
      </c>
      <c r="I79" s="3">
        <v>1856.27</v>
      </c>
      <c r="J79" s="3">
        <v>1888.5</v>
      </c>
      <c r="K79" s="3">
        <v>1212.05</v>
      </c>
      <c r="L79" s="4">
        <v>1284980</v>
      </c>
      <c r="M79" s="3">
        <v>2385271606</v>
      </c>
      <c r="N79" s="4">
        <v>73937</v>
      </c>
      <c r="O79">
        <f t="shared" si="1"/>
        <v>-7.5900306831028349E-3</v>
      </c>
    </row>
    <row r="80" spans="1:15" ht="14.25" customHeight="1" x14ac:dyDescent="0.3">
      <c r="A80" s="2">
        <v>45587</v>
      </c>
      <c r="B80" t="s">
        <v>15</v>
      </c>
      <c r="C80" s="3">
        <v>1829.8</v>
      </c>
      <c r="D80" s="3">
        <v>1852</v>
      </c>
      <c r="E80" s="3">
        <v>1819.5</v>
      </c>
      <c r="F80" s="3">
        <v>1843.6</v>
      </c>
      <c r="G80" s="3">
        <v>1822.25</v>
      </c>
      <c r="H80" s="3">
        <v>1822.75</v>
      </c>
      <c r="I80" s="3">
        <v>1831.24</v>
      </c>
      <c r="J80" s="3">
        <v>1888.5</v>
      </c>
      <c r="K80" s="3">
        <v>1212.05</v>
      </c>
      <c r="L80" s="4">
        <v>2089660</v>
      </c>
      <c r="M80" s="3">
        <v>3826670412.3000002</v>
      </c>
      <c r="N80" s="4">
        <v>136405</v>
      </c>
      <c r="O80">
        <f t="shared" si="1"/>
        <v>-1.1309394662616571E-2</v>
      </c>
    </row>
    <row r="81" spans="1:15" ht="14.25" customHeight="1" x14ac:dyDescent="0.3">
      <c r="A81" s="2">
        <v>45588</v>
      </c>
      <c r="B81" t="s">
        <v>15</v>
      </c>
      <c r="C81" s="3">
        <v>1793.5</v>
      </c>
      <c r="D81" s="3">
        <v>1865</v>
      </c>
      <c r="E81" s="3">
        <v>1793.5</v>
      </c>
      <c r="F81" s="3">
        <v>1822.75</v>
      </c>
      <c r="G81" s="3">
        <v>1845</v>
      </c>
      <c r="H81" s="3">
        <v>1845.75</v>
      </c>
      <c r="I81" s="3">
        <v>1844.93</v>
      </c>
      <c r="J81" s="3">
        <v>1888.5</v>
      </c>
      <c r="K81" s="3">
        <v>1212.05</v>
      </c>
      <c r="L81" s="4">
        <v>2522186</v>
      </c>
      <c r="M81" s="3">
        <v>4653267602.5500002</v>
      </c>
      <c r="N81" s="4">
        <v>110585</v>
      </c>
      <c r="O81">
        <f t="shared" si="1"/>
        <v>1.2618296529968454E-2</v>
      </c>
    </row>
    <row r="82" spans="1:15" ht="14.25" customHeight="1" x14ac:dyDescent="0.3">
      <c r="A82" s="2">
        <v>45589</v>
      </c>
      <c r="B82" t="s">
        <v>15</v>
      </c>
      <c r="C82" s="3">
        <v>1845</v>
      </c>
      <c r="D82" s="3">
        <v>1862.95</v>
      </c>
      <c r="E82" s="3">
        <v>1837.7</v>
      </c>
      <c r="F82" s="3">
        <v>1845.75</v>
      </c>
      <c r="G82" s="3">
        <v>1842.8</v>
      </c>
      <c r="H82" s="3">
        <v>1844.9</v>
      </c>
      <c r="I82" s="3">
        <v>1847.66</v>
      </c>
      <c r="J82" s="3">
        <v>1888.5</v>
      </c>
      <c r="K82" s="3">
        <v>1212.05</v>
      </c>
      <c r="L82" s="4">
        <v>1621637</v>
      </c>
      <c r="M82" s="3">
        <v>2996229658.5</v>
      </c>
      <c r="N82" s="4">
        <v>109635</v>
      </c>
      <c r="O82">
        <f t="shared" si="1"/>
        <v>-4.6051740484892811E-4</v>
      </c>
    </row>
    <row r="83" spans="1:15" ht="14.25" customHeight="1" x14ac:dyDescent="0.3">
      <c r="A83" s="2">
        <v>45590</v>
      </c>
      <c r="B83" t="s">
        <v>15</v>
      </c>
      <c r="C83" s="3">
        <v>1860</v>
      </c>
      <c r="D83" s="3">
        <v>1871.55</v>
      </c>
      <c r="E83" s="3">
        <v>1840.2</v>
      </c>
      <c r="F83" s="3">
        <v>1844.9</v>
      </c>
      <c r="G83" s="3">
        <v>1852</v>
      </c>
      <c r="H83" s="3">
        <v>1852.35</v>
      </c>
      <c r="I83" s="3">
        <v>1854.69</v>
      </c>
      <c r="J83" s="3">
        <v>1888.5</v>
      </c>
      <c r="K83" s="3">
        <v>1212.05</v>
      </c>
      <c r="L83" s="4">
        <v>4078295</v>
      </c>
      <c r="M83" s="3">
        <v>7563968059</v>
      </c>
      <c r="N83" s="4">
        <v>191615</v>
      </c>
      <c r="O83">
        <f t="shared" si="1"/>
        <v>4.0381592498237402E-3</v>
      </c>
    </row>
    <row r="84" spans="1:15" ht="14.25" customHeight="1" x14ac:dyDescent="0.3">
      <c r="A84" s="2">
        <v>45593</v>
      </c>
      <c r="B84" t="s">
        <v>15</v>
      </c>
      <c r="C84" s="3">
        <v>1845.1</v>
      </c>
      <c r="D84" s="3">
        <v>1876.8</v>
      </c>
      <c r="E84" s="3">
        <v>1845.1</v>
      </c>
      <c r="F84" s="3">
        <v>1852.35</v>
      </c>
      <c r="G84" s="3">
        <v>1875</v>
      </c>
      <c r="H84" s="3">
        <v>1871.75</v>
      </c>
      <c r="I84" s="3">
        <v>1864.88</v>
      </c>
      <c r="J84" s="3">
        <v>1888.5</v>
      </c>
      <c r="K84" s="3">
        <v>1235</v>
      </c>
      <c r="L84" s="4">
        <v>2418907</v>
      </c>
      <c r="M84" s="3">
        <v>4510979856.6000004</v>
      </c>
      <c r="N84" s="4">
        <v>118401</v>
      </c>
      <c r="O84">
        <f t="shared" si="1"/>
        <v>1.0473182713850024E-2</v>
      </c>
    </row>
    <row r="85" spans="1:15" ht="14.25" customHeight="1" x14ac:dyDescent="0.3">
      <c r="A85" s="2">
        <v>45594</v>
      </c>
      <c r="B85" t="s">
        <v>15</v>
      </c>
      <c r="C85" s="3">
        <v>1871.75</v>
      </c>
      <c r="D85" s="3">
        <v>1875.9</v>
      </c>
      <c r="E85" s="3">
        <v>1851.2</v>
      </c>
      <c r="F85" s="3">
        <v>1871.75</v>
      </c>
      <c r="G85" s="3">
        <v>1872</v>
      </c>
      <c r="H85" s="3">
        <v>1871.75</v>
      </c>
      <c r="I85" s="3">
        <v>1864.34</v>
      </c>
      <c r="J85" s="3">
        <v>1888.5</v>
      </c>
      <c r="K85" s="3">
        <v>1235</v>
      </c>
      <c r="L85" s="4">
        <v>1719955</v>
      </c>
      <c r="M85" s="3">
        <v>3206578443.0500002</v>
      </c>
      <c r="N85" s="4">
        <v>129857</v>
      </c>
      <c r="O85">
        <f t="shared" si="1"/>
        <v>0</v>
      </c>
    </row>
    <row r="86" spans="1:15" ht="14.25" customHeight="1" x14ac:dyDescent="0.3">
      <c r="A86" s="2">
        <v>45595</v>
      </c>
      <c r="B86" t="s">
        <v>15</v>
      </c>
      <c r="C86" s="3">
        <v>1861</v>
      </c>
      <c r="D86" s="3">
        <v>1869.45</v>
      </c>
      <c r="E86" s="3">
        <v>1835.3</v>
      </c>
      <c r="F86" s="3">
        <v>1871.75</v>
      </c>
      <c r="G86" s="3">
        <v>1853.75</v>
      </c>
      <c r="H86" s="3">
        <v>1838.8</v>
      </c>
      <c r="I86" s="3">
        <v>1849.5</v>
      </c>
      <c r="J86" s="3">
        <v>1888.5</v>
      </c>
      <c r="K86" s="3">
        <v>1235</v>
      </c>
      <c r="L86" s="4">
        <v>1732047</v>
      </c>
      <c r="M86" s="3">
        <v>3203417310.4499998</v>
      </c>
      <c r="N86" s="4">
        <v>112672</v>
      </c>
      <c r="O86">
        <f t="shared" si="1"/>
        <v>-1.7603846667557124E-2</v>
      </c>
    </row>
    <row r="87" spans="1:15" ht="14.25" customHeight="1" x14ac:dyDescent="0.3">
      <c r="A87" s="2">
        <v>45596</v>
      </c>
      <c r="B87" t="s">
        <v>15</v>
      </c>
      <c r="C87" s="3">
        <v>1840</v>
      </c>
      <c r="D87" s="3">
        <v>1843.9</v>
      </c>
      <c r="E87" s="3">
        <v>1756.55</v>
      </c>
      <c r="F87" s="3">
        <v>1838.8</v>
      </c>
      <c r="G87" s="3">
        <v>1772.5</v>
      </c>
      <c r="H87" s="3">
        <v>1766.05</v>
      </c>
      <c r="I87" s="3">
        <v>1779.72</v>
      </c>
      <c r="J87" s="3">
        <v>1888.5</v>
      </c>
      <c r="K87" s="3">
        <v>1235</v>
      </c>
      <c r="L87" s="4">
        <v>3616088</v>
      </c>
      <c r="M87" s="3">
        <v>6435611576.5</v>
      </c>
      <c r="N87" s="4">
        <v>180549</v>
      </c>
      <c r="O87">
        <f t="shared" si="1"/>
        <v>-3.9563845986512941E-2</v>
      </c>
    </row>
    <row r="88" spans="1:15" ht="14.25" customHeight="1" x14ac:dyDescent="0.3">
      <c r="A88" s="2">
        <v>45597</v>
      </c>
      <c r="B88" t="s">
        <v>15</v>
      </c>
      <c r="C88" s="3">
        <v>1777</v>
      </c>
      <c r="D88" s="3">
        <v>1781.3</v>
      </c>
      <c r="E88" s="3">
        <v>1751</v>
      </c>
      <c r="F88" s="3">
        <v>1766.05</v>
      </c>
      <c r="G88" s="3">
        <v>1757</v>
      </c>
      <c r="H88" s="3">
        <v>1757.4</v>
      </c>
      <c r="I88" s="3">
        <v>1764.86</v>
      </c>
      <c r="J88" s="3">
        <v>1888.5</v>
      </c>
      <c r="K88" s="3">
        <v>1235</v>
      </c>
      <c r="L88" s="4">
        <v>242223</v>
      </c>
      <c r="M88" s="3">
        <v>427489632.44999999</v>
      </c>
      <c r="N88" s="4">
        <v>19223</v>
      </c>
      <c r="O88">
        <f t="shared" si="1"/>
        <v>-4.8979360720250633E-3</v>
      </c>
    </row>
    <row r="89" spans="1:15" ht="14.25" customHeight="1" x14ac:dyDescent="0.3">
      <c r="A89" s="2">
        <v>45600</v>
      </c>
      <c r="B89" t="s">
        <v>15</v>
      </c>
      <c r="C89" s="3">
        <v>1763</v>
      </c>
      <c r="D89" s="3">
        <v>1782.1</v>
      </c>
      <c r="E89" s="3">
        <v>1745</v>
      </c>
      <c r="F89" s="3">
        <v>1757.4</v>
      </c>
      <c r="G89" s="3">
        <v>1761.15</v>
      </c>
      <c r="H89" s="3">
        <v>1762.95</v>
      </c>
      <c r="I89" s="3">
        <v>1762.43</v>
      </c>
      <c r="J89" s="3">
        <v>1888.5</v>
      </c>
      <c r="K89" s="3">
        <v>1235</v>
      </c>
      <c r="L89" s="4">
        <v>2843690</v>
      </c>
      <c r="M89" s="3">
        <v>5011802039.4499998</v>
      </c>
      <c r="N89" s="4">
        <v>149650</v>
      </c>
      <c r="O89">
        <f t="shared" si="1"/>
        <v>3.1580744281324426E-3</v>
      </c>
    </row>
    <row r="90" spans="1:15" ht="14.25" customHeight="1" x14ac:dyDescent="0.3">
      <c r="A90" s="2">
        <v>45601</v>
      </c>
      <c r="B90" t="s">
        <v>15</v>
      </c>
      <c r="C90" s="3">
        <v>1769</v>
      </c>
      <c r="D90" s="3">
        <v>1783.35</v>
      </c>
      <c r="E90" s="3">
        <v>1761.5</v>
      </c>
      <c r="F90" s="3">
        <v>1762.95</v>
      </c>
      <c r="G90" s="3">
        <v>1773.65</v>
      </c>
      <c r="H90" s="3">
        <v>1773.55</v>
      </c>
      <c r="I90" s="3">
        <v>1771.22</v>
      </c>
      <c r="J90" s="3">
        <v>1888.5</v>
      </c>
      <c r="K90" s="3">
        <v>1235</v>
      </c>
      <c r="L90" s="4">
        <v>1818350</v>
      </c>
      <c r="M90" s="3">
        <v>3220690381.9000001</v>
      </c>
      <c r="N90" s="4">
        <v>102840</v>
      </c>
      <c r="O90">
        <f t="shared" si="1"/>
        <v>6.012649252673025E-3</v>
      </c>
    </row>
    <row r="91" spans="1:15" ht="14.25" customHeight="1" x14ac:dyDescent="0.3">
      <c r="A91" s="2">
        <v>45602</v>
      </c>
      <c r="B91" t="s">
        <v>15</v>
      </c>
      <c r="C91" s="3">
        <v>1791.1</v>
      </c>
      <c r="D91" s="3">
        <v>1853</v>
      </c>
      <c r="E91" s="3">
        <v>1783</v>
      </c>
      <c r="F91" s="3">
        <v>1773.55</v>
      </c>
      <c r="G91" s="3">
        <v>1843</v>
      </c>
      <c r="H91" s="3">
        <v>1838.4</v>
      </c>
      <c r="I91" s="3">
        <v>1830.61</v>
      </c>
      <c r="J91" s="3">
        <v>1888.5</v>
      </c>
      <c r="K91" s="3">
        <v>1235</v>
      </c>
      <c r="L91" s="4">
        <v>3477029</v>
      </c>
      <c r="M91" s="3">
        <v>6365096214.8000002</v>
      </c>
      <c r="N91" s="4">
        <v>181751</v>
      </c>
      <c r="O91">
        <f t="shared" si="1"/>
        <v>3.6565081334047608E-2</v>
      </c>
    </row>
    <row r="92" spans="1:15" ht="14.25" customHeight="1" x14ac:dyDescent="0.3">
      <c r="A92" s="2">
        <v>45603</v>
      </c>
      <c r="B92" t="s">
        <v>15</v>
      </c>
      <c r="C92" s="3">
        <v>1850.05</v>
      </c>
      <c r="D92" s="3">
        <v>1862.55</v>
      </c>
      <c r="E92" s="3">
        <v>1814.2</v>
      </c>
      <c r="F92" s="3">
        <v>1838.4</v>
      </c>
      <c r="G92" s="3">
        <v>1826.35</v>
      </c>
      <c r="H92" s="3">
        <v>1831.95</v>
      </c>
      <c r="I92" s="3">
        <v>1834.05</v>
      </c>
      <c r="J92" s="3">
        <v>1888.5</v>
      </c>
      <c r="K92" s="3">
        <v>1235</v>
      </c>
      <c r="L92" s="4">
        <v>2173869</v>
      </c>
      <c r="M92" s="3">
        <v>3986986329.1999998</v>
      </c>
      <c r="N92" s="4">
        <v>104269</v>
      </c>
      <c r="O92">
        <f t="shared" si="1"/>
        <v>-3.5084856396867085E-3</v>
      </c>
    </row>
    <row r="93" spans="1:15" ht="14.25" customHeight="1" x14ac:dyDescent="0.3">
      <c r="A93" s="2">
        <v>45604</v>
      </c>
      <c r="B93" t="s">
        <v>15</v>
      </c>
      <c r="C93" s="3">
        <v>1838.95</v>
      </c>
      <c r="D93" s="3">
        <v>1854.15</v>
      </c>
      <c r="E93" s="3">
        <v>1828.05</v>
      </c>
      <c r="F93" s="3">
        <v>1831.95</v>
      </c>
      <c r="G93" s="3">
        <v>1838</v>
      </c>
      <c r="H93" s="3">
        <v>1837.5</v>
      </c>
      <c r="I93" s="3">
        <v>1840.42</v>
      </c>
      <c r="J93" s="3">
        <v>1888.5</v>
      </c>
      <c r="K93" s="3">
        <v>1235</v>
      </c>
      <c r="L93" s="4">
        <v>1521324</v>
      </c>
      <c r="M93" s="3">
        <v>2799875589.8000002</v>
      </c>
      <c r="N93" s="4">
        <v>121856</v>
      </c>
      <c r="O93">
        <f t="shared" si="1"/>
        <v>3.0295586669941616E-3</v>
      </c>
    </row>
    <row r="94" spans="1:15" ht="14.25" customHeight="1" x14ac:dyDescent="0.3">
      <c r="A94" s="2">
        <v>45607</v>
      </c>
      <c r="B94" t="s">
        <v>15</v>
      </c>
      <c r="C94" s="3">
        <v>1846.7</v>
      </c>
      <c r="D94" s="3">
        <v>1874</v>
      </c>
      <c r="E94" s="3">
        <v>1834</v>
      </c>
      <c r="F94" s="3">
        <v>1837.5</v>
      </c>
      <c r="G94" s="3">
        <v>1870</v>
      </c>
      <c r="H94" s="3">
        <v>1867.3</v>
      </c>
      <c r="I94" s="3">
        <v>1861.34</v>
      </c>
      <c r="J94" s="3">
        <v>1888.5</v>
      </c>
      <c r="K94" s="3">
        <v>1235</v>
      </c>
      <c r="L94" s="4">
        <v>1679869</v>
      </c>
      <c r="M94" s="3">
        <v>3126813029.1999998</v>
      </c>
      <c r="N94" s="4">
        <v>108116</v>
      </c>
      <c r="O94">
        <f t="shared" si="1"/>
        <v>1.6217687074829908E-2</v>
      </c>
    </row>
    <row r="95" spans="1:15" ht="14.25" customHeight="1" x14ac:dyDescent="0.3">
      <c r="A95" s="2">
        <v>45608</v>
      </c>
      <c r="B95" t="s">
        <v>15</v>
      </c>
      <c r="C95" s="3">
        <v>1891</v>
      </c>
      <c r="D95" s="3">
        <v>1892.95</v>
      </c>
      <c r="E95" s="3">
        <v>1864.45</v>
      </c>
      <c r="F95" s="3">
        <v>1867.3</v>
      </c>
      <c r="G95" s="3">
        <v>1868.35</v>
      </c>
      <c r="H95" s="3">
        <v>1872.85</v>
      </c>
      <c r="I95" s="3">
        <v>1879.42</v>
      </c>
      <c r="J95" s="3">
        <v>1892.95</v>
      </c>
      <c r="K95" s="3">
        <v>1235</v>
      </c>
      <c r="L95" s="4">
        <v>2711052</v>
      </c>
      <c r="M95" s="3">
        <v>5095195896.9499998</v>
      </c>
      <c r="N95" s="4">
        <v>154222</v>
      </c>
      <c r="O95">
        <f t="shared" si="1"/>
        <v>2.9722058587264791E-3</v>
      </c>
    </row>
    <row r="96" spans="1:15" ht="14.25" customHeight="1" x14ac:dyDescent="0.3">
      <c r="A96" s="2">
        <v>45609</v>
      </c>
      <c r="B96" t="s">
        <v>15</v>
      </c>
      <c r="C96" s="3">
        <v>1866</v>
      </c>
      <c r="D96" s="3">
        <v>1879.6</v>
      </c>
      <c r="E96" s="3">
        <v>1859.1</v>
      </c>
      <c r="F96" s="3">
        <v>1872.85</v>
      </c>
      <c r="G96" s="3">
        <v>1864.35</v>
      </c>
      <c r="H96" s="3">
        <v>1864.75</v>
      </c>
      <c r="I96" s="3">
        <v>1867.41</v>
      </c>
      <c r="J96" s="3">
        <v>1892.95</v>
      </c>
      <c r="K96" s="3">
        <v>1235</v>
      </c>
      <c r="L96" s="4">
        <v>1254074</v>
      </c>
      <c r="M96" s="3">
        <v>2341865743.1500001</v>
      </c>
      <c r="N96" s="4">
        <v>114428</v>
      </c>
      <c r="O96">
        <f t="shared" si="1"/>
        <v>-4.3249592866486421E-3</v>
      </c>
    </row>
    <row r="97" spans="1:15" ht="14.25" customHeight="1" x14ac:dyDescent="0.3">
      <c r="A97" s="2">
        <v>45610</v>
      </c>
      <c r="B97" t="s">
        <v>15</v>
      </c>
      <c r="C97" s="3">
        <v>1872</v>
      </c>
      <c r="D97" s="3">
        <v>1897</v>
      </c>
      <c r="E97" s="3">
        <v>1846.35</v>
      </c>
      <c r="F97" s="3">
        <v>1864.75</v>
      </c>
      <c r="G97" s="3">
        <v>1865</v>
      </c>
      <c r="H97" s="3">
        <v>1858.95</v>
      </c>
      <c r="I97" s="3">
        <v>1867.12</v>
      </c>
      <c r="J97" s="3">
        <v>1897</v>
      </c>
      <c r="K97" s="3">
        <v>1235</v>
      </c>
      <c r="L97" s="4">
        <v>2462563</v>
      </c>
      <c r="M97" s="3">
        <v>4597896307.25</v>
      </c>
      <c r="N97" s="4">
        <v>221440</v>
      </c>
      <c r="O97">
        <f t="shared" si="1"/>
        <v>-3.1103365062340551E-3</v>
      </c>
    </row>
    <row r="98" spans="1:15" ht="14.25" customHeight="1" x14ac:dyDescent="0.3">
      <c r="A98" s="2">
        <v>45614</v>
      </c>
      <c r="B98" t="s">
        <v>15</v>
      </c>
      <c r="C98" s="3">
        <v>1858.95</v>
      </c>
      <c r="D98" s="3">
        <v>1865.05</v>
      </c>
      <c r="E98" s="3">
        <v>1815</v>
      </c>
      <c r="F98" s="3">
        <v>1858.95</v>
      </c>
      <c r="G98" s="3">
        <v>1835.65</v>
      </c>
      <c r="H98" s="3">
        <v>1835</v>
      </c>
      <c r="I98" s="3">
        <v>1837.49</v>
      </c>
      <c r="J98" s="3">
        <v>1897</v>
      </c>
      <c r="K98" s="3">
        <v>1235</v>
      </c>
      <c r="L98" s="4">
        <v>2483933</v>
      </c>
      <c r="M98" s="3">
        <v>4564205632.75</v>
      </c>
      <c r="N98" s="4">
        <v>125829</v>
      </c>
      <c r="O98">
        <f t="shared" si="1"/>
        <v>-1.2883617095672312E-2</v>
      </c>
    </row>
    <row r="99" spans="1:15" ht="14.25" customHeight="1" x14ac:dyDescent="0.3">
      <c r="A99" s="2">
        <v>45615</v>
      </c>
      <c r="B99" t="s">
        <v>15</v>
      </c>
      <c r="C99" s="3">
        <v>1837</v>
      </c>
      <c r="D99" s="3">
        <v>1865</v>
      </c>
      <c r="E99" s="3">
        <v>1817.3</v>
      </c>
      <c r="F99" s="3">
        <v>1835</v>
      </c>
      <c r="G99" s="3">
        <v>1824</v>
      </c>
      <c r="H99" s="3">
        <v>1820.55</v>
      </c>
      <c r="I99" s="3">
        <v>1842.69</v>
      </c>
      <c r="J99" s="3">
        <v>1897</v>
      </c>
      <c r="K99" s="3">
        <v>1235</v>
      </c>
      <c r="L99" s="4">
        <v>2354204</v>
      </c>
      <c r="M99" s="3">
        <v>4338061517.1000004</v>
      </c>
      <c r="N99" s="4">
        <v>105514</v>
      </c>
      <c r="O99">
        <f t="shared" si="1"/>
        <v>-7.8746594005449835E-3</v>
      </c>
    </row>
    <row r="100" spans="1:15" ht="14.25" customHeight="1" x14ac:dyDescent="0.3">
      <c r="A100" s="2">
        <v>45617</v>
      </c>
      <c r="B100" t="s">
        <v>15</v>
      </c>
      <c r="C100" s="3">
        <v>1835</v>
      </c>
      <c r="D100" s="3">
        <v>1839.55</v>
      </c>
      <c r="E100" s="3">
        <v>1820.2</v>
      </c>
      <c r="F100" s="3">
        <v>1820.55</v>
      </c>
      <c r="G100" s="3">
        <v>1833.3</v>
      </c>
      <c r="H100" s="3">
        <v>1836.35</v>
      </c>
      <c r="I100" s="3">
        <v>1831.91</v>
      </c>
      <c r="J100" s="3">
        <v>1897</v>
      </c>
      <c r="K100" s="3">
        <v>1235</v>
      </c>
      <c r="L100" s="4">
        <v>1841245</v>
      </c>
      <c r="M100" s="3">
        <v>3372991677.25</v>
      </c>
      <c r="N100" s="4">
        <v>122858</v>
      </c>
      <c r="O100">
        <f t="shared" si="1"/>
        <v>8.6786959984619782E-3</v>
      </c>
    </row>
    <row r="101" spans="1:15" ht="14.25" customHeight="1" x14ac:dyDescent="0.3">
      <c r="A101" s="2">
        <v>45618</v>
      </c>
      <c r="B101" t="s">
        <v>15</v>
      </c>
      <c r="C101" s="3">
        <v>1846.35</v>
      </c>
      <c r="D101" s="3">
        <v>1902</v>
      </c>
      <c r="E101" s="3">
        <v>1836.5</v>
      </c>
      <c r="F101" s="3">
        <v>1836.35</v>
      </c>
      <c r="G101" s="3">
        <v>1897.1</v>
      </c>
      <c r="H101" s="3">
        <v>1898.4</v>
      </c>
      <c r="I101" s="3">
        <v>1882.01</v>
      </c>
      <c r="J101" s="3">
        <v>1902</v>
      </c>
      <c r="K101" s="3">
        <v>1235</v>
      </c>
      <c r="L101" s="4">
        <v>2765950</v>
      </c>
      <c r="M101" s="3">
        <v>5205540179.9499998</v>
      </c>
      <c r="N101" s="4">
        <v>128070</v>
      </c>
      <c r="O101">
        <f t="shared" si="1"/>
        <v>3.3789854875160064E-2</v>
      </c>
    </row>
    <row r="102" spans="1:15" ht="14.25" customHeight="1" x14ac:dyDescent="0.3">
      <c r="A102" s="2">
        <v>45621</v>
      </c>
      <c r="B102" t="s">
        <v>15</v>
      </c>
      <c r="C102" s="3">
        <v>1919</v>
      </c>
      <c r="D102" s="3">
        <v>1919.95</v>
      </c>
      <c r="E102" s="3">
        <v>1878.5</v>
      </c>
      <c r="F102" s="3">
        <v>1898.4</v>
      </c>
      <c r="G102" s="3">
        <v>1896</v>
      </c>
      <c r="H102" s="3">
        <v>1891.7</v>
      </c>
      <c r="I102" s="3">
        <v>1892.76</v>
      </c>
      <c r="J102" s="3">
        <v>1919.95</v>
      </c>
      <c r="K102" s="3">
        <v>1235</v>
      </c>
      <c r="L102" s="4">
        <v>6531524</v>
      </c>
      <c r="M102" s="3">
        <v>12362633619.4</v>
      </c>
      <c r="N102" s="4">
        <v>162447</v>
      </c>
      <c r="O102">
        <f t="shared" si="1"/>
        <v>-3.5292878213232432E-3</v>
      </c>
    </row>
    <row r="103" spans="1:15" ht="14.25" customHeight="1" x14ac:dyDescent="0.3">
      <c r="A103" s="2">
        <v>45622</v>
      </c>
      <c r="B103" t="s">
        <v>15</v>
      </c>
      <c r="C103" s="3">
        <v>1890.1</v>
      </c>
      <c r="D103" s="3">
        <v>1914.95</v>
      </c>
      <c r="E103" s="3">
        <v>1889.15</v>
      </c>
      <c r="F103" s="3">
        <v>1891.7</v>
      </c>
      <c r="G103" s="3">
        <v>1900</v>
      </c>
      <c r="H103" s="3">
        <v>1899.55</v>
      </c>
      <c r="I103" s="3">
        <v>1902.16</v>
      </c>
      <c r="J103" s="3">
        <v>1919.95</v>
      </c>
      <c r="K103" s="3">
        <v>1235</v>
      </c>
      <c r="L103" s="4">
        <v>2079873</v>
      </c>
      <c r="M103" s="3">
        <v>3956258453</v>
      </c>
      <c r="N103" s="4">
        <v>82089</v>
      </c>
      <c r="O103">
        <f t="shared" si="1"/>
        <v>4.1497066130992801E-3</v>
      </c>
    </row>
    <row r="104" spans="1:15" ht="14.25" customHeight="1" x14ac:dyDescent="0.3">
      <c r="A104" s="2">
        <v>45623</v>
      </c>
      <c r="B104" t="s">
        <v>15</v>
      </c>
      <c r="C104" s="3">
        <v>1896.75</v>
      </c>
      <c r="D104" s="3">
        <v>1917</v>
      </c>
      <c r="E104" s="3">
        <v>1887.1</v>
      </c>
      <c r="F104" s="3">
        <v>1899.55</v>
      </c>
      <c r="G104" s="3">
        <v>1891.1</v>
      </c>
      <c r="H104" s="3">
        <v>1891.05</v>
      </c>
      <c r="I104" s="3">
        <v>1903.1</v>
      </c>
      <c r="J104" s="3">
        <v>1919.95</v>
      </c>
      <c r="K104" s="3">
        <v>1235</v>
      </c>
      <c r="L104" s="4">
        <v>1631975</v>
      </c>
      <c r="M104" s="3">
        <v>3105808405.25</v>
      </c>
      <c r="N104" s="4">
        <v>62337</v>
      </c>
      <c r="O104">
        <f t="shared" si="1"/>
        <v>-4.4747440183201285E-3</v>
      </c>
    </row>
    <row r="105" spans="1:15" ht="14.25" customHeight="1" x14ac:dyDescent="0.3">
      <c r="A105" s="2">
        <v>45624</v>
      </c>
      <c r="B105" t="s">
        <v>15</v>
      </c>
      <c r="C105" s="3">
        <v>1885.1</v>
      </c>
      <c r="D105" s="3">
        <v>1900.5</v>
      </c>
      <c r="E105" s="3">
        <v>1835</v>
      </c>
      <c r="F105" s="3">
        <v>1891.05</v>
      </c>
      <c r="G105" s="3">
        <v>1844</v>
      </c>
      <c r="H105" s="3">
        <v>1840.9</v>
      </c>
      <c r="I105" s="3">
        <v>1852.26</v>
      </c>
      <c r="J105" s="3">
        <v>1919.95</v>
      </c>
      <c r="K105" s="3">
        <v>1235</v>
      </c>
      <c r="L105" s="4">
        <v>3631255</v>
      </c>
      <c r="M105" s="3">
        <v>6726037001.5500002</v>
      </c>
      <c r="N105" s="4">
        <v>167802</v>
      </c>
      <c r="O105">
        <f t="shared" si="1"/>
        <v>-2.6519658390840996E-2</v>
      </c>
    </row>
    <row r="106" spans="1:15" ht="14.25" customHeight="1" x14ac:dyDescent="0.3">
      <c r="A106" s="2">
        <v>45625</v>
      </c>
      <c r="B106" t="s">
        <v>15</v>
      </c>
      <c r="C106" s="3">
        <v>1842</v>
      </c>
      <c r="D106" s="3">
        <v>1872.3</v>
      </c>
      <c r="E106" s="3">
        <v>1833.95</v>
      </c>
      <c r="F106" s="3">
        <v>1840.9</v>
      </c>
      <c r="G106" s="3">
        <v>1850</v>
      </c>
      <c r="H106" s="3">
        <v>1848.05</v>
      </c>
      <c r="I106" s="3">
        <v>1855.83</v>
      </c>
      <c r="J106" s="3">
        <v>1919.95</v>
      </c>
      <c r="K106" s="3">
        <v>1235</v>
      </c>
      <c r="L106" s="4">
        <v>2482280</v>
      </c>
      <c r="M106" s="3">
        <v>4606701269.5</v>
      </c>
      <c r="N106" s="4">
        <v>137062</v>
      </c>
      <c r="O106">
        <f t="shared" si="1"/>
        <v>3.8839697973816413E-3</v>
      </c>
    </row>
    <row r="107" spans="1:15" ht="14.25" customHeight="1" x14ac:dyDescent="0.3">
      <c r="A107" s="2">
        <v>45628</v>
      </c>
      <c r="B107" t="s">
        <v>15</v>
      </c>
      <c r="C107" s="3">
        <v>1848.05</v>
      </c>
      <c r="D107" s="3">
        <v>1878.55</v>
      </c>
      <c r="E107" s="3">
        <v>1835.45</v>
      </c>
      <c r="F107" s="3">
        <v>1848.05</v>
      </c>
      <c r="G107" s="3">
        <v>1872.75</v>
      </c>
      <c r="H107" s="3">
        <v>1871.5</v>
      </c>
      <c r="I107" s="3">
        <v>1863.05</v>
      </c>
      <c r="J107" s="3">
        <v>1919.95</v>
      </c>
      <c r="K107" s="3">
        <v>1235</v>
      </c>
      <c r="L107" s="4">
        <v>2014744</v>
      </c>
      <c r="M107" s="3">
        <v>3753567689.4499998</v>
      </c>
      <c r="N107" s="4">
        <v>91103</v>
      </c>
      <c r="O107">
        <f t="shared" si="1"/>
        <v>1.2689050620924784E-2</v>
      </c>
    </row>
    <row r="108" spans="1:15" ht="14.25" customHeight="1" x14ac:dyDescent="0.3">
      <c r="A108" s="2">
        <v>45629</v>
      </c>
      <c r="B108" t="s">
        <v>15</v>
      </c>
      <c r="C108" s="3">
        <v>1884</v>
      </c>
      <c r="D108" s="3">
        <v>1896.3</v>
      </c>
      <c r="E108" s="3">
        <v>1872.05</v>
      </c>
      <c r="F108" s="3">
        <v>1871.5</v>
      </c>
      <c r="G108" s="3">
        <v>1888.95</v>
      </c>
      <c r="H108" s="3">
        <v>1890.75</v>
      </c>
      <c r="I108" s="3">
        <v>1887.37</v>
      </c>
      <c r="J108" s="3">
        <v>1919.95</v>
      </c>
      <c r="K108" s="3">
        <v>1235</v>
      </c>
      <c r="L108" s="4">
        <v>2954648</v>
      </c>
      <c r="M108" s="3">
        <v>5576507461.25</v>
      </c>
      <c r="N108" s="4">
        <v>165181</v>
      </c>
      <c r="O108">
        <f t="shared" si="1"/>
        <v>1.0285866951643068E-2</v>
      </c>
    </row>
    <row r="109" spans="1:15" ht="14.25" customHeight="1" x14ac:dyDescent="0.3">
      <c r="A109" s="2">
        <v>45630</v>
      </c>
      <c r="B109" t="s">
        <v>15</v>
      </c>
      <c r="C109" s="3">
        <v>1882</v>
      </c>
      <c r="D109" s="3">
        <v>1911</v>
      </c>
      <c r="E109" s="3">
        <v>1877.6</v>
      </c>
      <c r="F109" s="3">
        <v>1890.75</v>
      </c>
      <c r="G109" s="3">
        <v>1894.6</v>
      </c>
      <c r="H109" s="3">
        <v>1897.65</v>
      </c>
      <c r="I109" s="3">
        <v>1895.92</v>
      </c>
      <c r="J109" s="3">
        <v>1919.95</v>
      </c>
      <c r="K109" s="3">
        <v>1235</v>
      </c>
      <c r="L109" s="4">
        <v>3730643</v>
      </c>
      <c r="M109" s="3">
        <v>7073013391.6000004</v>
      </c>
      <c r="N109" s="4">
        <v>184460</v>
      </c>
      <c r="O109">
        <f t="shared" si="1"/>
        <v>3.6493454978183742E-3</v>
      </c>
    </row>
    <row r="110" spans="1:15" ht="14.25" customHeight="1" x14ac:dyDescent="0.3">
      <c r="A110" s="2">
        <v>45631</v>
      </c>
      <c r="B110" t="s">
        <v>15</v>
      </c>
      <c r="C110" s="3">
        <v>1885</v>
      </c>
      <c r="D110" s="3">
        <v>1938.1</v>
      </c>
      <c r="E110" s="3">
        <v>1884</v>
      </c>
      <c r="F110" s="3">
        <v>1897.65</v>
      </c>
      <c r="G110" s="3">
        <v>1920</v>
      </c>
      <c r="H110" s="3">
        <v>1924</v>
      </c>
      <c r="I110" s="3">
        <v>1912.31</v>
      </c>
      <c r="J110" s="3">
        <v>1938.1</v>
      </c>
      <c r="K110" s="3">
        <v>1235</v>
      </c>
      <c r="L110" s="4">
        <v>3881814</v>
      </c>
      <c r="M110" s="3">
        <v>7423216155.9499998</v>
      </c>
      <c r="N110" s="4">
        <v>181152</v>
      </c>
      <c r="O110">
        <f t="shared" si="1"/>
        <v>1.3885595341606676E-2</v>
      </c>
    </row>
    <row r="111" spans="1:15" ht="14.25" customHeight="1" x14ac:dyDescent="0.3">
      <c r="A111" s="2">
        <v>45632</v>
      </c>
      <c r="B111" t="s">
        <v>15</v>
      </c>
      <c r="C111" s="3">
        <v>1926</v>
      </c>
      <c r="D111" s="3">
        <v>1939.35</v>
      </c>
      <c r="E111" s="3">
        <v>1915.3</v>
      </c>
      <c r="F111" s="3">
        <v>1924</v>
      </c>
      <c r="G111" s="3">
        <v>1915.55</v>
      </c>
      <c r="H111" s="3">
        <v>1922.7</v>
      </c>
      <c r="I111" s="3">
        <v>1923.49</v>
      </c>
      <c r="J111" s="3">
        <v>1939.35</v>
      </c>
      <c r="K111" s="3">
        <v>1235</v>
      </c>
      <c r="L111" s="4">
        <v>2250408</v>
      </c>
      <c r="M111" s="3">
        <v>4328634514.3000002</v>
      </c>
      <c r="N111" s="4">
        <v>136345</v>
      </c>
      <c r="O111">
        <f t="shared" si="1"/>
        <v>-6.7567567567565208E-4</v>
      </c>
    </row>
    <row r="112" spans="1:15" ht="14.25" customHeight="1" x14ac:dyDescent="0.3">
      <c r="A112" s="2">
        <v>45635</v>
      </c>
      <c r="B112" t="s">
        <v>15</v>
      </c>
      <c r="C112" s="3">
        <v>1915</v>
      </c>
      <c r="D112" s="3">
        <v>1926.05</v>
      </c>
      <c r="E112" s="3">
        <v>1901</v>
      </c>
      <c r="F112" s="3">
        <v>1922.7</v>
      </c>
      <c r="G112" s="3">
        <v>1909.95</v>
      </c>
      <c r="H112" s="3">
        <v>1909.9</v>
      </c>
      <c r="I112" s="3">
        <v>1910.47</v>
      </c>
      <c r="J112" s="3">
        <v>1939.35</v>
      </c>
      <c r="K112" s="3">
        <v>1235</v>
      </c>
      <c r="L112" s="4">
        <v>1379520</v>
      </c>
      <c r="M112" s="3">
        <v>2635527110.1999998</v>
      </c>
      <c r="N112" s="4">
        <v>71773</v>
      </c>
      <c r="O112">
        <f t="shared" si="1"/>
        <v>-6.6573048317469987E-3</v>
      </c>
    </row>
    <row r="113" spans="1:15" ht="14.25" customHeight="1" x14ac:dyDescent="0.3">
      <c r="A113" s="2">
        <v>45636</v>
      </c>
      <c r="B113" t="s">
        <v>15</v>
      </c>
      <c r="C113" s="3">
        <v>1916.45</v>
      </c>
      <c r="D113" s="3">
        <v>1942.8</v>
      </c>
      <c r="E113" s="3">
        <v>1912.2</v>
      </c>
      <c r="F113" s="3">
        <v>1909.9</v>
      </c>
      <c r="G113" s="3">
        <v>1937</v>
      </c>
      <c r="H113" s="3">
        <v>1936.35</v>
      </c>
      <c r="I113" s="3">
        <v>1931.39</v>
      </c>
      <c r="J113" s="3">
        <v>1942.8</v>
      </c>
      <c r="K113" s="3">
        <v>1235</v>
      </c>
      <c r="L113" s="4">
        <v>2695207</v>
      </c>
      <c r="M113" s="3">
        <v>5205483157.6499996</v>
      </c>
      <c r="N113" s="4">
        <v>117737</v>
      </c>
      <c r="O113">
        <f t="shared" si="1"/>
        <v>1.3848892612178552E-2</v>
      </c>
    </row>
    <row r="114" spans="1:15" ht="14.25" customHeight="1" x14ac:dyDescent="0.3">
      <c r="A114" s="2">
        <v>45637</v>
      </c>
      <c r="B114" t="s">
        <v>15</v>
      </c>
      <c r="C114" s="3">
        <v>1926.25</v>
      </c>
      <c r="D114" s="3">
        <v>1934.8</v>
      </c>
      <c r="E114" s="3">
        <v>1916</v>
      </c>
      <c r="F114" s="3">
        <v>1936.35</v>
      </c>
      <c r="G114" s="3">
        <v>1930</v>
      </c>
      <c r="H114" s="3">
        <v>1930.9</v>
      </c>
      <c r="I114" s="3">
        <v>1926.41</v>
      </c>
      <c r="J114" s="3">
        <v>1942.8</v>
      </c>
      <c r="K114" s="3">
        <v>1235</v>
      </c>
      <c r="L114" s="4">
        <v>1387117</v>
      </c>
      <c r="M114" s="3">
        <v>2672156722.6500001</v>
      </c>
      <c r="N114" s="4">
        <v>86037</v>
      </c>
      <c r="O114">
        <f t="shared" si="1"/>
        <v>-2.8145738115525698E-3</v>
      </c>
    </row>
    <row r="115" spans="1:15" ht="14.25" customHeight="1" x14ac:dyDescent="0.3">
      <c r="A115" s="2">
        <v>45638</v>
      </c>
      <c r="B115" t="s">
        <v>15</v>
      </c>
      <c r="C115" s="3">
        <v>1924.95</v>
      </c>
      <c r="D115" s="3">
        <v>1949</v>
      </c>
      <c r="E115" s="3">
        <v>1921.5</v>
      </c>
      <c r="F115" s="3">
        <v>1930.9</v>
      </c>
      <c r="G115" s="3">
        <v>1937</v>
      </c>
      <c r="H115" s="3">
        <v>1936.2</v>
      </c>
      <c r="I115" s="3">
        <v>1936.91</v>
      </c>
      <c r="J115" s="3">
        <v>1949</v>
      </c>
      <c r="K115" s="3">
        <v>1235</v>
      </c>
      <c r="L115" s="4">
        <v>2306173</v>
      </c>
      <c r="M115" s="3">
        <v>4466851339.3000002</v>
      </c>
      <c r="N115" s="4">
        <v>138423</v>
      </c>
      <c r="O115">
        <f t="shared" si="1"/>
        <v>2.7448340152260368E-3</v>
      </c>
    </row>
    <row r="116" spans="1:15" ht="14.25" customHeight="1" x14ac:dyDescent="0.3">
      <c r="A116" s="2">
        <v>45639</v>
      </c>
      <c r="B116" t="s">
        <v>15</v>
      </c>
      <c r="C116" s="3">
        <v>1939</v>
      </c>
      <c r="D116" s="3">
        <v>1975</v>
      </c>
      <c r="E116" s="3">
        <v>1912.35</v>
      </c>
      <c r="F116" s="3">
        <v>1936.2</v>
      </c>
      <c r="G116" s="3">
        <v>1965</v>
      </c>
      <c r="H116" s="3">
        <v>1968.8</v>
      </c>
      <c r="I116" s="3">
        <v>1954.97</v>
      </c>
      <c r="J116" s="3">
        <v>1975</v>
      </c>
      <c r="K116" s="3">
        <v>1235</v>
      </c>
      <c r="L116" s="4">
        <v>2569918</v>
      </c>
      <c r="M116" s="3">
        <v>5024119849.5</v>
      </c>
      <c r="N116" s="4">
        <v>153874</v>
      </c>
      <c r="O116">
        <f t="shared" si="1"/>
        <v>1.6837103604999435E-2</v>
      </c>
    </row>
    <row r="117" spans="1:15" ht="14.25" customHeight="1" x14ac:dyDescent="0.3">
      <c r="A117" s="2">
        <v>45642</v>
      </c>
      <c r="B117" t="s">
        <v>15</v>
      </c>
      <c r="C117" s="3">
        <v>1970.85</v>
      </c>
      <c r="D117" s="3">
        <v>1980</v>
      </c>
      <c r="E117" s="3">
        <v>1950.25</v>
      </c>
      <c r="F117" s="3">
        <v>1968.8</v>
      </c>
      <c r="G117" s="3">
        <v>1954.25</v>
      </c>
      <c r="H117" s="3">
        <v>1954.4</v>
      </c>
      <c r="I117" s="3">
        <v>1958.66</v>
      </c>
      <c r="J117" s="3">
        <v>1980</v>
      </c>
      <c r="K117" s="3">
        <v>1235</v>
      </c>
      <c r="L117" s="4">
        <v>1371189</v>
      </c>
      <c r="M117" s="3">
        <v>2685693402.6999998</v>
      </c>
      <c r="N117" s="4">
        <v>78075</v>
      </c>
      <c r="O117">
        <f t="shared" si="1"/>
        <v>-7.3140999593660425E-3</v>
      </c>
    </row>
    <row r="118" spans="1:15" ht="14.25" customHeight="1" x14ac:dyDescent="0.3">
      <c r="A118" s="2">
        <v>45643</v>
      </c>
      <c r="B118" t="s">
        <v>15</v>
      </c>
      <c r="C118" s="3">
        <v>1945.3</v>
      </c>
      <c r="D118" s="3">
        <v>1963.2</v>
      </c>
      <c r="E118" s="3">
        <v>1938</v>
      </c>
      <c r="F118" s="3">
        <v>1954.4</v>
      </c>
      <c r="G118" s="3">
        <v>1948.05</v>
      </c>
      <c r="H118" s="3">
        <v>1950.6</v>
      </c>
      <c r="I118" s="3">
        <v>1948.84</v>
      </c>
      <c r="J118" s="3">
        <v>1980</v>
      </c>
      <c r="K118" s="3">
        <v>1235</v>
      </c>
      <c r="L118" s="4">
        <v>1987909</v>
      </c>
      <c r="M118" s="3">
        <v>3874113572.75</v>
      </c>
      <c r="N118" s="4">
        <v>100983</v>
      </c>
      <c r="O118">
        <f t="shared" si="1"/>
        <v>-1.9443307408924385E-3</v>
      </c>
    </row>
    <row r="119" spans="1:15" ht="14.25" customHeight="1" x14ac:dyDescent="0.3">
      <c r="A119" s="2">
        <v>45644</v>
      </c>
      <c r="B119" t="s">
        <v>15</v>
      </c>
      <c r="C119" s="3">
        <v>1949</v>
      </c>
      <c r="D119" s="3">
        <v>1971.95</v>
      </c>
      <c r="E119" s="3">
        <v>1946.75</v>
      </c>
      <c r="F119" s="3">
        <v>1950.6</v>
      </c>
      <c r="G119" s="3">
        <v>1958.85</v>
      </c>
      <c r="H119" s="3">
        <v>1960.35</v>
      </c>
      <c r="I119" s="3">
        <v>1963.41</v>
      </c>
      <c r="J119" s="3">
        <v>1980</v>
      </c>
      <c r="K119" s="3">
        <v>1235</v>
      </c>
      <c r="L119" s="4">
        <v>3460812</v>
      </c>
      <c r="M119" s="3">
        <v>6794995543.1999998</v>
      </c>
      <c r="N119" s="4">
        <v>108768</v>
      </c>
      <c r="O119">
        <f t="shared" si="1"/>
        <v>4.9984620116887112E-3</v>
      </c>
    </row>
    <row r="120" spans="1:15" ht="14.25" customHeight="1" x14ac:dyDescent="0.3">
      <c r="A120" s="2">
        <v>45645</v>
      </c>
      <c r="B120" t="s">
        <v>15</v>
      </c>
      <c r="C120" s="3">
        <v>1910</v>
      </c>
      <c r="D120" s="3">
        <v>1946.2</v>
      </c>
      <c r="E120" s="3">
        <v>1910</v>
      </c>
      <c r="F120" s="3">
        <v>1960.35</v>
      </c>
      <c r="G120" s="3">
        <v>1936.15</v>
      </c>
      <c r="H120" s="3">
        <v>1934.25</v>
      </c>
      <c r="I120" s="3">
        <v>1934.2</v>
      </c>
      <c r="J120" s="3">
        <v>1980</v>
      </c>
      <c r="K120" s="3">
        <v>1235</v>
      </c>
      <c r="L120" s="4">
        <v>1916115</v>
      </c>
      <c r="M120" s="3">
        <v>3706151475.75</v>
      </c>
      <c r="N120" s="4">
        <v>101525</v>
      </c>
      <c r="O120">
        <f t="shared" si="1"/>
        <v>-1.3313949039712251E-2</v>
      </c>
    </row>
    <row r="121" spans="1:15" ht="14.25" customHeight="1" x14ac:dyDescent="0.3">
      <c r="A121" s="2">
        <v>45646</v>
      </c>
      <c r="B121" t="s">
        <v>15</v>
      </c>
      <c r="C121" s="3">
        <v>1954.6</v>
      </c>
      <c r="D121" s="3">
        <v>1957.65</v>
      </c>
      <c r="E121" s="3">
        <v>1896.4</v>
      </c>
      <c r="F121" s="3">
        <v>1934.25</v>
      </c>
      <c r="G121" s="3">
        <v>1917.7</v>
      </c>
      <c r="H121" s="3">
        <v>1911.35</v>
      </c>
      <c r="I121" s="3">
        <v>1916.1</v>
      </c>
      <c r="J121" s="3">
        <v>1980</v>
      </c>
      <c r="K121" s="3">
        <v>1235</v>
      </c>
      <c r="L121" s="4">
        <v>3786921</v>
      </c>
      <c r="M121" s="3">
        <v>7256119157.6999998</v>
      </c>
      <c r="N121" s="4">
        <v>159211</v>
      </c>
      <c r="O121">
        <f t="shared" si="1"/>
        <v>-1.1839214165697345E-2</v>
      </c>
    </row>
    <row r="122" spans="1:15" ht="14.25" customHeight="1" x14ac:dyDescent="0.3">
      <c r="A122" s="2">
        <v>45649</v>
      </c>
      <c r="B122" t="s">
        <v>15</v>
      </c>
      <c r="C122" s="3">
        <v>1918.5</v>
      </c>
      <c r="D122" s="3">
        <v>1939.4</v>
      </c>
      <c r="E122" s="3">
        <v>1899.15</v>
      </c>
      <c r="F122" s="3">
        <v>1911.35</v>
      </c>
      <c r="G122" s="3">
        <v>1900.8</v>
      </c>
      <c r="H122" s="3">
        <v>1903</v>
      </c>
      <c r="I122" s="3">
        <v>1910.92</v>
      </c>
      <c r="J122" s="3">
        <v>1980</v>
      </c>
      <c r="K122" s="3">
        <v>1235</v>
      </c>
      <c r="L122" s="4">
        <v>2058339</v>
      </c>
      <c r="M122" s="3">
        <v>3933325777.0500002</v>
      </c>
      <c r="N122" s="4">
        <v>104426</v>
      </c>
      <c r="O122">
        <f t="shared" si="1"/>
        <v>-4.3686399665157664E-3</v>
      </c>
    </row>
    <row r="123" spans="1:15" ht="14.25" customHeight="1" x14ac:dyDescent="0.3">
      <c r="A123" s="2">
        <v>45650</v>
      </c>
      <c r="B123" t="s">
        <v>15</v>
      </c>
      <c r="C123" s="3">
        <v>1908.6</v>
      </c>
      <c r="D123" s="3">
        <v>1923.65</v>
      </c>
      <c r="E123" s="3">
        <v>1889.25</v>
      </c>
      <c r="F123" s="3">
        <v>1903</v>
      </c>
      <c r="G123" s="3">
        <v>1892.05</v>
      </c>
      <c r="H123" s="3">
        <v>1896.95</v>
      </c>
      <c r="I123" s="3">
        <v>1900.82</v>
      </c>
      <c r="J123" s="3">
        <v>1980</v>
      </c>
      <c r="K123" s="3">
        <v>1235</v>
      </c>
      <c r="L123" s="4">
        <v>1310301</v>
      </c>
      <c r="M123" s="3">
        <v>2490650721.5999999</v>
      </c>
      <c r="N123" s="4">
        <v>77013</v>
      </c>
      <c r="O123">
        <f t="shared" si="1"/>
        <v>-3.179190751445063E-3</v>
      </c>
    </row>
    <row r="124" spans="1:15" ht="14.25" customHeight="1" x14ac:dyDescent="0.3">
      <c r="A124" s="2">
        <v>45652</v>
      </c>
      <c r="B124" t="s">
        <v>15</v>
      </c>
      <c r="C124" s="3">
        <v>1905.6</v>
      </c>
      <c r="D124" s="3">
        <v>1908.9</v>
      </c>
      <c r="E124" s="3">
        <v>1886.3</v>
      </c>
      <c r="F124" s="3">
        <v>1896.95</v>
      </c>
      <c r="G124" s="3">
        <v>1900</v>
      </c>
      <c r="H124" s="3">
        <v>1900.75</v>
      </c>
      <c r="I124" s="3">
        <v>1898.23</v>
      </c>
      <c r="J124" s="3">
        <v>1980</v>
      </c>
      <c r="K124" s="3">
        <v>1235</v>
      </c>
      <c r="L124" s="4">
        <v>1065107</v>
      </c>
      <c r="M124" s="3">
        <v>2021813031.1500001</v>
      </c>
      <c r="N124" s="4">
        <v>78206</v>
      </c>
      <c r="O124">
        <f t="shared" si="1"/>
        <v>2.0032156883417877E-3</v>
      </c>
    </row>
    <row r="125" spans="1:15" ht="14.25" customHeight="1" x14ac:dyDescent="0.3">
      <c r="A125" s="2">
        <v>45653</v>
      </c>
      <c r="B125" t="s">
        <v>15</v>
      </c>
      <c r="C125" s="3">
        <v>1900</v>
      </c>
      <c r="D125" s="3">
        <v>1902.9</v>
      </c>
      <c r="E125" s="3">
        <v>1882.7</v>
      </c>
      <c r="F125" s="3">
        <v>1900.75</v>
      </c>
      <c r="G125" s="3">
        <v>1891</v>
      </c>
      <c r="H125" s="3">
        <v>1892</v>
      </c>
      <c r="I125" s="3">
        <v>1892.73</v>
      </c>
      <c r="J125" s="3">
        <v>1980</v>
      </c>
      <c r="K125" s="3">
        <v>1235</v>
      </c>
      <c r="L125" s="4">
        <v>1328546</v>
      </c>
      <c r="M125" s="3">
        <v>2514579848.6999998</v>
      </c>
      <c r="N125" s="4">
        <v>67732</v>
      </c>
      <c r="O125">
        <f t="shared" si="1"/>
        <v>-4.6034460081546755E-3</v>
      </c>
    </row>
    <row r="126" spans="1:15" ht="14.25" customHeight="1" x14ac:dyDescent="0.3">
      <c r="A126" s="2">
        <v>45656</v>
      </c>
      <c r="B126" t="s">
        <v>15</v>
      </c>
      <c r="C126" s="3">
        <v>1888</v>
      </c>
      <c r="D126" s="3">
        <v>1968.95</v>
      </c>
      <c r="E126" s="3">
        <v>1865.65</v>
      </c>
      <c r="F126" s="3">
        <v>1892</v>
      </c>
      <c r="G126" s="3">
        <v>1910.65</v>
      </c>
      <c r="H126" s="3">
        <v>1928.95</v>
      </c>
      <c r="I126" s="3">
        <v>1921.33</v>
      </c>
      <c r="J126" s="3">
        <v>1980</v>
      </c>
      <c r="K126" s="3">
        <v>1235</v>
      </c>
      <c r="L126" s="4">
        <v>6262203</v>
      </c>
      <c r="M126" s="3">
        <v>12031786092</v>
      </c>
      <c r="N126" s="4">
        <v>127109</v>
      </c>
      <c r="O126">
        <f t="shared" si="1"/>
        <v>1.95295983086681E-2</v>
      </c>
    </row>
    <row r="127" spans="1:15" ht="14.25" customHeight="1" x14ac:dyDescent="0.3">
      <c r="A127" s="2">
        <v>45657</v>
      </c>
      <c r="B127" t="s">
        <v>15</v>
      </c>
      <c r="C127" s="3">
        <v>1915.2</v>
      </c>
      <c r="D127" s="3">
        <v>1927.8</v>
      </c>
      <c r="E127" s="3">
        <v>1878.55</v>
      </c>
      <c r="F127" s="3">
        <v>1928.95</v>
      </c>
      <c r="G127" s="3">
        <v>1924.8</v>
      </c>
      <c r="H127" s="3">
        <v>1917.4</v>
      </c>
      <c r="I127" s="3">
        <v>1908.87</v>
      </c>
      <c r="J127" s="3">
        <v>1980</v>
      </c>
      <c r="K127" s="3">
        <v>1235</v>
      </c>
      <c r="L127" s="4">
        <v>1968650</v>
      </c>
      <c r="M127" s="3">
        <v>3757895094.25</v>
      </c>
      <c r="N127" s="4">
        <v>148818</v>
      </c>
      <c r="O127">
        <f t="shared" si="1"/>
        <v>-5.9877135229010362E-3</v>
      </c>
    </row>
    <row r="128" spans="1:15" ht="14.25" customHeight="1" x14ac:dyDescent="0.3">
      <c r="A128" s="2">
        <v>45658</v>
      </c>
      <c r="B128" t="s">
        <v>15</v>
      </c>
      <c r="C128" s="3">
        <v>1917.4</v>
      </c>
      <c r="D128" s="3">
        <v>1936.95</v>
      </c>
      <c r="E128" s="3">
        <v>1907.9</v>
      </c>
      <c r="F128" s="3">
        <v>1917.4</v>
      </c>
      <c r="G128" s="3">
        <v>1911.6</v>
      </c>
      <c r="H128" s="3">
        <v>1911.95</v>
      </c>
      <c r="I128" s="3">
        <v>1918.88</v>
      </c>
      <c r="J128" s="3">
        <v>1980</v>
      </c>
      <c r="K128" s="3">
        <v>1235</v>
      </c>
      <c r="L128" s="4">
        <v>880695</v>
      </c>
      <c r="M128" s="3">
        <v>1689945501.45</v>
      </c>
      <c r="N128" s="4">
        <v>53268</v>
      </c>
      <c r="O128">
        <f t="shared" si="1"/>
        <v>-2.8423907374569967E-3</v>
      </c>
    </row>
    <row r="129" spans="1:15" ht="14.25" customHeight="1" x14ac:dyDescent="0.3">
      <c r="A129" s="2">
        <v>45659</v>
      </c>
      <c r="B129" t="s">
        <v>15</v>
      </c>
      <c r="C129" s="3">
        <v>1911.95</v>
      </c>
      <c r="D129" s="3">
        <v>1976.3</v>
      </c>
      <c r="E129" s="3">
        <v>1910.05</v>
      </c>
      <c r="F129" s="3">
        <v>1911.95</v>
      </c>
      <c r="G129" s="3">
        <v>1966.45</v>
      </c>
      <c r="H129" s="3">
        <v>1972.2</v>
      </c>
      <c r="I129" s="3">
        <v>1956.3</v>
      </c>
      <c r="J129" s="3">
        <v>1980</v>
      </c>
      <c r="K129" s="3">
        <v>1235</v>
      </c>
      <c r="L129" s="4">
        <v>3487645</v>
      </c>
      <c r="M129" s="3">
        <v>6822864745.3000002</v>
      </c>
      <c r="N129" s="4">
        <v>172843</v>
      </c>
      <c r="O129">
        <f t="shared" si="1"/>
        <v>3.1512330343366722E-2</v>
      </c>
    </row>
    <row r="130" spans="1:15" ht="14.25" customHeight="1" x14ac:dyDescent="0.3">
      <c r="A130" s="2">
        <v>45660</v>
      </c>
      <c r="B130" t="s">
        <v>15</v>
      </c>
      <c r="C130" s="3">
        <v>1980</v>
      </c>
      <c r="D130" s="3">
        <v>1992.1</v>
      </c>
      <c r="E130" s="3">
        <v>1941</v>
      </c>
      <c r="F130" s="3">
        <v>1972.2</v>
      </c>
      <c r="G130" s="3">
        <v>1943</v>
      </c>
      <c r="H130" s="3">
        <v>1946.65</v>
      </c>
      <c r="I130" s="3">
        <v>1956.95</v>
      </c>
      <c r="J130" s="3">
        <v>1992.1</v>
      </c>
      <c r="K130" s="3">
        <v>1235</v>
      </c>
      <c r="L130" s="4">
        <v>2853344</v>
      </c>
      <c r="M130" s="3">
        <v>5583862264.8000002</v>
      </c>
      <c r="N130" s="4">
        <v>148177</v>
      </c>
      <c r="O130">
        <f t="shared" si="1"/>
        <v>-1.295507555014702E-2</v>
      </c>
    </row>
    <row r="131" spans="1:15" ht="14.25" customHeight="1" x14ac:dyDescent="0.3">
      <c r="A131" s="2">
        <v>45663</v>
      </c>
      <c r="B131" t="s">
        <v>15</v>
      </c>
      <c r="C131" s="3">
        <v>1951.25</v>
      </c>
      <c r="D131" s="3">
        <v>1973.4</v>
      </c>
      <c r="E131" s="3">
        <v>1930</v>
      </c>
      <c r="F131" s="3">
        <v>1946.65</v>
      </c>
      <c r="G131" s="3">
        <v>1948.6</v>
      </c>
      <c r="H131" s="3">
        <v>1953.05</v>
      </c>
      <c r="I131" s="3">
        <v>1951.88</v>
      </c>
      <c r="J131" s="3">
        <v>1992.1</v>
      </c>
      <c r="K131" s="3">
        <v>1235</v>
      </c>
      <c r="L131" s="4">
        <v>1789037</v>
      </c>
      <c r="M131" s="3">
        <v>3491988428.3499999</v>
      </c>
      <c r="N131" s="4">
        <v>105379</v>
      </c>
      <c r="O131">
        <f t="shared" ref="O131:O194" si="2">(H131-H130)/H130</f>
        <v>3.2876993809877807E-3</v>
      </c>
    </row>
    <row r="132" spans="1:15" ht="14.25" customHeight="1" x14ac:dyDescent="0.3">
      <c r="A132" s="2">
        <v>45664</v>
      </c>
      <c r="B132" t="s">
        <v>15</v>
      </c>
      <c r="C132" s="3">
        <v>1960</v>
      </c>
      <c r="D132" s="3">
        <v>1981</v>
      </c>
      <c r="E132" s="3">
        <v>1908.9</v>
      </c>
      <c r="F132" s="3">
        <v>1953.05</v>
      </c>
      <c r="G132" s="3">
        <v>1916.75</v>
      </c>
      <c r="H132" s="3">
        <v>1915.9</v>
      </c>
      <c r="I132" s="3">
        <v>1930.16</v>
      </c>
      <c r="J132" s="3">
        <v>1992.1</v>
      </c>
      <c r="K132" s="3">
        <v>1235</v>
      </c>
      <c r="L132" s="4">
        <v>2494547</v>
      </c>
      <c r="M132" s="3">
        <v>4814870548.3000002</v>
      </c>
      <c r="N132" s="4">
        <v>117446</v>
      </c>
      <c r="O132">
        <f t="shared" si="2"/>
        <v>-1.9021530426768317E-2</v>
      </c>
    </row>
    <row r="133" spans="1:15" ht="14.25" customHeight="1" x14ac:dyDescent="0.3">
      <c r="A133" s="2">
        <v>45665</v>
      </c>
      <c r="B133" t="s">
        <v>15</v>
      </c>
      <c r="C133" s="3">
        <v>1906.3</v>
      </c>
      <c r="D133" s="3">
        <v>1938.5</v>
      </c>
      <c r="E133" s="3">
        <v>1894.55</v>
      </c>
      <c r="F133" s="3">
        <v>1915.9</v>
      </c>
      <c r="G133" s="3">
        <v>1932.9</v>
      </c>
      <c r="H133" s="3">
        <v>1932.25</v>
      </c>
      <c r="I133" s="3">
        <v>1915</v>
      </c>
      <c r="J133" s="3">
        <v>1992.1</v>
      </c>
      <c r="K133" s="3">
        <v>1235</v>
      </c>
      <c r="L133" s="4">
        <v>2372138</v>
      </c>
      <c r="M133" s="3">
        <v>4542649572.1999998</v>
      </c>
      <c r="N133" s="4">
        <v>161359</v>
      </c>
      <c r="O133">
        <f t="shared" si="2"/>
        <v>8.533848321937423E-3</v>
      </c>
    </row>
    <row r="134" spans="1:15" ht="14.25" customHeight="1" x14ac:dyDescent="0.3">
      <c r="A134" s="2">
        <v>45666</v>
      </c>
      <c r="B134" t="s">
        <v>15</v>
      </c>
      <c r="C134" s="3">
        <v>1926.8</v>
      </c>
      <c r="D134" s="3">
        <v>1944.45</v>
      </c>
      <c r="E134" s="3">
        <v>1920</v>
      </c>
      <c r="F134" s="3">
        <v>1932.25</v>
      </c>
      <c r="G134" s="3">
        <v>1934</v>
      </c>
      <c r="H134" s="3">
        <v>1934.8</v>
      </c>
      <c r="I134" s="3">
        <v>1935.7</v>
      </c>
      <c r="J134" s="3">
        <v>1992.1</v>
      </c>
      <c r="K134" s="3">
        <v>1235</v>
      </c>
      <c r="L134" s="4">
        <v>2742139</v>
      </c>
      <c r="M134" s="3">
        <v>5307958003.9499998</v>
      </c>
      <c r="N134" s="4">
        <v>127128</v>
      </c>
      <c r="O134">
        <f t="shared" si="2"/>
        <v>1.3197050071160328E-3</v>
      </c>
    </row>
    <row r="135" spans="1:15" ht="14.25" customHeight="1" x14ac:dyDescent="0.3">
      <c r="A135" s="2">
        <v>45667</v>
      </c>
      <c r="B135" t="s">
        <v>15</v>
      </c>
      <c r="C135" s="3">
        <v>1936</v>
      </c>
      <c r="D135" s="3">
        <v>2002.35</v>
      </c>
      <c r="E135" s="3">
        <v>1935.25</v>
      </c>
      <c r="F135" s="3">
        <v>1934.8</v>
      </c>
      <c r="G135" s="3">
        <v>1997.1</v>
      </c>
      <c r="H135" s="3">
        <v>1995.1</v>
      </c>
      <c r="I135" s="3">
        <v>1977.11</v>
      </c>
      <c r="J135" s="3">
        <v>2002.35</v>
      </c>
      <c r="K135" s="3">
        <v>1235</v>
      </c>
      <c r="L135" s="4">
        <v>4802079</v>
      </c>
      <c r="M135" s="3">
        <v>9494250831.6000004</v>
      </c>
      <c r="N135" s="4">
        <v>234018</v>
      </c>
      <c r="O135">
        <f t="shared" si="2"/>
        <v>3.1166011990903429E-2</v>
      </c>
    </row>
    <row r="136" spans="1:15" ht="14.25" customHeight="1" x14ac:dyDescent="0.3">
      <c r="A136" s="2">
        <v>45670</v>
      </c>
      <c r="B136" t="s">
        <v>15</v>
      </c>
      <c r="C136" s="3">
        <v>1994.9</v>
      </c>
      <c r="D136" s="3">
        <v>2012.2</v>
      </c>
      <c r="E136" s="3">
        <v>1965.4</v>
      </c>
      <c r="F136" s="3">
        <v>1995.1</v>
      </c>
      <c r="G136" s="3">
        <v>1975</v>
      </c>
      <c r="H136" s="3">
        <v>1989.4</v>
      </c>
      <c r="I136" s="3">
        <v>1992.36</v>
      </c>
      <c r="J136" s="3">
        <v>2012.2</v>
      </c>
      <c r="K136" s="3">
        <v>1235</v>
      </c>
      <c r="L136" s="4">
        <v>5694121</v>
      </c>
      <c r="M136" s="3">
        <v>11344760287.75</v>
      </c>
      <c r="N136" s="4">
        <v>180247</v>
      </c>
      <c r="O136">
        <f t="shared" si="2"/>
        <v>-2.856999649140303E-3</v>
      </c>
    </row>
    <row r="137" spans="1:15" ht="14.25" customHeight="1" x14ac:dyDescent="0.3">
      <c r="A137" s="2">
        <v>45671</v>
      </c>
      <c r="B137" t="s">
        <v>15</v>
      </c>
      <c r="C137" s="3">
        <v>1936.1</v>
      </c>
      <c r="D137" s="3">
        <v>1939</v>
      </c>
      <c r="E137" s="3">
        <v>1797.75</v>
      </c>
      <c r="F137" s="3">
        <v>1989.4</v>
      </c>
      <c r="G137" s="3">
        <v>1819.95</v>
      </c>
      <c r="H137" s="3">
        <v>1813.55</v>
      </c>
      <c r="I137" s="3">
        <v>1824.43</v>
      </c>
      <c r="J137" s="3">
        <v>2012.2</v>
      </c>
      <c r="K137" s="3">
        <v>1235</v>
      </c>
      <c r="L137" s="4">
        <v>15819311</v>
      </c>
      <c r="M137" s="3">
        <v>28861217134.400002</v>
      </c>
      <c r="N137" s="4">
        <v>600156</v>
      </c>
      <c r="O137">
        <f t="shared" si="2"/>
        <v>-8.8393485473007002E-2</v>
      </c>
    </row>
    <row r="138" spans="1:15" ht="14.25" customHeight="1" x14ac:dyDescent="0.3">
      <c r="A138" s="2">
        <v>45672</v>
      </c>
      <c r="B138" t="s">
        <v>15</v>
      </c>
      <c r="C138" s="3">
        <v>1836</v>
      </c>
      <c r="D138" s="3">
        <v>1843.55</v>
      </c>
      <c r="E138" s="3">
        <v>1812.55</v>
      </c>
      <c r="F138" s="3">
        <v>1813.55</v>
      </c>
      <c r="G138" s="3">
        <v>1825.7</v>
      </c>
      <c r="H138" s="3">
        <v>1825.7</v>
      </c>
      <c r="I138" s="3">
        <v>1824.99</v>
      </c>
      <c r="J138" s="3">
        <v>2012.2</v>
      </c>
      <c r="K138" s="3">
        <v>1235</v>
      </c>
      <c r="L138" s="4">
        <v>3350594</v>
      </c>
      <c r="M138" s="3">
        <v>6114802982.4499998</v>
      </c>
      <c r="N138" s="4">
        <v>221654</v>
      </c>
      <c r="O138">
        <f t="shared" si="2"/>
        <v>6.699567147307817E-3</v>
      </c>
    </row>
    <row r="139" spans="1:15" ht="14.25" customHeight="1" x14ac:dyDescent="0.3">
      <c r="A139" s="2">
        <v>45673</v>
      </c>
      <c r="B139" t="s">
        <v>15</v>
      </c>
      <c r="C139" s="3">
        <v>1833</v>
      </c>
      <c r="D139" s="3">
        <v>1837.95</v>
      </c>
      <c r="E139" s="3">
        <v>1785.3</v>
      </c>
      <c r="F139" s="3">
        <v>1825.7</v>
      </c>
      <c r="G139" s="3">
        <v>1790.15</v>
      </c>
      <c r="H139" s="3">
        <v>1792.25</v>
      </c>
      <c r="I139" s="3">
        <v>1796.66</v>
      </c>
      <c r="J139" s="3">
        <v>2012.2</v>
      </c>
      <c r="K139" s="3">
        <v>1235</v>
      </c>
      <c r="L139" s="4">
        <v>5362008</v>
      </c>
      <c r="M139" s="3">
        <v>9633692689.3999996</v>
      </c>
      <c r="N139" s="4">
        <v>260626</v>
      </c>
      <c r="O139">
        <f t="shared" si="2"/>
        <v>-1.8321739606726211E-2</v>
      </c>
    </row>
    <row r="140" spans="1:15" ht="14.25" customHeight="1" x14ac:dyDescent="0.3">
      <c r="A140" s="2">
        <v>45674</v>
      </c>
      <c r="B140" t="s">
        <v>15</v>
      </c>
      <c r="C140" s="3">
        <v>1773</v>
      </c>
      <c r="D140" s="3">
        <v>1793.1</v>
      </c>
      <c r="E140" s="3">
        <v>1750.05</v>
      </c>
      <c r="F140" s="3">
        <v>1792.25</v>
      </c>
      <c r="G140" s="3">
        <v>1789.45</v>
      </c>
      <c r="H140" s="3">
        <v>1788.9</v>
      </c>
      <c r="I140" s="3">
        <v>1776.06</v>
      </c>
      <c r="J140" s="3">
        <v>2012.2</v>
      </c>
      <c r="K140" s="3">
        <v>1235</v>
      </c>
      <c r="L140" s="4">
        <v>2424374</v>
      </c>
      <c r="M140" s="3">
        <v>4305821954.9499998</v>
      </c>
      <c r="N140" s="4">
        <v>176981</v>
      </c>
      <c r="O140">
        <f t="shared" si="2"/>
        <v>-1.8691588785046222E-3</v>
      </c>
    </row>
    <row r="141" spans="1:15" ht="14.25" customHeight="1" x14ac:dyDescent="0.3">
      <c r="A141" s="2">
        <v>45677</v>
      </c>
      <c r="B141" t="s">
        <v>15</v>
      </c>
      <c r="C141" s="3">
        <v>1790.1</v>
      </c>
      <c r="D141" s="3">
        <v>1799</v>
      </c>
      <c r="E141" s="3">
        <v>1762.6</v>
      </c>
      <c r="F141" s="3">
        <v>1788.9</v>
      </c>
      <c r="G141" s="3">
        <v>1794.95</v>
      </c>
      <c r="H141" s="3">
        <v>1796.2</v>
      </c>
      <c r="I141" s="3">
        <v>1785.22</v>
      </c>
      <c r="J141" s="3">
        <v>2012.2</v>
      </c>
      <c r="K141" s="3">
        <v>1235</v>
      </c>
      <c r="L141" s="4">
        <v>3401004</v>
      </c>
      <c r="M141" s="3">
        <v>6071550248.5500002</v>
      </c>
      <c r="N141" s="4">
        <v>156557</v>
      </c>
      <c r="O141">
        <f t="shared" si="2"/>
        <v>4.0807199955279526E-3</v>
      </c>
    </row>
    <row r="142" spans="1:15" ht="14.25" customHeight="1" x14ac:dyDescent="0.3">
      <c r="A142" s="2">
        <v>45678</v>
      </c>
      <c r="B142" t="s">
        <v>15</v>
      </c>
      <c r="C142" s="3">
        <v>1791.4</v>
      </c>
      <c r="D142" s="3">
        <v>1820.75</v>
      </c>
      <c r="E142" s="3">
        <v>1791.4</v>
      </c>
      <c r="F142" s="3">
        <v>1796.2</v>
      </c>
      <c r="G142" s="3">
        <v>1804.05</v>
      </c>
      <c r="H142" s="3">
        <v>1802.4</v>
      </c>
      <c r="I142" s="3">
        <v>1805.77</v>
      </c>
      <c r="J142" s="3">
        <v>2012.2</v>
      </c>
      <c r="K142" s="3">
        <v>1235</v>
      </c>
      <c r="L142" s="4">
        <v>4005357</v>
      </c>
      <c r="M142" s="3">
        <v>7232759540.3500004</v>
      </c>
      <c r="N142" s="4">
        <v>200700</v>
      </c>
      <c r="O142">
        <f t="shared" si="2"/>
        <v>3.4517314330253009E-3</v>
      </c>
    </row>
    <row r="143" spans="1:15" ht="14.25" customHeight="1" x14ac:dyDescent="0.3">
      <c r="A143" s="2">
        <v>45679</v>
      </c>
      <c r="B143" t="s">
        <v>15</v>
      </c>
      <c r="C143" s="3">
        <v>1808.2</v>
      </c>
      <c r="D143" s="3">
        <v>1831.45</v>
      </c>
      <c r="E143" s="3">
        <v>1804.05</v>
      </c>
      <c r="F143" s="3">
        <v>1802.4</v>
      </c>
      <c r="G143" s="3">
        <v>1828</v>
      </c>
      <c r="H143" s="3">
        <v>1827.7</v>
      </c>
      <c r="I143" s="3">
        <v>1820.11</v>
      </c>
      <c r="J143" s="3">
        <v>2012.2</v>
      </c>
      <c r="K143" s="3">
        <v>1235</v>
      </c>
      <c r="L143" s="4">
        <v>3009261</v>
      </c>
      <c r="M143" s="3">
        <v>5477174600.4499998</v>
      </c>
      <c r="N143" s="4">
        <v>176695</v>
      </c>
      <c r="O143">
        <f t="shared" si="2"/>
        <v>1.4036839769196601E-2</v>
      </c>
    </row>
    <row r="144" spans="1:15" ht="14.25" customHeight="1" x14ac:dyDescent="0.3">
      <c r="A144" s="2">
        <v>45680</v>
      </c>
      <c r="B144" t="s">
        <v>15</v>
      </c>
      <c r="C144" s="3">
        <v>1817.05</v>
      </c>
      <c r="D144" s="3">
        <v>1828.95</v>
      </c>
      <c r="E144" s="3">
        <v>1804.2</v>
      </c>
      <c r="F144" s="3">
        <v>1827.7</v>
      </c>
      <c r="G144" s="3">
        <v>1806.95</v>
      </c>
      <c r="H144" s="3">
        <v>1807</v>
      </c>
      <c r="I144" s="3">
        <v>1814.54</v>
      </c>
      <c r="J144" s="3">
        <v>2012.2</v>
      </c>
      <c r="K144" s="3">
        <v>1235</v>
      </c>
      <c r="L144" s="4">
        <v>3750930</v>
      </c>
      <c r="M144" s="3">
        <v>6806227425.6499996</v>
      </c>
      <c r="N144" s="4">
        <v>146553</v>
      </c>
      <c r="O144">
        <f t="shared" si="2"/>
        <v>-1.1325709908628355E-2</v>
      </c>
    </row>
    <row r="145" spans="1:15" ht="14.25" customHeight="1" x14ac:dyDescent="0.3">
      <c r="A145" s="2">
        <v>45681</v>
      </c>
      <c r="B145" t="s">
        <v>15</v>
      </c>
      <c r="C145" s="3">
        <v>1800</v>
      </c>
      <c r="D145" s="3">
        <v>1829.4</v>
      </c>
      <c r="E145" s="3">
        <v>1791.1</v>
      </c>
      <c r="F145" s="3">
        <v>1807</v>
      </c>
      <c r="G145" s="3">
        <v>1796</v>
      </c>
      <c r="H145" s="3">
        <v>1792.85</v>
      </c>
      <c r="I145" s="3">
        <v>1803.18</v>
      </c>
      <c r="J145" s="3">
        <v>2012.2</v>
      </c>
      <c r="K145" s="3">
        <v>1235</v>
      </c>
      <c r="L145" s="4">
        <v>3171259</v>
      </c>
      <c r="M145" s="3">
        <v>5718348831.8000002</v>
      </c>
      <c r="N145" s="4">
        <v>98899</v>
      </c>
      <c r="O145">
        <f t="shared" si="2"/>
        <v>-7.8306585500830615E-3</v>
      </c>
    </row>
    <row r="146" spans="1:15" ht="14.25" customHeight="1" x14ac:dyDescent="0.3">
      <c r="A146" s="2">
        <v>45684</v>
      </c>
      <c r="B146" t="s">
        <v>15</v>
      </c>
      <c r="C146" s="3">
        <v>1775</v>
      </c>
      <c r="D146" s="3">
        <v>1779.75</v>
      </c>
      <c r="E146" s="3">
        <v>1707.3</v>
      </c>
      <c r="F146" s="3">
        <v>1792.85</v>
      </c>
      <c r="G146" s="3">
        <v>1710.55</v>
      </c>
      <c r="H146" s="3">
        <v>1711.95</v>
      </c>
      <c r="I146" s="3">
        <v>1734.65</v>
      </c>
      <c r="J146" s="3">
        <v>2012.2</v>
      </c>
      <c r="K146" s="3">
        <v>1235</v>
      </c>
      <c r="L146" s="4">
        <v>4174844</v>
      </c>
      <c r="M146" s="3">
        <v>7241906323.3000002</v>
      </c>
      <c r="N146" s="4">
        <v>143422</v>
      </c>
      <c r="O146">
        <f t="shared" si="2"/>
        <v>-4.512368575173599E-2</v>
      </c>
    </row>
    <row r="147" spans="1:15" ht="14.25" customHeight="1" x14ac:dyDescent="0.3">
      <c r="A147" s="2">
        <v>45685</v>
      </c>
      <c r="B147" t="s">
        <v>15</v>
      </c>
      <c r="C147" s="3">
        <v>1711.95</v>
      </c>
      <c r="D147" s="3">
        <v>1730.5</v>
      </c>
      <c r="E147" s="3">
        <v>1691</v>
      </c>
      <c r="F147" s="3">
        <v>1711.95</v>
      </c>
      <c r="G147" s="3">
        <v>1694.5</v>
      </c>
      <c r="H147" s="3">
        <v>1693.25</v>
      </c>
      <c r="I147" s="3">
        <v>1707.81</v>
      </c>
      <c r="J147" s="3">
        <v>2012.2</v>
      </c>
      <c r="K147" s="3">
        <v>1235</v>
      </c>
      <c r="L147" s="4">
        <v>5079829</v>
      </c>
      <c r="M147" s="3">
        <v>8675376616.75</v>
      </c>
      <c r="N147" s="4">
        <v>194141</v>
      </c>
      <c r="O147">
        <f t="shared" si="2"/>
        <v>-1.0923216215426879E-2</v>
      </c>
    </row>
    <row r="148" spans="1:15" ht="14.25" customHeight="1" x14ac:dyDescent="0.3">
      <c r="A148" s="2">
        <v>45686</v>
      </c>
      <c r="B148" t="s">
        <v>15</v>
      </c>
      <c r="C148" s="3">
        <v>1696</v>
      </c>
      <c r="D148" s="3">
        <v>1724.1</v>
      </c>
      <c r="E148" s="3">
        <v>1696</v>
      </c>
      <c r="F148" s="3">
        <v>1693.25</v>
      </c>
      <c r="G148" s="3">
        <v>1720.65</v>
      </c>
      <c r="H148" s="3">
        <v>1719</v>
      </c>
      <c r="I148" s="3">
        <v>1715.29</v>
      </c>
      <c r="J148" s="3">
        <v>2012.2</v>
      </c>
      <c r="K148" s="3">
        <v>1235</v>
      </c>
      <c r="L148" s="4">
        <v>3733620</v>
      </c>
      <c r="M148" s="3">
        <v>6404245749.1999998</v>
      </c>
      <c r="N148" s="4">
        <v>117810</v>
      </c>
      <c r="O148">
        <f t="shared" si="2"/>
        <v>1.5207441311088143E-2</v>
      </c>
    </row>
    <row r="149" spans="1:15" ht="14.25" customHeight="1" x14ac:dyDescent="0.3">
      <c r="A149" s="2">
        <v>45687</v>
      </c>
      <c r="B149" t="s">
        <v>15</v>
      </c>
      <c r="C149" s="3">
        <v>1722</v>
      </c>
      <c r="D149" s="3">
        <v>1732.95</v>
      </c>
      <c r="E149" s="3">
        <v>1697.85</v>
      </c>
      <c r="F149" s="3">
        <v>1719</v>
      </c>
      <c r="G149" s="3">
        <v>1717.9</v>
      </c>
      <c r="H149" s="3">
        <v>1713.1</v>
      </c>
      <c r="I149" s="3">
        <v>1716.41</v>
      </c>
      <c r="J149" s="3">
        <v>2012.2</v>
      </c>
      <c r="K149" s="3">
        <v>1235</v>
      </c>
      <c r="L149" s="4">
        <v>2543744</v>
      </c>
      <c r="M149" s="3">
        <v>4366105666.3000002</v>
      </c>
      <c r="N149" s="4">
        <v>125674</v>
      </c>
      <c r="O149">
        <f t="shared" si="2"/>
        <v>-3.4322280395579353E-3</v>
      </c>
    </row>
    <row r="150" spans="1:15" ht="14.25" customHeight="1" x14ac:dyDescent="0.3">
      <c r="A150" s="2">
        <v>45688</v>
      </c>
      <c r="B150" t="s">
        <v>15</v>
      </c>
      <c r="C150" s="3">
        <v>1709.05</v>
      </c>
      <c r="D150" s="3">
        <v>1738.2</v>
      </c>
      <c r="E150" s="3">
        <v>1709.05</v>
      </c>
      <c r="F150" s="3">
        <v>1713.1</v>
      </c>
      <c r="G150" s="3">
        <v>1730</v>
      </c>
      <c r="H150" s="3">
        <v>1725.45</v>
      </c>
      <c r="I150" s="3">
        <v>1724.09</v>
      </c>
      <c r="J150" s="3">
        <v>2012.2</v>
      </c>
      <c r="K150" s="3">
        <v>1235</v>
      </c>
      <c r="L150" s="4">
        <v>2033832</v>
      </c>
      <c r="M150" s="3">
        <v>3506506163.3000002</v>
      </c>
      <c r="N150" s="4">
        <v>79215</v>
      </c>
      <c r="O150">
        <f t="shared" si="2"/>
        <v>7.2091529974900107E-3</v>
      </c>
    </row>
    <row r="151" spans="1:15" ht="14.25" customHeight="1" x14ac:dyDescent="0.3">
      <c r="A151" s="2">
        <v>45689</v>
      </c>
      <c r="B151" t="s">
        <v>15</v>
      </c>
      <c r="C151" s="3">
        <v>1726</v>
      </c>
      <c r="D151" s="3">
        <v>1731.95</v>
      </c>
      <c r="E151" s="3">
        <v>1688</v>
      </c>
      <c r="F151" s="3">
        <v>1725.45</v>
      </c>
      <c r="G151" s="3">
        <v>1694.7</v>
      </c>
      <c r="H151" s="3">
        <v>1694</v>
      </c>
      <c r="I151" s="3">
        <v>1704.35</v>
      </c>
      <c r="J151" s="3">
        <v>2012.2</v>
      </c>
      <c r="K151" s="3">
        <v>1235</v>
      </c>
      <c r="L151" s="4">
        <v>569018</v>
      </c>
      <c r="M151" s="3">
        <v>969808246.14999998</v>
      </c>
      <c r="N151" s="4">
        <v>39652</v>
      </c>
      <c r="O151">
        <f t="shared" si="2"/>
        <v>-1.8227129154713289E-2</v>
      </c>
    </row>
    <row r="152" spans="1:15" ht="14.25" customHeight="1" x14ac:dyDescent="0.3">
      <c r="A152" s="2">
        <v>45691</v>
      </c>
      <c r="B152" t="s">
        <v>15</v>
      </c>
      <c r="C152" s="3">
        <v>1665</v>
      </c>
      <c r="D152" s="3">
        <v>1700.6</v>
      </c>
      <c r="E152" s="3">
        <v>1661.5</v>
      </c>
      <c r="F152" s="3">
        <v>1694</v>
      </c>
      <c r="G152" s="3">
        <v>1693</v>
      </c>
      <c r="H152" s="3">
        <v>1692</v>
      </c>
      <c r="I152" s="3">
        <v>1686.67</v>
      </c>
      <c r="J152" s="3">
        <v>2012.2</v>
      </c>
      <c r="K152" s="3">
        <v>1235</v>
      </c>
      <c r="L152" s="4">
        <v>2659929</v>
      </c>
      <c r="M152" s="3">
        <v>4486418428.4499998</v>
      </c>
      <c r="N152" s="4">
        <v>150634</v>
      </c>
      <c r="O152">
        <f t="shared" si="2"/>
        <v>-1.1806375442739079E-3</v>
      </c>
    </row>
    <row r="153" spans="1:15" ht="14.25" customHeight="1" x14ac:dyDescent="0.3">
      <c r="A153" s="2">
        <v>45692</v>
      </c>
      <c r="B153" t="s">
        <v>15</v>
      </c>
      <c r="C153" s="3">
        <v>1695.1</v>
      </c>
      <c r="D153" s="3">
        <v>1735.9</v>
      </c>
      <c r="E153" s="3">
        <v>1692.05</v>
      </c>
      <c r="F153" s="3">
        <v>1692</v>
      </c>
      <c r="G153" s="3">
        <v>1732.45</v>
      </c>
      <c r="H153" s="3">
        <v>1732.55</v>
      </c>
      <c r="I153" s="3">
        <v>1712.68</v>
      </c>
      <c r="J153" s="3">
        <v>2012.2</v>
      </c>
      <c r="K153" s="3">
        <v>1235</v>
      </c>
      <c r="L153" s="4">
        <v>3647768</v>
      </c>
      <c r="M153" s="3">
        <v>6247459080.8999996</v>
      </c>
      <c r="N153" s="4">
        <v>159207</v>
      </c>
      <c r="O153">
        <f t="shared" si="2"/>
        <v>2.3965721040189097E-2</v>
      </c>
    </row>
    <row r="154" spans="1:15" ht="14.25" customHeight="1" x14ac:dyDescent="0.3">
      <c r="A154" s="2">
        <v>45693</v>
      </c>
      <c r="B154" t="s">
        <v>15</v>
      </c>
      <c r="C154" s="3">
        <v>1730</v>
      </c>
      <c r="D154" s="3">
        <v>1746.8</v>
      </c>
      <c r="E154" s="3">
        <v>1710</v>
      </c>
      <c r="F154" s="3">
        <v>1732.55</v>
      </c>
      <c r="G154" s="3">
        <v>1712</v>
      </c>
      <c r="H154" s="3">
        <v>1712.85</v>
      </c>
      <c r="I154" s="3">
        <v>1718.44</v>
      </c>
      <c r="J154" s="3">
        <v>2012.2</v>
      </c>
      <c r="K154" s="3">
        <v>1235</v>
      </c>
      <c r="L154" s="4">
        <v>2681942</v>
      </c>
      <c r="M154" s="3">
        <v>4608759100.8500004</v>
      </c>
      <c r="N154" s="4">
        <v>106585</v>
      </c>
      <c r="O154">
        <f t="shared" si="2"/>
        <v>-1.1370523217223195E-2</v>
      </c>
    </row>
    <row r="155" spans="1:15" ht="14.25" customHeight="1" x14ac:dyDescent="0.3">
      <c r="A155" s="2">
        <v>45694</v>
      </c>
      <c r="B155" t="s">
        <v>15</v>
      </c>
      <c r="C155" s="3">
        <v>1723.85</v>
      </c>
      <c r="D155" s="3">
        <v>1728.45</v>
      </c>
      <c r="E155" s="3">
        <v>1712.85</v>
      </c>
      <c r="F155" s="3">
        <v>1712.85</v>
      </c>
      <c r="G155" s="3">
        <v>1724.1</v>
      </c>
      <c r="H155" s="3">
        <v>1723.5</v>
      </c>
      <c r="I155" s="3">
        <v>1719.71</v>
      </c>
      <c r="J155" s="3">
        <v>2012.2</v>
      </c>
      <c r="K155" s="3">
        <v>1235</v>
      </c>
      <c r="L155" s="4">
        <v>2057798</v>
      </c>
      <c r="M155" s="3">
        <v>3538821096.4000001</v>
      </c>
      <c r="N155" s="4">
        <v>135442</v>
      </c>
      <c r="O155">
        <f t="shared" si="2"/>
        <v>6.2177073298888353E-3</v>
      </c>
    </row>
    <row r="156" spans="1:15" ht="14.25" customHeight="1" x14ac:dyDescent="0.3">
      <c r="A156" s="2">
        <v>45695</v>
      </c>
      <c r="B156" t="s">
        <v>15</v>
      </c>
      <c r="C156" s="3">
        <v>1723.15</v>
      </c>
      <c r="D156" s="3">
        <v>1731</v>
      </c>
      <c r="E156" s="3">
        <v>1700.65</v>
      </c>
      <c r="F156" s="3">
        <v>1723.5</v>
      </c>
      <c r="G156" s="3">
        <v>1724</v>
      </c>
      <c r="H156" s="3">
        <v>1725.65</v>
      </c>
      <c r="I156" s="3">
        <v>1720.82</v>
      </c>
      <c r="J156" s="3">
        <v>2012.2</v>
      </c>
      <c r="K156" s="3">
        <v>1235</v>
      </c>
      <c r="L156" s="4">
        <v>2428098</v>
      </c>
      <c r="M156" s="3">
        <v>4178325236.5</v>
      </c>
      <c r="N156" s="4">
        <v>76538</v>
      </c>
      <c r="O156">
        <f t="shared" si="2"/>
        <v>1.2474615607775403E-3</v>
      </c>
    </row>
    <row r="157" spans="1:15" ht="14.25" customHeight="1" x14ac:dyDescent="0.3">
      <c r="A157" s="2">
        <v>45698</v>
      </c>
      <c r="B157" t="s">
        <v>15</v>
      </c>
      <c r="C157" s="3">
        <v>1723.95</v>
      </c>
      <c r="D157" s="3">
        <v>1740</v>
      </c>
      <c r="E157" s="3">
        <v>1712.1</v>
      </c>
      <c r="F157" s="3">
        <v>1725.65</v>
      </c>
      <c r="G157" s="3">
        <v>1734</v>
      </c>
      <c r="H157" s="3">
        <v>1733.85</v>
      </c>
      <c r="I157" s="3">
        <v>1728.54</v>
      </c>
      <c r="J157" s="3">
        <v>2012.2</v>
      </c>
      <c r="K157" s="3">
        <v>1235</v>
      </c>
      <c r="L157" s="4">
        <v>1823071</v>
      </c>
      <c r="M157" s="3">
        <v>3151248711.6999998</v>
      </c>
      <c r="N157" s="4">
        <v>68108</v>
      </c>
      <c r="O157">
        <f t="shared" si="2"/>
        <v>4.7518326427721828E-3</v>
      </c>
    </row>
    <row r="158" spans="1:15" ht="14.25" customHeight="1" x14ac:dyDescent="0.3">
      <c r="A158" s="2">
        <v>45699</v>
      </c>
      <c r="B158" t="s">
        <v>15</v>
      </c>
      <c r="C158" s="3">
        <v>1742.8</v>
      </c>
      <c r="D158" s="3">
        <v>1749</v>
      </c>
      <c r="E158" s="3">
        <v>1715</v>
      </c>
      <c r="F158" s="3">
        <v>1733.85</v>
      </c>
      <c r="G158" s="3">
        <v>1723.9</v>
      </c>
      <c r="H158" s="3">
        <v>1723.2</v>
      </c>
      <c r="I158" s="3">
        <v>1732.76</v>
      </c>
      <c r="J158" s="3">
        <v>2012.2</v>
      </c>
      <c r="K158" s="3">
        <v>1235</v>
      </c>
      <c r="L158" s="4">
        <v>1702553</v>
      </c>
      <c r="M158" s="3">
        <v>2950109312.0500002</v>
      </c>
      <c r="N158" s="4">
        <v>90830</v>
      </c>
      <c r="O158">
        <f t="shared" si="2"/>
        <v>-6.1423998615796433E-3</v>
      </c>
    </row>
    <row r="159" spans="1:15" ht="14.25" customHeight="1" x14ac:dyDescent="0.3">
      <c r="A159" s="2">
        <v>45700</v>
      </c>
      <c r="B159" t="s">
        <v>15</v>
      </c>
      <c r="C159" s="3">
        <v>1723.9</v>
      </c>
      <c r="D159" s="3">
        <v>1742.4</v>
      </c>
      <c r="E159" s="3">
        <v>1699.15</v>
      </c>
      <c r="F159" s="3">
        <v>1723.2</v>
      </c>
      <c r="G159" s="3">
        <v>1716.05</v>
      </c>
      <c r="H159" s="3">
        <v>1717.3</v>
      </c>
      <c r="I159" s="3">
        <v>1717.61</v>
      </c>
      <c r="J159" s="3">
        <v>2012.2</v>
      </c>
      <c r="K159" s="3">
        <v>1235</v>
      </c>
      <c r="L159" s="4">
        <v>2214307</v>
      </c>
      <c r="M159" s="3">
        <v>3803306655.25</v>
      </c>
      <c r="N159" s="4">
        <v>142727</v>
      </c>
      <c r="O159">
        <f t="shared" si="2"/>
        <v>-3.4238625812442495E-3</v>
      </c>
    </row>
    <row r="160" spans="1:15" ht="14.25" customHeight="1" x14ac:dyDescent="0.3">
      <c r="A160" s="2">
        <v>45701</v>
      </c>
      <c r="B160" t="s">
        <v>15</v>
      </c>
      <c r="C160" s="3">
        <v>1712</v>
      </c>
      <c r="D160" s="3">
        <v>1729.95</v>
      </c>
      <c r="E160" s="3">
        <v>1700.25</v>
      </c>
      <c r="F160" s="3">
        <v>1717.3</v>
      </c>
      <c r="G160" s="3">
        <v>1704.8</v>
      </c>
      <c r="H160" s="3">
        <v>1703.1</v>
      </c>
      <c r="I160" s="3">
        <v>1712.75</v>
      </c>
      <c r="J160" s="3">
        <v>2012.2</v>
      </c>
      <c r="K160" s="3">
        <v>1235</v>
      </c>
      <c r="L160" s="4">
        <v>1838463</v>
      </c>
      <c r="M160" s="3">
        <v>3148828257.8499999</v>
      </c>
      <c r="N160" s="4">
        <v>91677</v>
      </c>
      <c r="O160">
        <f t="shared" si="2"/>
        <v>-8.2687940371513682E-3</v>
      </c>
    </row>
    <row r="161" spans="1:15" ht="14.25" customHeight="1" x14ac:dyDescent="0.3">
      <c r="A161" s="2">
        <v>45702</v>
      </c>
      <c r="B161" t="s">
        <v>15</v>
      </c>
      <c r="C161" s="3">
        <v>1711</v>
      </c>
      <c r="D161" s="3">
        <v>1723.4</v>
      </c>
      <c r="E161" s="3">
        <v>1699.95</v>
      </c>
      <c r="F161" s="3">
        <v>1703.1</v>
      </c>
      <c r="G161" s="3">
        <v>1711.6</v>
      </c>
      <c r="H161" s="3">
        <v>1711.25</v>
      </c>
      <c r="I161" s="3">
        <v>1709.15</v>
      </c>
      <c r="J161" s="3">
        <v>2012.2</v>
      </c>
      <c r="K161" s="3">
        <v>1235</v>
      </c>
      <c r="L161" s="4">
        <v>1460459</v>
      </c>
      <c r="M161" s="3">
        <v>2496148466.25</v>
      </c>
      <c r="N161" s="4">
        <v>80952</v>
      </c>
      <c r="O161">
        <f t="shared" si="2"/>
        <v>4.785391345194112E-3</v>
      </c>
    </row>
    <row r="162" spans="1:15" ht="14.25" customHeight="1" x14ac:dyDescent="0.3">
      <c r="A162" s="2">
        <v>45705</v>
      </c>
      <c r="B162" t="s">
        <v>15</v>
      </c>
      <c r="C162" s="3">
        <v>1711.25</v>
      </c>
      <c r="D162" s="3">
        <v>1720.15</v>
      </c>
      <c r="E162" s="3">
        <v>1694.1</v>
      </c>
      <c r="F162" s="3">
        <v>1711.25</v>
      </c>
      <c r="G162" s="3">
        <v>1709.6</v>
      </c>
      <c r="H162" s="3">
        <v>1709.9</v>
      </c>
      <c r="I162" s="3">
        <v>1707.8</v>
      </c>
      <c r="J162" s="3">
        <v>2012.2</v>
      </c>
      <c r="K162" s="3">
        <v>1235</v>
      </c>
      <c r="L162" s="4">
        <v>1127023</v>
      </c>
      <c r="M162" s="3">
        <v>1924733916.9000001</v>
      </c>
      <c r="N162" s="4">
        <v>126871</v>
      </c>
      <c r="O162">
        <f t="shared" si="2"/>
        <v>-7.8889700511316813E-4</v>
      </c>
    </row>
    <row r="163" spans="1:15" ht="14.25" customHeight="1" x14ac:dyDescent="0.3">
      <c r="A163" s="2">
        <v>45706</v>
      </c>
      <c r="B163" t="s">
        <v>15</v>
      </c>
      <c r="C163" s="3">
        <v>1706</v>
      </c>
      <c r="D163" s="3">
        <v>1728.5</v>
      </c>
      <c r="E163" s="3">
        <v>1701.25</v>
      </c>
      <c r="F163" s="3">
        <v>1709.9</v>
      </c>
      <c r="G163" s="3">
        <v>1725</v>
      </c>
      <c r="H163" s="3">
        <v>1725.5</v>
      </c>
      <c r="I163" s="3">
        <v>1719.23</v>
      </c>
      <c r="J163" s="3">
        <v>2012.2</v>
      </c>
      <c r="K163" s="3">
        <v>1235</v>
      </c>
      <c r="L163" s="4">
        <v>1511900</v>
      </c>
      <c r="M163" s="3">
        <v>2599301789.5999999</v>
      </c>
      <c r="N163" s="4">
        <v>81098</v>
      </c>
      <c r="O163">
        <f t="shared" si="2"/>
        <v>9.1233405462307193E-3</v>
      </c>
    </row>
    <row r="164" spans="1:15" ht="14.25" customHeight="1" x14ac:dyDescent="0.3">
      <c r="A164" s="2">
        <v>45707</v>
      </c>
      <c r="B164" t="s">
        <v>15</v>
      </c>
      <c r="C164" s="3">
        <v>1723.2</v>
      </c>
      <c r="D164" s="3">
        <v>1731.6</v>
      </c>
      <c r="E164" s="3">
        <v>1703.45</v>
      </c>
      <c r="F164" s="3">
        <v>1725.5</v>
      </c>
      <c r="G164" s="3">
        <v>1710</v>
      </c>
      <c r="H164" s="3">
        <v>1712.3</v>
      </c>
      <c r="I164" s="3">
        <v>1714.19</v>
      </c>
      <c r="J164" s="3">
        <v>2012.2</v>
      </c>
      <c r="K164" s="3">
        <v>1235</v>
      </c>
      <c r="L164" s="4">
        <v>1294110</v>
      </c>
      <c r="M164" s="3">
        <v>2218347233.6500001</v>
      </c>
      <c r="N164" s="4">
        <v>76094</v>
      </c>
      <c r="O164">
        <f t="shared" si="2"/>
        <v>-7.6499565343378997E-3</v>
      </c>
    </row>
    <row r="165" spans="1:15" ht="14.25" customHeight="1" x14ac:dyDescent="0.3">
      <c r="A165" s="2">
        <v>45708</v>
      </c>
      <c r="B165" t="s">
        <v>15</v>
      </c>
      <c r="C165" s="3">
        <v>1705.2</v>
      </c>
      <c r="D165" s="3">
        <v>1714.55</v>
      </c>
      <c r="E165" s="3">
        <v>1683.55</v>
      </c>
      <c r="F165" s="3">
        <v>1712.3</v>
      </c>
      <c r="G165" s="3">
        <v>1690.9</v>
      </c>
      <c r="H165" s="3">
        <v>1687.55</v>
      </c>
      <c r="I165" s="3">
        <v>1696.15</v>
      </c>
      <c r="J165" s="3">
        <v>2012.2</v>
      </c>
      <c r="K165" s="3">
        <v>1235</v>
      </c>
      <c r="L165" s="4">
        <v>1681532</v>
      </c>
      <c r="M165" s="3">
        <v>2852128062.3499999</v>
      </c>
      <c r="N165" s="4">
        <v>127006</v>
      </c>
      <c r="O165">
        <f t="shared" si="2"/>
        <v>-1.4454242831279565E-2</v>
      </c>
    </row>
    <row r="166" spans="1:15" ht="14.25" customHeight="1" x14ac:dyDescent="0.3">
      <c r="A166" s="2">
        <v>45709</v>
      </c>
      <c r="B166" t="s">
        <v>15</v>
      </c>
      <c r="C166" s="3">
        <v>1690</v>
      </c>
      <c r="D166" s="3">
        <v>1704.15</v>
      </c>
      <c r="E166" s="3">
        <v>1685.15</v>
      </c>
      <c r="F166" s="3">
        <v>1687.55</v>
      </c>
      <c r="G166" s="3">
        <v>1695.65</v>
      </c>
      <c r="H166" s="3">
        <v>1700.7</v>
      </c>
      <c r="I166" s="3">
        <v>1696.62</v>
      </c>
      <c r="J166" s="3">
        <v>2012.2</v>
      </c>
      <c r="K166" s="3">
        <v>1235</v>
      </c>
      <c r="L166" s="4">
        <v>1222563</v>
      </c>
      <c r="M166" s="3">
        <v>2074229080.55</v>
      </c>
      <c r="N166" s="4">
        <v>113308</v>
      </c>
      <c r="O166">
        <f t="shared" si="2"/>
        <v>7.7923617078013048E-3</v>
      </c>
    </row>
    <row r="167" spans="1:15" ht="14.25" customHeight="1" x14ac:dyDescent="0.3">
      <c r="A167" s="2">
        <v>45712</v>
      </c>
      <c r="B167" t="s">
        <v>15</v>
      </c>
      <c r="C167" s="3">
        <v>1685</v>
      </c>
      <c r="D167" s="3">
        <v>1690</v>
      </c>
      <c r="E167" s="3">
        <v>1637.6</v>
      </c>
      <c r="F167" s="3">
        <v>1700.7</v>
      </c>
      <c r="G167" s="3">
        <v>1642.75</v>
      </c>
      <c r="H167" s="3">
        <v>1644.05</v>
      </c>
      <c r="I167" s="3">
        <v>1649.63</v>
      </c>
      <c r="J167" s="3">
        <v>2012.2</v>
      </c>
      <c r="K167" s="3">
        <v>1235</v>
      </c>
      <c r="L167" s="4">
        <v>4455420</v>
      </c>
      <c r="M167" s="3">
        <v>7349803888.0500002</v>
      </c>
      <c r="N167" s="4">
        <v>253025</v>
      </c>
      <c r="O167">
        <f t="shared" si="2"/>
        <v>-3.3309813606162218E-2</v>
      </c>
    </row>
    <row r="168" spans="1:15" ht="14.25" customHeight="1" x14ac:dyDescent="0.3">
      <c r="A168" s="2">
        <v>45713</v>
      </c>
      <c r="B168" t="s">
        <v>15</v>
      </c>
      <c r="C168" s="3">
        <v>1636</v>
      </c>
      <c r="D168" s="3">
        <v>1651.95</v>
      </c>
      <c r="E168" s="3">
        <v>1631.25</v>
      </c>
      <c r="F168" s="3">
        <v>1644.05</v>
      </c>
      <c r="G168" s="3">
        <v>1635.1</v>
      </c>
      <c r="H168" s="3">
        <v>1636.1</v>
      </c>
      <c r="I168" s="3">
        <v>1640.84</v>
      </c>
      <c r="J168" s="3">
        <v>2012.2</v>
      </c>
      <c r="K168" s="3">
        <v>1235</v>
      </c>
      <c r="L168" s="4">
        <v>1951519</v>
      </c>
      <c r="M168" s="3">
        <v>3202123013.9000001</v>
      </c>
      <c r="N168" s="4">
        <v>102638</v>
      </c>
      <c r="O168">
        <f t="shared" si="2"/>
        <v>-4.8356193546425265E-3</v>
      </c>
    </row>
    <row r="169" spans="1:15" ht="14.25" customHeight="1" x14ac:dyDescent="0.3">
      <c r="A169" s="2">
        <v>45715</v>
      </c>
      <c r="B169" t="s">
        <v>15</v>
      </c>
      <c r="C169" s="3">
        <v>1620</v>
      </c>
      <c r="D169" s="3">
        <v>1660</v>
      </c>
      <c r="E169" s="3">
        <v>1615.2</v>
      </c>
      <c r="F169" s="3">
        <v>1636.1</v>
      </c>
      <c r="G169" s="3">
        <v>1621</v>
      </c>
      <c r="H169" s="3">
        <v>1629.2</v>
      </c>
      <c r="I169" s="3">
        <v>1626.13</v>
      </c>
      <c r="J169" s="3">
        <v>2012.2</v>
      </c>
      <c r="K169" s="3">
        <v>1235</v>
      </c>
      <c r="L169" s="4">
        <v>2266866</v>
      </c>
      <c r="M169" s="3">
        <v>3686219278</v>
      </c>
      <c r="N169" s="4">
        <v>123330</v>
      </c>
      <c r="O169">
        <f t="shared" si="2"/>
        <v>-4.2173461279872036E-3</v>
      </c>
    </row>
    <row r="170" spans="1:15" ht="14.25" customHeight="1" x14ac:dyDescent="0.3">
      <c r="A170" s="2">
        <v>45716</v>
      </c>
      <c r="B170" t="s">
        <v>15</v>
      </c>
      <c r="C170" s="3">
        <v>1612</v>
      </c>
      <c r="D170" s="3">
        <v>1614.95</v>
      </c>
      <c r="E170" s="3">
        <v>1562.45</v>
      </c>
      <c r="F170" s="3">
        <v>1629.2</v>
      </c>
      <c r="G170" s="3">
        <v>1576.7</v>
      </c>
      <c r="H170" s="3">
        <v>1575.05</v>
      </c>
      <c r="I170" s="3">
        <v>1574.6</v>
      </c>
      <c r="J170" s="3">
        <v>2012.2</v>
      </c>
      <c r="K170" s="3">
        <v>1235</v>
      </c>
      <c r="L170" s="4">
        <v>4910121</v>
      </c>
      <c r="M170" s="3">
        <v>7731460507.5</v>
      </c>
      <c r="N170" s="4">
        <v>257806</v>
      </c>
      <c r="O170">
        <f t="shared" si="2"/>
        <v>-3.3237171617972065E-2</v>
      </c>
    </row>
    <row r="171" spans="1:15" ht="14.25" customHeight="1" x14ac:dyDescent="0.3">
      <c r="A171" s="2">
        <v>45719</v>
      </c>
      <c r="B171" t="s">
        <v>15</v>
      </c>
      <c r="C171" s="3">
        <v>1575.05</v>
      </c>
      <c r="D171" s="3">
        <v>1603.4</v>
      </c>
      <c r="E171" s="3">
        <v>1568.45</v>
      </c>
      <c r="F171" s="3">
        <v>1575.05</v>
      </c>
      <c r="G171" s="3">
        <v>1573.8</v>
      </c>
      <c r="H171" s="3">
        <v>1572.4</v>
      </c>
      <c r="I171" s="3">
        <v>1579.48</v>
      </c>
      <c r="J171" s="3">
        <v>2012.2</v>
      </c>
      <c r="K171" s="3">
        <v>1235</v>
      </c>
      <c r="L171" s="4">
        <v>1784684</v>
      </c>
      <c r="M171" s="3">
        <v>2818878989.6999998</v>
      </c>
      <c r="N171" s="4">
        <v>113522</v>
      </c>
      <c r="O171">
        <f t="shared" si="2"/>
        <v>-1.6824862702770475E-3</v>
      </c>
    </row>
    <row r="172" spans="1:15" ht="14.25" customHeight="1" x14ac:dyDescent="0.3">
      <c r="A172" s="2">
        <v>45720</v>
      </c>
      <c r="B172" t="s">
        <v>15</v>
      </c>
      <c r="C172" s="3">
        <v>1560</v>
      </c>
      <c r="D172" s="3">
        <v>1560</v>
      </c>
      <c r="E172" s="3">
        <v>1523</v>
      </c>
      <c r="F172" s="3">
        <v>1572.4</v>
      </c>
      <c r="G172" s="3">
        <v>1536.5</v>
      </c>
      <c r="H172" s="3">
        <v>1535.5</v>
      </c>
      <c r="I172" s="3">
        <v>1539.73</v>
      </c>
      <c r="J172" s="3">
        <v>2012.2</v>
      </c>
      <c r="K172" s="3">
        <v>1235</v>
      </c>
      <c r="L172" s="4">
        <v>3246644</v>
      </c>
      <c r="M172" s="3">
        <v>4998968940.1999998</v>
      </c>
      <c r="N172" s="4">
        <v>143743</v>
      </c>
      <c r="O172">
        <f t="shared" si="2"/>
        <v>-2.3467311116764238E-2</v>
      </c>
    </row>
    <row r="173" spans="1:15" ht="14.25" customHeight="1" x14ac:dyDescent="0.3">
      <c r="A173" s="2">
        <v>45721</v>
      </c>
      <c r="B173" t="s">
        <v>15</v>
      </c>
      <c r="C173" s="3">
        <v>1532</v>
      </c>
      <c r="D173" s="3">
        <v>1581.4</v>
      </c>
      <c r="E173" s="3">
        <v>1531.05</v>
      </c>
      <c r="F173" s="3">
        <v>1535.5</v>
      </c>
      <c r="G173" s="3">
        <v>1573</v>
      </c>
      <c r="H173" s="3">
        <v>1572.95</v>
      </c>
      <c r="I173" s="3">
        <v>1569.69</v>
      </c>
      <c r="J173" s="3">
        <v>2012.2</v>
      </c>
      <c r="K173" s="3">
        <v>1235</v>
      </c>
      <c r="L173" s="4">
        <v>3112003</v>
      </c>
      <c r="M173" s="3">
        <v>4884879584.8000002</v>
      </c>
      <c r="N173" s="4">
        <v>132849</v>
      </c>
      <c r="O173">
        <f t="shared" si="2"/>
        <v>2.4389449690654541E-2</v>
      </c>
    </row>
    <row r="174" spans="1:15" ht="14.25" customHeight="1" x14ac:dyDescent="0.3">
      <c r="A174" s="2">
        <v>45722</v>
      </c>
      <c r="B174" t="s">
        <v>15</v>
      </c>
      <c r="C174" s="3">
        <v>1580</v>
      </c>
      <c r="D174" s="3">
        <v>1594.7</v>
      </c>
      <c r="E174" s="3">
        <v>1575.15</v>
      </c>
      <c r="F174" s="3">
        <v>1572.95</v>
      </c>
      <c r="G174" s="3">
        <v>1582.65</v>
      </c>
      <c r="H174" s="3">
        <v>1585.45</v>
      </c>
      <c r="I174" s="3">
        <v>1584.44</v>
      </c>
      <c r="J174" s="3">
        <v>2012.2</v>
      </c>
      <c r="K174" s="3">
        <v>1235</v>
      </c>
      <c r="L174" s="4">
        <v>2011489</v>
      </c>
      <c r="M174" s="3">
        <v>3187093190.9499998</v>
      </c>
      <c r="N174" s="4">
        <v>107474</v>
      </c>
      <c r="O174">
        <f t="shared" si="2"/>
        <v>7.9468514574525563E-3</v>
      </c>
    </row>
    <row r="175" spans="1:15" ht="14.25" customHeight="1" x14ac:dyDescent="0.3">
      <c r="A175" s="2">
        <v>45723</v>
      </c>
      <c r="B175" t="s">
        <v>15</v>
      </c>
      <c r="C175" s="3">
        <v>1582.65</v>
      </c>
      <c r="D175" s="3">
        <v>1587</v>
      </c>
      <c r="E175" s="3">
        <v>1555.6</v>
      </c>
      <c r="F175" s="3">
        <v>1585.45</v>
      </c>
      <c r="G175" s="3">
        <v>1558.6</v>
      </c>
      <c r="H175" s="3">
        <v>1557.95</v>
      </c>
      <c r="I175" s="3">
        <v>1564.26</v>
      </c>
      <c r="J175" s="3">
        <v>2012.2</v>
      </c>
      <c r="K175" s="3">
        <v>1235</v>
      </c>
      <c r="L175" s="4">
        <v>2091986</v>
      </c>
      <c r="M175" s="3">
        <v>3272406893.8499999</v>
      </c>
      <c r="N175" s="4">
        <v>117645</v>
      </c>
      <c r="O175">
        <f t="shared" si="2"/>
        <v>-1.7345233214544765E-2</v>
      </c>
    </row>
    <row r="176" spans="1:15" ht="14.25" customHeight="1" x14ac:dyDescent="0.3">
      <c r="A176" s="2">
        <v>45726</v>
      </c>
      <c r="B176" t="s">
        <v>15</v>
      </c>
      <c r="C176" s="3">
        <v>1557</v>
      </c>
      <c r="D176" s="3">
        <v>1572.45</v>
      </c>
      <c r="E176" s="3">
        <v>1547</v>
      </c>
      <c r="F176" s="3">
        <v>1557.95</v>
      </c>
      <c r="G176" s="3">
        <v>1549.8</v>
      </c>
      <c r="H176" s="3">
        <v>1549.3</v>
      </c>
      <c r="I176" s="3">
        <v>1558.35</v>
      </c>
      <c r="J176" s="3">
        <v>2012.2</v>
      </c>
      <c r="K176" s="3">
        <v>1235</v>
      </c>
      <c r="L176" s="4">
        <v>1855766</v>
      </c>
      <c r="M176" s="3">
        <v>2891926346.0999999</v>
      </c>
      <c r="N176" s="4">
        <v>111573</v>
      </c>
      <c r="O176">
        <f t="shared" si="2"/>
        <v>-5.552167912962605E-3</v>
      </c>
    </row>
    <row r="177" spans="1:15" ht="14.25" customHeight="1" x14ac:dyDescent="0.3">
      <c r="A177" s="2">
        <v>45727</v>
      </c>
      <c r="B177" t="s">
        <v>15</v>
      </c>
      <c r="C177" s="3">
        <v>1529.95</v>
      </c>
      <c r="D177" s="3">
        <v>1573.95</v>
      </c>
      <c r="E177" s="3">
        <v>1522.6</v>
      </c>
      <c r="F177" s="3">
        <v>1549.3</v>
      </c>
      <c r="G177" s="3">
        <v>1567</v>
      </c>
      <c r="H177" s="3">
        <v>1567.85</v>
      </c>
      <c r="I177" s="3">
        <v>1553.21</v>
      </c>
      <c r="J177" s="3">
        <v>2012.2</v>
      </c>
      <c r="K177" s="3">
        <v>1235</v>
      </c>
      <c r="L177" s="4">
        <v>1846190</v>
      </c>
      <c r="M177" s="3">
        <v>2867523976</v>
      </c>
      <c r="N177" s="4">
        <v>116653</v>
      </c>
      <c r="O177">
        <f t="shared" si="2"/>
        <v>1.1973149164138615E-2</v>
      </c>
    </row>
    <row r="178" spans="1:15" ht="14.25" customHeight="1" x14ac:dyDescent="0.3">
      <c r="A178" s="2">
        <v>45728</v>
      </c>
      <c r="B178" t="s">
        <v>15</v>
      </c>
      <c r="C178" s="3">
        <v>1556</v>
      </c>
      <c r="D178" s="3">
        <v>1565</v>
      </c>
      <c r="E178" s="3">
        <v>1507.1</v>
      </c>
      <c r="F178" s="3">
        <v>1567.85</v>
      </c>
      <c r="G178" s="3">
        <v>1537.6</v>
      </c>
      <c r="H178" s="3">
        <v>1540.6</v>
      </c>
      <c r="I178" s="3">
        <v>1526.42</v>
      </c>
      <c r="J178" s="3">
        <v>2012.2</v>
      </c>
      <c r="K178" s="3">
        <v>1235</v>
      </c>
      <c r="L178" s="4">
        <v>3113860</v>
      </c>
      <c r="M178" s="3">
        <v>4753043277.8999996</v>
      </c>
      <c r="N178" s="4">
        <v>127422</v>
      </c>
      <c r="O178">
        <f t="shared" si="2"/>
        <v>-1.7380489204962209E-2</v>
      </c>
    </row>
    <row r="179" spans="1:15" ht="14.25" customHeight="1" x14ac:dyDescent="0.3">
      <c r="A179" s="2">
        <v>45729</v>
      </c>
      <c r="B179" t="s">
        <v>15</v>
      </c>
      <c r="C179" s="3">
        <v>1540.6</v>
      </c>
      <c r="D179" s="3">
        <v>1547.95</v>
      </c>
      <c r="E179" s="3">
        <v>1529.15</v>
      </c>
      <c r="F179" s="3">
        <v>1540.6</v>
      </c>
      <c r="G179" s="3">
        <v>1532</v>
      </c>
      <c r="H179" s="3">
        <v>1534.75</v>
      </c>
      <c r="I179" s="3">
        <v>1536.04</v>
      </c>
      <c r="J179" s="3">
        <v>2012.2</v>
      </c>
      <c r="K179" s="3">
        <v>1235</v>
      </c>
      <c r="L179" s="4">
        <v>1983351</v>
      </c>
      <c r="M179" s="3">
        <v>3046509090.1999998</v>
      </c>
      <c r="N179" s="4">
        <v>109012</v>
      </c>
      <c r="O179">
        <f t="shared" si="2"/>
        <v>-3.7972218616123001E-3</v>
      </c>
    </row>
    <row r="180" spans="1:15" ht="14.25" customHeight="1" x14ac:dyDescent="0.3">
      <c r="A180" s="2">
        <v>45733</v>
      </c>
      <c r="B180" t="s">
        <v>15</v>
      </c>
      <c r="C180" s="3">
        <v>1528</v>
      </c>
      <c r="D180" s="3">
        <v>1547.55</v>
      </c>
      <c r="E180" s="3">
        <v>1519.05</v>
      </c>
      <c r="F180" s="3">
        <v>1534.75</v>
      </c>
      <c r="G180" s="3">
        <v>1545</v>
      </c>
      <c r="H180" s="3">
        <v>1545.15</v>
      </c>
      <c r="I180" s="3">
        <v>1532.81</v>
      </c>
      <c r="J180" s="3">
        <v>2012.2</v>
      </c>
      <c r="K180" s="3">
        <v>1235</v>
      </c>
      <c r="L180" s="4">
        <v>2029100</v>
      </c>
      <c r="M180" s="3">
        <v>3110221525.1999998</v>
      </c>
      <c r="N180" s="4">
        <v>102852</v>
      </c>
      <c r="O180">
        <f t="shared" si="2"/>
        <v>6.7763479394038709E-3</v>
      </c>
    </row>
    <row r="181" spans="1:15" ht="14.25" customHeight="1" x14ac:dyDescent="0.3">
      <c r="A181" s="2">
        <v>45734</v>
      </c>
      <c r="B181" t="s">
        <v>15</v>
      </c>
      <c r="C181" s="3">
        <v>1545.15</v>
      </c>
      <c r="D181" s="3">
        <v>1560.95</v>
      </c>
      <c r="E181" s="3">
        <v>1530.65</v>
      </c>
      <c r="F181" s="3">
        <v>1545.15</v>
      </c>
      <c r="G181" s="3">
        <v>1560.95</v>
      </c>
      <c r="H181" s="3">
        <v>1558.2</v>
      </c>
      <c r="I181" s="3">
        <v>1553.11</v>
      </c>
      <c r="J181" s="3">
        <v>2012.2</v>
      </c>
      <c r="K181" s="3">
        <v>1235</v>
      </c>
      <c r="L181" s="4">
        <v>2930865</v>
      </c>
      <c r="M181" s="3">
        <v>4551948771.1499996</v>
      </c>
      <c r="N181" s="4">
        <v>110392</v>
      </c>
      <c r="O181">
        <f t="shared" si="2"/>
        <v>8.4457819629161924E-3</v>
      </c>
    </row>
    <row r="182" spans="1:15" ht="14.25" customHeight="1" x14ac:dyDescent="0.3">
      <c r="A182" s="2">
        <v>45735</v>
      </c>
      <c r="B182" t="s">
        <v>15</v>
      </c>
      <c r="C182" s="3">
        <v>1558.5</v>
      </c>
      <c r="D182" s="3">
        <v>1561.35</v>
      </c>
      <c r="E182" s="3">
        <v>1525.1</v>
      </c>
      <c r="F182" s="3">
        <v>1558.2</v>
      </c>
      <c r="G182" s="3">
        <v>1547</v>
      </c>
      <c r="H182" s="3">
        <v>1544.45</v>
      </c>
      <c r="I182" s="3">
        <v>1536.19</v>
      </c>
      <c r="J182" s="3">
        <v>2012.2</v>
      </c>
      <c r="K182" s="3">
        <v>1235</v>
      </c>
      <c r="L182" s="4">
        <v>4522829</v>
      </c>
      <c r="M182" s="3">
        <v>6947916763.1000004</v>
      </c>
      <c r="N182" s="4">
        <v>163793</v>
      </c>
      <c r="O182">
        <f t="shared" si="2"/>
        <v>-8.8242844307534329E-3</v>
      </c>
    </row>
    <row r="183" spans="1:15" ht="14.25" customHeight="1" x14ac:dyDescent="0.3">
      <c r="A183" s="2">
        <v>45736</v>
      </c>
      <c r="B183" t="s">
        <v>15</v>
      </c>
      <c r="C183" s="3">
        <v>1547.85</v>
      </c>
      <c r="D183" s="3">
        <v>1582.1</v>
      </c>
      <c r="E183" s="3">
        <v>1547.05</v>
      </c>
      <c r="F183" s="3">
        <v>1544.45</v>
      </c>
      <c r="G183" s="3">
        <v>1555</v>
      </c>
      <c r="H183" s="3">
        <v>1562</v>
      </c>
      <c r="I183" s="3">
        <v>1568.78</v>
      </c>
      <c r="J183" s="3">
        <v>2012.2</v>
      </c>
      <c r="K183" s="3">
        <v>1235</v>
      </c>
      <c r="L183" s="4">
        <v>4608677</v>
      </c>
      <c r="M183" s="3">
        <v>7229982395.5</v>
      </c>
      <c r="N183" s="4">
        <v>183935</v>
      </c>
      <c r="O183">
        <f t="shared" si="2"/>
        <v>1.1363268477451491E-2</v>
      </c>
    </row>
    <row r="184" spans="1:15" ht="14.25" customHeight="1" x14ac:dyDescent="0.3">
      <c r="A184" s="2">
        <v>45737</v>
      </c>
      <c r="B184" t="s">
        <v>15</v>
      </c>
      <c r="C184" s="3">
        <v>1535.1</v>
      </c>
      <c r="D184" s="3">
        <v>1592.05</v>
      </c>
      <c r="E184" s="3">
        <v>1521.5</v>
      </c>
      <c r="F184" s="3">
        <v>1562</v>
      </c>
      <c r="G184" s="3">
        <v>1565</v>
      </c>
      <c r="H184" s="3">
        <v>1566.7</v>
      </c>
      <c r="I184" s="3">
        <v>1567.64</v>
      </c>
      <c r="J184" s="3">
        <v>2012.2</v>
      </c>
      <c r="K184" s="3">
        <v>1235</v>
      </c>
      <c r="L184" s="4">
        <v>8109210</v>
      </c>
      <c r="M184" s="3">
        <v>12712307970.700001</v>
      </c>
      <c r="N184" s="4">
        <v>157465</v>
      </c>
      <c r="O184">
        <f t="shared" si="2"/>
        <v>3.0089628681178268E-3</v>
      </c>
    </row>
    <row r="185" spans="1:15" ht="14.25" customHeight="1" x14ac:dyDescent="0.3">
      <c r="A185" s="2">
        <v>45740</v>
      </c>
      <c r="B185" t="s">
        <v>15</v>
      </c>
      <c r="C185" s="3">
        <v>1591</v>
      </c>
      <c r="D185" s="3">
        <v>1610.9</v>
      </c>
      <c r="E185" s="3">
        <v>1560</v>
      </c>
      <c r="F185" s="3">
        <v>1566.7</v>
      </c>
      <c r="G185" s="3">
        <v>1602.85</v>
      </c>
      <c r="H185" s="3">
        <v>1604.15</v>
      </c>
      <c r="I185" s="3">
        <v>1590.29</v>
      </c>
      <c r="J185" s="3">
        <v>2012.2</v>
      </c>
      <c r="K185" s="3">
        <v>1235</v>
      </c>
      <c r="L185" s="4">
        <v>2487843</v>
      </c>
      <c r="M185" s="3">
        <v>3956391435.8000002</v>
      </c>
      <c r="N185" s="4">
        <v>100840</v>
      </c>
      <c r="O185">
        <f t="shared" si="2"/>
        <v>2.3903746728793033E-2</v>
      </c>
    </row>
    <row r="186" spans="1:15" ht="14.25" customHeight="1" x14ac:dyDescent="0.3">
      <c r="A186" s="2">
        <v>45741</v>
      </c>
      <c r="B186" t="s">
        <v>15</v>
      </c>
      <c r="C186" s="3">
        <v>1622</v>
      </c>
      <c r="D186" s="3">
        <v>1658.95</v>
      </c>
      <c r="E186" s="3">
        <v>1618.95</v>
      </c>
      <c r="F186" s="3">
        <v>1604.15</v>
      </c>
      <c r="G186" s="3">
        <v>1621.05</v>
      </c>
      <c r="H186" s="3">
        <v>1624.9</v>
      </c>
      <c r="I186" s="3">
        <v>1633.44</v>
      </c>
      <c r="J186" s="3">
        <v>2012.2</v>
      </c>
      <c r="K186" s="3">
        <v>1235</v>
      </c>
      <c r="L186" s="4">
        <v>4906013</v>
      </c>
      <c r="M186" s="3">
        <v>8013690211.6499996</v>
      </c>
      <c r="N186" s="4">
        <v>175718</v>
      </c>
      <c r="O186">
        <f t="shared" si="2"/>
        <v>1.2935199326746251E-2</v>
      </c>
    </row>
    <row r="187" spans="1:15" ht="14.25" customHeight="1" x14ac:dyDescent="0.3">
      <c r="A187" s="2">
        <v>45742</v>
      </c>
      <c r="B187" t="s">
        <v>15</v>
      </c>
      <c r="C187" s="3">
        <v>1624.9</v>
      </c>
      <c r="D187" s="3">
        <v>1644.95</v>
      </c>
      <c r="E187" s="3">
        <v>1622</v>
      </c>
      <c r="F187" s="3">
        <v>1624.9</v>
      </c>
      <c r="G187" s="3">
        <v>1625.65</v>
      </c>
      <c r="H187" s="3">
        <v>1633.4</v>
      </c>
      <c r="I187" s="3">
        <v>1634.48</v>
      </c>
      <c r="J187" s="3">
        <v>2012.2</v>
      </c>
      <c r="K187" s="3">
        <v>1235</v>
      </c>
      <c r="L187" s="4">
        <v>3096513</v>
      </c>
      <c r="M187" s="3">
        <v>5061183927.4499998</v>
      </c>
      <c r="N187" s="4">
        <v>106271</v>
      </c>
      <c r="O187">
        <f t="shared" si="2"/>
        <v>5.2310911440704043E-3</v>
      </c>
    </row>
    <row r="188" spans="1:15" ht="14.25" customHeight="1" x14ac:dyDescent="0.3">
      <c r="A188" s="2">
        <v>45743</v>
      </c>
      <c r="B188" t="s">
        <v>15</v>
      </c>
      <c r="C188" s="3">
        <v>1625.65</v>
      </c>
      <c r="D188" s="3">
        <v>1645</v>
      </c>
      <c r="E188" s="3">
        <v>1613.55</v>
      </c>
      <c r="F188" s="3">
        <v>1633.4</v>
      </c>
      <c r="G188" s="3">
        <v>1637.25</v>
      </c>
      <c r="H188" s="3">
        <v>1630.15</v>
      </c>
      <c r="I188" s="3">
        <v>1626.44</v>
      </c>
      <c r="J188" s="3">
        <v>2012.2</v>
      </c>
      <c r="K188" s="3">
        <v>1235</v>
      </c>
      <c r="L188" s="4">
        <v>3383080</v>
      </c>
      <c r="M188" s="3">
        <v>5502369601.75</v>
      </c>
      <c r="N188" s="4">
        <v>112017</v>
      </c>
      <c r="O188">
        <f t="shared" si="2"/>
        <v>-1.9897147055222236E-3</v>
      </c>
    </row>
    <row r="189" spans="1:15" ht="14.25" customHeight="1" x14ac:dyDescent="0.3">
      <c r="A189" s="2">
        <v>45744</v>
      </c>
      <c r="B189" t="s">
        <v>15</v>
      </c>
      <c r="C189" s="3">
        <v>1616.1</v>
      </c>
      <c r="D189" s="3">
        <v>1625.55</v>
      </c>
      <c r="E189" s="3">
        <v>1581.6</v>
      </c>
      <c r="F189" s="3">
        <v>1630.15</v>
      </c>
      <c r="G189" s="3">
        <v>1591</v>
      </c>
      <c r="H189" s="3">
        <v>1592.5</v>
      </c>
      <c r="I189" s="3">
        <v>1603.17</v>
      </c>
      <c r="J189" s="3">
        <v>2012.2</v>
      </c>
      <c r="K189" s="3">
        <v>1235</v>
      </c>
      <c r="L189" s="4">
        <v>2211077</v>
      </c>
      <c r="M189" s="3">
        <v>3544737955.4499998</v>
      </c>
      <c r="N189" s="4">
        <v>80891</v>
      </c>
      <c r="O189">
        <f t="shared" si="2"/>
        <v>-2.3096034107290796E-2</v>
      </c>
    </row>
    <row r="190" spans="1:15" ht="14.25" customHeight="1" x14ac:dyDescent="0.3">
      <c r="A190" s="2">
        <v>45748</v>
      </c>
      <c r="B190" t="s">
        <v>15</v>
      </c>
      <c r="C190" s="3">
        <v>1577</v>
      </c>
      <c r="D190" s="3">
        <v>1585</v>
      </c>
      <c r="E190" s="3">
        <v>1526.1</v>
      </c>
      <c r="F190" s="3">
        <v>1592.5</v>
      </c>
      <c r="G190" s="3">
        <v>1534.5</v>
      </c>
      <c r="H190" s="3">
        <v>1530.35</v>
      </c>
      <c r="I190" s="3">
        <v>1549.26</v>
      </c>
      <c r="J190" s="3">
        <v>2012.2</v>
      </c>
      <c r="K190" s="3">
        <v>1235</v>
      </c>
      <c r="L190" s="4">
        <v>4126827</v>
      </c>
      <c r="M190" s="3">
        <v>6393517652.3500004</v>
      </c>
      <c r="N190" s="4">
        <v>191916</v>
      </c>
      <c r="O190">
        <f t="shared" si="2"/>
        <v>-3.9026687598116228E-2</v>
      </c>
    </row>
    <row r="191" spans="1:15" ht="14.25" customHeight="1" x14ac:dyDescent="0.3">
      <c r="A191" s="2">
        <v>45749</v>
      </c>
      <c r="B191" t="s">
        <v>15</v>
      </c>
      <c r="C191" s="3">
        <v>1515</v>
      </c>
      <c r="D191" s="3">
        <v>1538.55</v>
      </c>
      <c r="E191" s="3">
        <v>1506.4</v>
      </c>
      <c r="F191" s="3">
        <v>1530.35</v>
      </c>
      <c r="G191" s="3">
        <v>1531</v>
      </c>
      <c r="H191" s="3">
        <v>1527.55</v>
      </c>
      <c r="I191" s="3">
        <v>1524.27</v>
      </c>
      <c r="J191" s="3">
        <v>2012.2</v>
      </c>
      <c r="K191" s="3">
        <v>1235</v>
      </c>
      <c r="L191" s="4">
        <v>3167863</v>
      </c>
      <c r="M191" s="3">
        <v>4828663976.3999996</v>
      </c>
      <c r="N191" s="4">
        <v>108710</v>
      </c>
      <c r="O191">
        <f t="shared" si="2"/>
        <v>-1.829646812820567E-3</v>
      </c>
    </row>
    <row r="192" spans="1:15" ht="14.25" customHeight="1" x14ac:dyDescent="0.3">
      <c r="A192" s="2">
        <v>45750</v>
      </c>
      <c r="B192" t="s">
        <v>15</v>
      </c>
      <c r="C192" s="3">
        <v>1500</v>
      </c>
      <c r="D192" s="3">
        <v>1500</v>
      </c>
      <c r="E192" s="3">
        <v>1465</v>
      </c>
      <c r="F192" s="3">
        <v>1527.55</v>
      </c>
      <c r="G192" s="3">
        <v>1468.4</v>
      </c>
      <c r="H192" s="3">
        <v>1470.1</v>
      </c>
      <c r="I192" s="3">
        <v>1477.26</v>
      </c>
      <c r="J192" s="3">
        <v>2012.2</v>
      </c>
      <c r="K192" s="3">
        <v>1235</v>
      </c>
      <c r="L192" s="4">
        <v>3966161</v>
      </c>
      <c r="M192" s="3">
        <v>5859047298.6999998</v>
      </c>
      <c r="N192" s="4">
        <v>214252</v>
      </c>
      <c r="O192">
        <f t="shared" si="2"/>
        <v>-3.760924355994897E-2</v>
      </c>
    </row>
    <row r="193" spans="1:15" ht="14.25" customHeight="1" x14ac:dyDescent="0.3">
      <c r="A193" s="2">
        <v>45751</v>
      </c>
      <c r="B193" t="s">
        <v>15</v>
      </c>
      <c r="C193" s="3">
        <v>1449</v>
      </c>
      <c r="D193" s="3">
        <v>1456.2</v>
      </c>
      <c r="E193" s="3">
        <v>1419.1</v>
      </c>
      <c r="F193" s="3">
        <v>1470.1</v>
      </c>
      <c r="G193" s="3">
        <v>1427</v>
      </c>
      <c r="H193" s="3">
        <v>1422.1</v>
      </c>
      <c r="I193" s="3">
        <v>1433.64</v>
      </c>
      <c r="J193" s="3">
        <v>2012.2</v>
      </c>
      <c r="K193" s="3">
        <v>1235</v>
      </c>
      <c r="L193" s="4">
        <v>4421312</v>
      </c>
      <c r="M193" s="3">
        <v>6338587669.1999998</v>
      </c>
      <c r="N193" s="4">
        <v>196195</v>
      </c>
      <c r="O193">
        <f t="shared" si="2"/>
        <v>-3.2650840078906201E-2</v>
      </c>
    </row>
    <row r="194" spans="1:15" ht="14.25" customHeight="1" x14ac:dyDescent="0.3">
      <c r="A194" s="2">
        <v>45754</v>
      </c>
      <c r="B194" t="s">
        <v>15</v>
      </c>
      <c r="C194" s="3">
        <v>1345</v>
      </c>
      <c r="D194" s="3">
        <v>1383.75</v>
      </c>
      <c r="E194" s="3">
        <v>1302.75</v>
      </c>
      <c r="F194" s="3">
        <v>1422.1</v>
      </c>
      <c r="G194" s="3">
        <v>1377.95</v>
      </c>
      <c r="H194" s="3">
        <v>1374.1</v>
      </c>
      <c r="I194" s="3">
        <v>1341.53</v>
      </c>
      <c r="J194" s="3">
        <v>2012.2</v>
      </c>
      <c r="K194" s="3">
        <v>1235</v>
      </c>
      <c r="L194" s="4">
        <v>6484139</v>
      </c>
      <c r="M194" s="3">
        <v>8698642588.8500004</v>
      </c>
      <c r="N194" s="4">
        <v>266089</v>
      </c>
      <c r="O194">
        <f t="shared" si="2"/>
        <v>-3.3752900639898741E-2</v>
      </c>
    </row>
    <row r="195" spans="1:15" ht="14.25" customHeight="1" x14ac:dyDescent="0.3">
      <c r="A195" s="2">
        <v>45755</v>
      </c>
      <c r="B195" t="s">
        <v>15</v>
      </c>
      <c r="C195" s="3">
        <v>1380</v>
      </c>
      <c r="D195" s="3">
        <v>1424.25</v>
      </c>
      <c r="E195" s="3">
        <v>1372</v>
      </c>
      <c r="F195" s="3">
        <v>1374.1</v>
      </c>
      <c r="G195" s="3">
        <v>1402.9</v>
      </c>
      <c r="H195" s="3">
        <v>1403.35</v>
      </c>
      <c r="I195" s="3">
        <v>1396.09</v>
      </c>
      <c r="J195" s="3">
        <v>2012.2</v>
      </c>
      <c r="K195" s="3">
        <v>1235</v>
      </c>
      <c r="L195" s="4">
        <v>3938359</v>
      </c>
      <c r="M195" s="3">
        <v>5498293565.6000004</v>
      </c>
      <c r="N195" s="4">
        <v>147712</v>
      </c>
      <c r="O195">
        <f t="shared" ref="O195:O258" si="3">(H195-H194)/H194</f>
        <v>2.1286660359508044E-2</v>
      </c>
    </row>
    <row r="196" spans="1:15" ht="14.25" customHeight="1" x14ac:dyDescent="0.3">
      <c r="A196" s="2">
        <v>45756</v>
      </c>
      <c r="B196" t="s">
        <v>15</v>
      </c>
      <c r="C196" s="3">
        <v>1380.65</v>
      </c>
      <c r="D196" s="3">
        <v>1388.7</v>
      </c>
      <c r="E196" s="3">
        <v>1357.05</v>
      </c>
      <c r="F196" s="3">
        <v>1403.35</v>
      </c>
      <c r="G196" s="3">
        <v>1380.7</v>
      </c>
      <c r="H196" s="3">
        <v>1380</v>
      </c>
      <c r="I196" s="3">
        <v>1377.67</v>
      </c>
      <c r="J196" s="3">
        <v>2012.2</v>
      </c>
      <c r="K196" s="3">
        <v>1235</v>
      </c>
      <c r="L196" s="4">
        <v>3306801</v>
      </c>
      <c r="M196" s="3">
        <v>4555685085.3500004</v>
      </c>
      <c r="N196" s="4">
        <v>135840</v>
      </c>
      <c r="O196">
        <f t="shared" si="3"/>
        <v>-1.6638757259414907E-2</v>
      </c>
    </row>
    <row r="197" spans="1:15" ht="14.25" customHeight="1" x14ac:dyDescent="0.3">
      <c r="A197" s="2">
        <v>45758</v>
      </c>
      <c r="B197" t="s">
        <v>15</v>
      </c>
      <c r="C197" s="3">
        <v>1360</v>
      </c>
      <c r="D197" s="3">
        <v>1425</v>
      </c>
      <c r="E197" s="3">
        <v>1360</v>
      </c>
      <c r="F197" s="3">
        <v>1380</v>
      </c>
      <c r="G197" s="3">
        <v>1393.5</v>
      </c>
      <c r="H197" s="3">
        <v>1390.55</v>
      </c>
      <c r="I197" s="3">
        <v>1399.73</v>
      </c>
      <c r="J197" s="3">
        <v>2012.2</v>
      </c>
      <c r="K197" s="3">
        <v>1235</v>
      </c>
      <c r="L197" s="4">
        <v>4859622</v>
      </c>
      <c r="M197" s="3">
        <v>6802145997.6000004</v>
      </c>
      <c r="N197" s="4">
        <v>185045</v>
      </c>
      <c r="O197">
        <f t="shared" si="3"/>
        <v>7.6449275362318507E-3</v>
      </c>
    </row>
    <row r="198" spans="1:15" ht="14.25" customHeight="1" x14ac:dyDescent="0.3">
      <c r="A198" s="2">
        <v>45762</v>
      </c>
      <c r="B198" t="s">
        <v>15</v>
      </c>
      <c r="C198" s="3">
        <v>1420</v>
      </c>
      <c r="D198" s="3">
        <v>1428.8</v>
      </c>
      <c r="E198" s="3">
        <v>1406</v>
      </c>
      <c r="F198" s="3">
        <v>1390.55</v>
      </c>
      <c r="G198" s="3">
        <v>1426</v>
      </c>
      <c r="H198" s="3">
        <v>1426.5</v>
      </c>
      <c r="I198" s="3">
        <v>1420.09</v>
      </c>
      <c r="J198" s="3">
        <v>2012.2</v>
      </c>
      <c r="K198" s="3">
        <v>1235</v>
      </c>
      <c r="L198" s="4">
        <v>3265147</v>
      </c>
      <c r="M198" s="3">
        <v>4636787070.1000004</v>
      </c>
      <c r="N198" s="4">
        <v>94027</v>
      </c>
      <c r="O198">
        <f t="shared" si="3"/>
        <v>2.585307971665891E-2</v>
      </c>
    </row>
    <row r="199" spans="1:15" ht="14.25" customHeight="1" x14ac:dyDescent="0.3">
      <c r="A199" s="2">
        <v>45763</v>
      </c>
      <c r="B199" t="s">
        <v>15</v>
      </c>
      <c r="C199" s="3">
        <v>1415</v>
      </c>
      <c r="D199" s="3">
        <v>1436.1</v>
      </c>
      <c r="E199" s="3">
        <v>1405.5</v>
      </c>
      <c r="F199" s="3">
        <v>1426.5</v>
      </c>
      <c r="G199" s="3">
        <v>1434</v>
      </c>
      <c r="H199" s="3">
        <v>1431.7</v>
      </c>
      <c r="I199" s="3">
        <v>1424.34</v>
      </c>
      <c r="J199" s="3">
        <v>2012.2</v>
      </c>
      <c r="K199" s="3">
        <v>1235</v>
      </c>
      <c r="L199" s="4">
        <v>2553111</v>
      </c>
      <c r="M199" s="3">
        <v>3636487592.8000002</v>
      </c>
      <c r="N199" s="4">
        <v>93892</v>
      </c>
      <c r="O199">
        <f t="shared" si="3"/>
        <v>3.6452856642131409E-3</v>
      </c>
    </row>
    <row r="200" spans="1:15" ht="14.25" customHeight="1" x14ac:dyDescent="0.3">
      <c r="A200" s="2">
        <v>45764</v>
      </c>
      <c r="B200" t="s">
        <v>15</v>
      </c>
      <c r="C200" s="3">
        <v>1420</v>
      </c>
      <c r="D200" s="3">
        <v>1442.1</v>
      </c>
      <c r="E200" s="3">
        <v>1384</v>
      </c>
      <c r="F200" s="3">
        <v>1431.7</v>
      </c>
      <c r="G200" s="3">
        <v>1439</v>
      </c>
      <c r="H200" s="3">
        <v>1438</v>
      </c>
      <c r="I200" s="3">
        <v>1409.58</v>
      </c>
      <c r="J200" s="3">
        <v>2012.2</v>
      </c>
      <c r="K200" s="3">
        <v>1235</v>
      </c>
      <c r="L200" s="4">
        <v>3549969</v>
      </c>
      <c r="M200" s="3">
        <v>5003973557.1999998</v>
      </c>
      <c r="N200" s="4">
        <v>168356</v>
      </c>
      <c r="O200">
        <f t="shared" si="3"/>
        <v>4.4003632045819339E-3</v>
      </c>
    </row>
    <row r="201" spans="1:15" ht="14.25" customHeight="1" x14ac:dyDescent="0.3">
      <c r="A201" s="2">
        <v>45768</v>
      </c>
      <c r="B201" t="s">
        <v>15</v>
      </c>
      <c r="C201" s="3">
        <v>1435</v>
      </c>
      <c r="D201" s="3">
        <v>1499</v>
      </c>
      <c r="E201" s="3">
        <v>1430</v>
      </c>
      <c r="F201" s="3">
        <v>1438</v>
      </c>
      <c r="G201" s="3">
        <v>1478</v>
      </c>
      <c r="H201" s="3">
        <v>1482</v>
      </c>
      <c r="I201" s="3">
        <v>1473.95</v>
      </c>
      <c r="J201" s="3">
        <v>2012.2</v>
      </c>
      <c r="K201" s="3">
        <v>1235</v>
      </c>
      <c r="L201" s="4">
        <v>2840104</v>
      </c>
      <c r="M201" s="3">
        <v>4186173438.5999999</v>
      </c>
      <c r="N201" s="4">
        <v>97809</v>
      </c>
      <c r="O201">
        <f t="shared" si="3"/>
        <v>3.0598052851182198E-2</v>
      </c>
    </row>
    <row r="202" spans="1:15" ht="14.25" customHeight="1" x14ac:dyDescent="0.3">
      <c r="A202" s="2">
        <v>45769</v>
      </c>
      <c r="B202" t="s">
        <v>15</v>
      </c>
      <c r="C202" s="3">
        <v>1490</v>
      </c>
      <c r="D202" s="3">
        <v>1499.9</v>
      </c>
      <c r="E202" s="3">
        <v>1464.5</v>
      </c>
      <c r="F202" s="3">
        <v>1482</v>
      </c>
      <c r="G202" s="3">
        <v>1485.9</v>
      </c>
      <c r="H202" s="3">
        <v>1479.9</v>
      </c>
      <c r="I202" s="3">
        <v>1480.59</v>
      </c>
      <c r="J202" s="3">
        <v>2012.2</v>
      </c>
      <c r="K202" s="3">
        <v>1235</v>
      </c>
      <c r="L202" s="4">
        <v>2608145</v>
      </c>
      <c r="M202" s="3">
        <v>3861596452.8000002</v>
      </c>
      <c r="N202" s="4">
        <v>95264</v>
      </c>
      <c r="O202">
        <f t="shared" si="3"/>
        <v>-1.4170040485829347E-3</v>
      </c>
    </row>
    <row r="203" spans="1:15" ht="14.25" customHeight="1" x14ac:dyDescent="0.3">
      <c r="A203" s="2">
        <v>45770</v>
      </c>
      <c r="B203" t="s">
        <v>15</v>
      </c>
      <c r="C203" s="3">
        <v>1555</v>
      </c>
      <c r="D203" s="3">
        <v>1600</v>
      </c>
      <c r="E203" s="3">
        <v>1543.7</v>
      </c>
      <c r="F203" s="3">
        <v>1479.9</v>
      </c>
      <c r="G203" s="3">
        <v>1594.4</v>
      </c>
      <c r="H203" s="3">
        <v>1594</v>
      </c>
      <c r="I203" s="3">
        <v>1583.28</v>
      </c>
      <c r="J203" s="3">
        <v>2012.2</v>
      </c>
      <c r="K203" s="3">
        <v>1235</v>
      </c>
      <c r="L203" s="4">
        <v>13293318</v>
      </c>
      <c r="M203" s="3">
        <v>21046993578.599998</v>
      </c>
      <c r="N203" s="4">
        <v>329993</v>
      </c>
      <c r="O203">
        <f t="shared" si="3"/>
        <v>7.7099804040813499E-2</v>
      </c>
    </row>
    <row r="204" spans="1:15" ht="14.25" customHeight="1" x14ac:dyDescent="0.3">
      <c r="A204" s="2">
        <v>45771</v>
      </c>
      <c r="B204" t="s">
        <v>15</v>
      </c>
      <c r="C204" s="3">
        <v>1595</v>
      </c>
      <c r="D204" s="3">
        <v>1603.3</v>
      </c>
      <c r="E204" s="3">
        <v>1576.1</v>
      </c>
      <c r="F204" s="3">
        <v>1594</v>
      </c>
      <c r="G204" s="3">
        <v>1590.3</v>
      </c>
      <c r="H204" s="3">
        <v>1586.7</v>
      </c>
      <c r="I204" s="3">
        <v>1587.95</v>
      </c>
      <c r="J204" s="3">
        <v>2012.2</v>
      </c>
      <c r="K204" s="3">
        <v>1235</v>
      </c>
      <c r="L204" s="4">
        <v>3193118</v>
      </c>
      <c r="M204" s="3">
        <v>5070521059.3000002</v>
      </c>
      <c r="N204" s="4">
        <v>123766</v>
      </c>
      <c r="O204">
        <f t="shared" si="3"/>
        <v>-4.579673776662456E-3</v>
      </c>
    </row>
    <row r="205" spans="1:15" ht="14.25" customHeight="1" x14ac:dyDescent="0.3">
      <c r="A205" s="2">
        <v>45772</v>
      </c>
      <c r="B205" t="s">
        <v>15</v>
      </c>
      <c r="C205" s="3">
        <v>1590</v>
      </c>
      <c r="D205" s="3">
        <v>1618</v>
      </c>
      <c r="E205" s="3">
        <v>1568.1</v>
      </c>
      <c r="F205" s="3">
        <v>1586.7</v>
      </c>
      <c r="G205" s="3">
        <v>1576.4</v>
      </c>
      <c r="H205" s="3">
        <v>1578.2</v>
      </c>
      <c r="I205" s="3">
        <v>1583.92</v>
      </c>
      <c r="J205" s="3">
        <v>2012.2</v>
      </c>
      <c r="K205" s="3">
        <v>1235</v>
      </c>
      <c r="L205" s="4">
        <v>3800415</v>
      </c>
      <c r="M205" s="3">
        <v>6019563732.6000004</v>
      </c>
      <c r="N205" s="4">
        <v>118647</v>
      </c>
      <c r="O205">
        <f t="shared" si="3"/>
        <v>-5.3570303144891912E-3</v>
      </c>
    </row>
    <row r="206" spans="1:15" ht="14.25" customHeight="1" x14ac:dyDescent="0.3">
      <c r="A206" s="2">
        <v>45775</v>
      </c>
      <c r="B206" t="s">
        <v>15</v>
      </c>
      <c r="C206" s="3">
        <v>1565</v>
      </c>
      <c r="D206" s="3">
        <v>1569.4</v>
      </c>
      <c r="E206" s="3">
        <v>1537.1</v>
      </c>
      <c r="F206" s="3">
        <v>1578.2</v>
      </c>
      <c r="G206" s="3">
        <v>1550</v>
      </c>
      <c r="H206" s="3">
        <v>1549.3</v>
      </c>
      <c r="I206" s="3">
        <v>1548.84</v>
      </c>
      <c r="J206" s="3">
        <v>2012.2</v>
      </c>
      <c r="K206" s="3">
        <v>1235</v>
      </c>
      <c r="L206" s="4">
        <v>2618810</v>
      </c>
      <c r="M206" s="3">
        <v>4056115149.6999998</v>
      </c>
      <c r="N206" s="4">
        <v>107060</v>
      </c>
      <c r="O206">
        <f t="shared" si="3"/>
        <v>-1.8312001013813261E-2</v>
      </c>
    </row>
    <row r="207" spans="1:15" ht="14.25" customHeight="1" x14ac:dyDescent="0.3">
      <c r="A207" s="2">
        <v>45776</v>
      </c>
      <c r="B207" t="s">
        <v>15</v>
      </c>
      <c r="C207" s="3">
        <v>1555</v>
      </c>
      <c r="D207" s="3">
        <v>1580.8</v>
      </c>
      <c r="E207" s="3">
        <v>1548.1</v>
      </c>
      <c r="F207" s="3">
        <v>1549.3</v>
      </c>
      <c r="G207" s="3">
        <v>1570</v>
      </c>
      <c r="H207" s="3">
        <v>1569</v>
      </c>
      <c r="I207" s="3">
        <v>1564.53</v>
      </c>
      <c r="J207" s="3">
        <v>2012.2</v>
      </c>
      <c r="K207" s="3">
        <v>1235</v>
      </c>
      <c r="L207" s="4">
        <v>2231069</v>
      </c>
      <c r="M207" s="3">
        <v>3490564859.9000001</v>
      </c>
      <c r="N207" s="4">
        <v>89109</v>
      </c>
      <c r="O207">
        <f t="shared" si="3"/>
        <v>1.2715419867036755E-2</v>
      </c>
    </row>
    <row r="208" spans="1:15" ht="14.25" customHeight="1" x14ac:dyDescent="0.3">
      <c r="A208" s="2">
        <v>45777</v>
      </c>
      <c r="B208" t="s">
        <v>15</v>
      </c>
      <c r="C208" s="3">
        <v>1571</v>
      </c>
      <c r="D208" s="3">
        <v>1587.9</v>
      </c>
      <c r="E208" s="3">
        <v>1554</v>
      </c>
      <c r="F208" s="3">
        <v>1569</v>
      </c>
      <c r="G208" s="3">
        <v>1556.5</v>
      </c>
      <c r="H208" s="3">
        <v>1567.5</v>
      </c>
      <c r="I208" s="3">
        <v>1569.92</v>
      </c>
      <c r="J208" s="3">
        <v>2012.2</v>
      </c>
      <c r="K208" s="3">
        <v>1235</v>
      </c>
      <c r="L208" s="4">
        <v>3682256</v>
      </c>
      <c r="M208" s="3">
        <v>5780840520.3000002</v>
      </c>
      <c r="N208" s="4">
        <v>129457</v>
      </c>
      <c r="O208">
        <f t="shared" si="3"/>
        <v>-9.5602294455066918E-4</v>
      </c>
    </row>
    <row r="209" spans="1:15" ht="14.25" customHeight="1" x14ac:dyDescent="0.3">
      <c r="A209" s="2">
        <v>45779</v>
      </c>
      <c r="B209" t="s">
        <v>15</v>
      </c>
      <c r="C209" s="3">
        <v>1567</v>
      </c>
      <c r="D209" s="3">
        <v>1581</v>
      </c>
      <c r="E209" s="3">
        <v>1557.1</v>
      </c>
      <c r="F209" s="3">
        <v>1567.5</v>
      </c>
      <c r="G209" s="3">
        <v>1572.4</v>
      </c>
      <c r="H209" s="3">
        <v>1576.5</v>
      </c>
      <c r="I209" s="3">
        <v>1573.44</v>
      </c>
      <c r="J209" s="3">
        <v>2012.2</v>
      </c>
      <c r="K209" s="3">
        <v>1235</v>
      </c>
      <c r="L209" s="4">
        <v>1895904</v>
      </c>
      <c r="M209" s="3">
        <v>2983089247.1999998</v>
      </c>
      <c r="N209" s="4">
        <v>93227</v>
      </c>
      <c r="O209">
        <f t="shared" si="3"/>
        <v>5.7416267942583732E-3</v>
      </c>
    </row>
    <row r="210" spans="1:15" ht="14.25" customHeight="1" x14ac:dyDescent="0.3">
      <c r="A210" s="2">
        <v>45782</v>
      </c>
      <c r="B210" t="s">
        <v>15</v>
      </c>
      <c r="C210" s="3">
        <v>1580</v>
      </c>
      <c r="D210" s="3">
        <v>1597.7</v>
      </c>
      <c r="E210" s="3">
        <v>1563.3</v>
      </c>
      <c r="F210" s="3">
        <v>1576.5</v>
      </c>
      <c r="G210" s="3">
        <v>1569</v>
      </c>
      <c r="H210" s="3">
        <v>1568.6</v>
      </c>
      <c r="I210" s="3">
        <v>1577.67</v>
      </c>
      <c r="J210" s="3">
        <v>2012.2</v>
      </c>
      <c r="K210" s="3">
        <v>1235</v>
      </c>
      <c r="L210" s="4">
        <v>1012225</v>
      </c>
      <c r="M210" s="3">
        <v>1596953874.3</v>
      </c>
      <c r="N210" s="4">
        <v>59357</v>
      </c>
      <c r="O210">
        <f t="shared" si="3"/>
        <v>-5.0111005391691027E-3</v>
      </c>
    </row>
    <row r="211" spans="1:15" ht="14.25" customHeight="1" x14ac:dyDescent="0.3">
      <c r="A211" s="2">
        <v>45783</v>
      </c>
      <c r="B211" t="s">
        <v>15</v>
      </c>
      <c r="C211" s="3">
        <v>1576.8</v>
      </c>
      <c r="D211" s="3">
        <v>1583.8</v>
      </c>
      <c r="E211" s="3">
        <v>1565.1</v>
      </c>
      <c r="F211" s="3">
        <v>1568.6</v>
      </c>
      <c r="G211" s="3">
        <v>1570</v>
      </c>
      <c r="H211" s="3">
        <v>1579.1</v>
      </c>
      <c r="I211" s="3">
        <v>1575.07</v>
      </c>
      <c r="J211" s="3">
        <v>2012.2</v>
      </c>
      <c r="K211" s="3">
        <v>1235</v>
      </c>
      <c r="L211" s="4">
        <v>2055057</v>
      </c>
      <c r="M211" s="3">
        <v>3236859717.5999999</v>
      </c>
      <c r="N211" s="4">
        <v>86060</v>
      </c>
      <c r="O211">
        <f t="shared" si="3"/>
        <v>6.6938671426749969E-3</v>
      </c>
    </row>
    <row r="212" spans="1:15" ht="14.25" customHeight="1" x14ac:dyDescent="0.3">
      <c r="A212" s="2">
        <v>45784</v>
      </c>
      <c r="B212" t="s">
        <v>15</v>
      </c>
      <c r="C212" s="3">
        <v>1552</v>
      </c>
      <c r="D212" s="3">
        <v>1578.4</v>
      </c>
      <c r="E212" s="3">
        <v>1545</v>
      </c>
      <c r="F212" s="3">
        <v>1579.1</v>
      </c>
      <c r="G212" s="3">
        <v>1565.3</v>
      </c>
      <c r="H212" s="3">
        <v>1563.3</v>
      </c>
      <c r="I212" s="3">
        <v>1562.62</v>
      </c>
      <c r="J212" s="3">
        <v>2012.2</v>
      </c>
      <c r="K212" s="3">
        <v>1235</v>
      </c>
      <c r="L212" s="4">
        <v>5469936</v>
      </c>
      <c r="M212" s="3">
        <v>8547406780.5</v>
      </c>
      <c r="N212" s="4">
        <v>128223</v>
      </c>
      <c r="O212">
        <f t="shared" si="3"/>
        <v>-1.000569944905323E-2</v>
      </c>
    </row>
    <row r="213" spans="1:15" ht="14.25" customHeight="1" x14ac:dyDescent="0.3">
      <c r="A213" s="2">
        <v>45785</v>
      </c>
      <c r="B213" t="s">
        <v>15</v>
      </c>
      <c r="C213" s="3">
        <v>1561.9</v>
      </c>
      <c r="D213" s="3">
        <v>1598</v>
      </c>
      <c r="E213" s="3">
        <v>1555.8</v>
      </c>
      <c r="F213" s="3">
        <v>1563.3</v>
      </c>
      <c r="G213" s="3">
        <v>1572.1</v>
      </c>
      <c r="H213" s="3">
        <v>1580.7</v>
      </c>
      <c r="I213" s="3">
        <v>1581.65</v>
      </c>
      <c r="J213" s="3">
        <v>2012.2</v>
      </c>
      <c r="K213" s="3">
        <v>1235</v>
      </c>
      <c r="L213" s="4">
        <v>2789018</v>
      </c>
      <c r="M213" s="3">
        <v>4411248439</v>
      </c>
      <c r="N213" s="4">
        <v>98946</v>
      </c>
      <c r="O213">
        <f t="shared" si="3"/>
        <v>1.1130301285741759E-2</v>
      </c>
    </row>
    <row r="214" spans="1:15" ht="14.25" customHeight="1" x14ac:dyDescent="0.3">
      <c r="A214" s="2">
        <v>45786</v>
      </c>
      <c r="B214" t="s">
        <v>15</v>
      </c>
      <c r="C214" s="3">
        <v>1566</v>
      </c>
      <c r="D214" s="3">
        <v>1577.7</v>
      </c>
      <c r="E214" s="3">
        <v>1557.3</v>
      </c>
      <c r="F214" s="3">
        <v>1580.7</v>
      </c>
      <c r="G214" s="3">
        <v>1572.5</v>
      </c>
      <c r="H214" s="3">
        <v>1569.4</v>
      </c>
      <c r="I214" s="3">
        <v>1569.43</v>
      </c>
      <c r="J214" s="3">
        <v>2012.2</v>
      </c>
      <c r="K214" s="3">
        <v>1235</v>
      </c>
      <c r="L214" s="4">
        <v>2035161</v>
      </c>
      <c r="M214" s="3">
        <v>3194047826.0999999</v>
      </c>
      <c r="N214" s="4">
        <v>85397</v>
      </c>
      <c r="O214">
        <f t="shared" si="3"/>
        <v>-7.148731574618811E-3</v>
      </c>
    </row>
    <row r="215" spans="1:15" ht="14.25" customHeight="1" x14ac:dyDescent="0.3">
      <c r="A215" s="2">
        <v>45789</v>
      </c>
      <c r="B215" t="s">
        <v>15</v>
      </c>
      <c r="C215" s="3">
        <v>1598.8</v>
      </c>
      <c r="D215" s="3">
        <v>1675</v>
      </c>
      <c r="E215" s="3">
        <v>1594</v>
      </c>
      <c r="F215" s="3">
        <v>1569.4</v>
      </c>
      <c r="G215" s="3">
        <v>1663</v>
      </c>
      <c r="H215" s="3">
        <v>1670.3</v>
      </c>
      <c r="I215" s="3">
        <v>1651.26</v>
      </c>
      <c r="J215" s="3">
        <v>2012.2</v>
      </c>
      <c r="K215" s="3">
        <v>1235</v>
      </c>
      <c r="L215" s="4">
        <v>4028207</v>
      </c>
      <c r="M215" s="3">
        <v>6651610416</v>
      </c>
      <c r="N215" s="4">
        <v>133071</v>
      </c>
      <c r="O215">
        <f t="shared" si="3"/>
        <v>6.4292086147572231E-2</v>
      </c>
    </row>
    <row r="216" spans="1:15" ht="14.25" customHeight="1" x14ac:dyDescent="0.3">
      <c r="A216" s="2">
        <v>45790</v>
      </c>
      <c r="B216" t="s">
        <v>15</v>
      </c>
      <c r="C216" s="3">
        <v>1685</v>
      </c>
      <c r="D216" s="3">
        <v>1688.1</v>
      </c>
      <c r="E216" s="3">
        <v>1615.2</v>
      </c>
      <c r="F216" s="3">
        <v>1670.3</v>
      </c>
      <c r="G216" s="3">
        <v>1619.9</v>
      </c>
      <c r="H216" s="3">
        <v>1619.6</v>
      </c>
      <c r="I216" s="3">
        <v>1632.9</v>
      </c>
      <c r="J216" s="3">
        <v>2012.2</v>
      </c>
      <c r="K216" s="3">
        <v>1235</v>
      </c>
      <c r="L216" s="4">
        <v>3118470</v>
      </c>
      <c r="M216" s="3">
        <v>5092158125.3000002</v>
      </c>
      <c r="N216" s="4">
        <v>119292</v>
      </c>
      <c r="O216">
        <f t="shared" si="3"/>
        <v>-3.0353828653535322E-2</v>
      </c>
    </row>
    <row r="217" spans="1:15" ht="14.25" customHeight="1" x14ac:dyDescent="0.3">
      <c r="A217" s="2">
        <v>45791</v>
      </c>
      <c r="B217" t="s">
        <v>15</v>
      </c>
      <c r="C217" s="3">
        <v>1630</v>
      </c>
      <c r="D217" s="3">
        <v>1642.3</v>
      </c>
      <c r="E217" s="3">
        <v>1617</v>
      </c>
      <c r="F217" s="3">
        <v>1619.6</v>
      </c>
      <c r="G217" s="3">
        <v>1641.3</v>
      </c>
      <c r="H217" s="3">
        <v>1637.7</v>
      </c>
      <c r="I217" s="3">
        <v>1632.79</v>
      </c>
      <c r="J217" s="3">
        <v>2012.2</v>
      </c>
      <c r="K217" s="3">
        <v>1235</v>
      </c>
      <c r="L217" s="4">
        <v>1569126</v>
      </c>
      <c r="M217" s="3">
        <v>2562050834.0999999</v>
      </c>
      <c r="N217" s="4">
        <v>83272</v>
      </c>
      <c r="O217">
        <f t="shared" si="3"/>
        <v>1.1175598913312013E-2</v>
      </c>
    </row>
    <row r="218" spans="1:15" ht="14.25" customHeight="1" x14ac:dyDescent="0.3">
      <c r="A218" s="2">
        <v>45792</v>
      </c>
      <c r="B218" t="s">
        <v>15</v>
      </c>
      <c r="C218" s="3">
        <v>1650</v>
      </c>
      <c r="D218" s="3">
        <v>1702.6</v>
      </c>
      <c r="E218" s="3">
        <v>1625</v>
      </c>
      <c r="F218" s="3">
        <v>1637.7</v>
      </c>
      <c r="G218" s="3">
        <v>1692</v>
      </c>
      <c r="H218" s="3">
        <v>1696</v>
      </c>
      <c r="I218" s="3">
        <v>1671.48</v>
      </c>
      <c r="J218" s="3">
        <v>2012.2</v>
      </c>
      <c r="K218" s="3">
        <v>1235</v>
      </c>
      <c r="L218" s="4">
        <v>4961582</v>
      </c>
      <c r="M218" s="3">
        <v>8293207213.5</v>
      </c>
      <c r="N218" s="4">
        <v>184925</v>
      </c>
      <c r="O218">
        <f t="shared" si="3"/>
        <v>3.5598705501618096E-2</v>
      </c>
    </row>
    <row r="219" spans="1:15" ht="14.25" customHeight="1" x14ac:dyDescent="0.3">
      <c r="A219" s="2">
        <v>45793</v>
      </c>
      <c r="B219" t="s">
        <v>15</v>
      </c>
      <c r="C219" s="3">
        <v>1691.9</v>
      </c>
      <c r="D219" s="3">
        <v>1693.5</v>
      </c>
      <c r="E219" s="3">
        <v>1658</v>
      </c>
      <c r="F219" s="3">
        <v>1696</v>
      </c>
      <c r="G219" s="3">
        <v>1661</v>
      </c>
      <c r="H219" s="3">
        <v>1659.9</v>
      </c>
      <c r="I219" s="3">
        <v>1667.09</v>
      </c>
      <c r="J219" s="3">
        <v>2012.2</v>
      </c>
      <c r="K219" s="3">
        <v>1235</v>
      </c>
      <c r="L219" s="4">
        <v>2586263</v>
      </c>
      <c r="M219" s="3">
        <v>4311543189.1999998</v>
      </c>
      <c r="N219" s="4">
        <v>99649</v>
      </c>
      <c r="O219">
        <f t="shared" si="3"/>
        <v>-2.1285377358490513E-2</v>
      </c>
    </row>
    <row r="220" spans="1:15" ht="14.25" customHeight="1" x14ac:dyDescent="0.3">
      <c r="A220" s="2">
        <v>45796</v>
      </c>
      <c r="B220" t="s">
        <v>15</v>
      </c>
      <c r="C220" s="3">
        <v>1661</v>
      </c>
      <c r="D220" s="3">
        <v>1664</v>
      </c>
      <c r="E220" s="3">
        <v>1638.1</v>
      </c>
      <c r="F220" s="3">
        <v>1659.9</v>
      </c>
      <c r="G220" s="3">
        <v>1651</v>
      </c>
      <c r="H220" s="3">
        <v>1649.6</v>
      </c>
      <c r="I220" s="3">
        <v>1648.41</v>
      </c>
      <c r="J220" s="3">
        <v>2012.2</v>
      </c>
      <c r="K220" s="3">
        <v>1235</v>
      </c>
      <c r="L220" s="4">
        <v>1642018</v>
      </c>
      <c r="M220" s="3">
        <v>2706723262.1999998</v>
      </c>
      <c r="N220" s="4">
        <v>91252</v>
      </c>
      <c r="O220">
        <f t="shared" si="3"/>
        <v>-6.2051930839208272E-3</v>
      </c>
    </row>
    <row r="221" spans="1:15" ht="14.25" customHeight="1" x14ac:dyDescent="0.3">
      <c r="A221" s="2">
        <v>45797</v>
      </c>
      <c r="B221" t="s">
        <v>15</v>
      </c>
      <c r="C221" s="3">
        <v>1660.8</v>
      </c>
      <c r="D221" s="3">
        <v>1666</v>
      </c>
      <c r="E221" s="3">
        <v>1636.4</v>
      </c>
      <c r="F221" s="3">
        <v>1649.6</v>
      </c>
      <c r="G221" s="3">
        <v>1640</v>
      </c>
      <c r="H221" s="3">
        <v>1638.3</v>
      </c>
      <c r="I221" s="3">
        <v>1645.92</v>
      </c>
      <c r="J221" s="3">
        <v>2012.2</v>
      </c>
      <c r="K221" s="3">
        <v>1235</v>
      </c>
      <c r="L221" s="4">
        <v>2421580</v>
      </c>
      <c r="M221" s="3">
        <v>3985723342.6999998</v>
      </c>
      <c r="N221" s="4">
        <v>80612</v>
      </c>
      <c r="O221">
        <f t="shared" si="3"/>
        <v>-6.8501454898156856E-3</v>
      </c>
    </row>
    <row r="222" spans="1:15" ht="14.25" customHeight="1" x14ac:dyDescent="0.3">
      <c r="A222" s="2">
        <v>45798</v>
      </c>
      <c r="B222" t="s">
        <v>15</v>
      </c>
      <c r="C222" s="3">
        <v>1645</v>
      </c>
      <c r="D222" s="3">
        <v>1657.5</v>
      </c>
      <c r="E222" s="3">
        <v>1628.4</v>
      </c>
      <c r="F222" s="3">
        <v>1638.3</v>
      </c>
      <c r="G222" s="3">
        <v>1649</v>
      </c>
      <c r="H222" s="3">
        <v>1652</v>
      </c>
      <c r="I222" s="3">
        <v>1648.03</v>
      </c>
      <c r="J222" s="3">
        <v>2012.2</v>
      </c>
      <c r="K222" s="3">
        <v>1235</v>
      </c>
      <c r="L222" s="4">
        <v>1420835</v>
      </c>
      <c r="M222" s="3">
        <v>2341573076.5</v>
      </c>
      <c r="N222" s="4">
        <v>51082</v>
      </c>
      <c r="O222">
        <f t="shared" si="3"/>
        <v>8.3623268021730118E-3</v>
      </c>
    </row>
    <row r="223" spans="1:15" ht="14.25" customHeight="1" x14ac:dyDescent="0.3">
      <c r="A223" s="2">
        <v>45799</v>
      </c>
      <c r="B223" t="s">
        <v>15</v>
      </c>
      <c r="C223" s="3">
        <v>1638.4</v>
      </c>
      <c r="D223" s="3">
        <v>1640.7</v>
      </c>
      <c r="E223" s="3">
        <v>1614</v>
      </c>
      <c r="F223" s="3">
        <v>1652</v>
      </c>
      <c r="G223" s="3">
        <v>1640</v>
      </c>
      <c r="H223" s="3">
        <v>1633</v>
      </c>
      <c r="I223" s="3">
        <v>1629.6</v>
      </c>
      <c r="J223" s="3">
        <v>2012.2</v>
      </c>
      <c r="K223" s="3">
        <v>1235</v>
      </c>
      <c r="L223" s="4">
        <v>2202093</v>
      </c>
      <c r="M223" s="3">
        <v>3588534592.5</v>
      </c>
      <c r="N223" s="4">
        <v>87046</v>
      </c>
      <c r="O223">
        <f t="shared" si="3"/>
        <v>-1.1501210653753027E-2</v>
      </c>
    </row>
    <row r="224" spans="1:15" ht="14.25" customHeight="1" x14ac:dyDescent="0.3">
      <c r="A224" s="2">
        <v>45800</v>
      </c>
      <c r="B224" t="s">
        <v>15</v>
      </c>
      <c r="C224" s="3">
        <v>1633</v>
      </c>
      <c r="D224" s="3">
        <v>1670.8</v>
      </c>
      <c r="E224" s="3">
        <v>1622.5</v>
      </c>
      <c r="F224" s="3">
        <v>1633</v>
      </c>
      <c r="G224" s="3">
        <v>1649.5</v>
      </c>
      <c r="H224" s="3">
        <v>1648.2</v>
      </c>
      <c r="I224" s="3">
        <v>1655.65</v>
      </c>
      <c r="J224" s="3">
        <v>2012.2</v>
      </c>
      <c r="K224" s="3">
        <v>1235</v>
      </c>
      <c r="L224" s="4">
        <v>1459454</v>
      </c>
      <c r="M224" s="3">
        <v>2416346063.5999999</v>
      </c>
      <c r="N224" s="4">
        <v>52849</v>
      </c>
      <c r="O224">
        <f t="shared" si="3"/>
        <v>9.3080220453153981E-3</v>
      </c>
    </row>
    <row r="225" spans="1:15" ht="14.25" customHeight="1" x14ac:dyDescent="0.3">
      <c r="A225" s="2">
        <v>45803</v>
      </c>
      <c r="B225" t="s">
        <v>15</v>
      </c>
      <c r="C225" s="3">
        <v>1652.4</v>
      </c>
      <c r="D225" s="3">
        <v>1675.8</v>
      </c>
      <c r="E225" s="3">
        <v>1645.6</v>
      </c>
      <c r="F225" s="3">
        <v>1648.2</v>
      </c>
      <c r="G225" s="3">
        <v>1673.8</v>
      </c>
      <c r="H225" s="3">
        <v>1673.6</v>
      </c>
      <c r="I225" s="3">
        <v>1669.56</v>
      </c>
      <c r="J225" s="3">
        <v>2012.2</v>
      </c>
      <c r="K225" s="3">
        <v>1235</v>
      </c>
      <c r="L225" s="4">
        <v>1078813</v>
      </c>
      <c r="M225" s="3">
        <v>1801147339.4000001</v>
      </c>
      <c r="N225" s="4">
        <v>46732</v>
      </c>
      <c r="O225">
        <f t="shared" si="3"/>
        <v>1.5410751122436514E-2</v>
      </c>
    </row>
    <row r="226" spans="1:15" ht="14.25" customHeight="1" x14ac:dyDescent="0.3">
      <c r="A226" s="2">
        <v>45804</v>
      </c>
      <c r="B226" t="s">
        <v>15</v>
      </c>
      <c r="C226" s="3">
        <v>1673.8</v>
      </c>
      <c r="D226" s="3">
        <v>1675.5</v>
      </c>
      <c r="E226" s="3">
        <v>1641.5</v>
      </c>
      <c r="F226" s="3">
        <v>1673.6</v>
      </c>
      <c r="G226" s="3">
        <v>1654.9</v>
      </c>
      <c r="H226" s="3">
        <v>1652.1</v>
      </c>
      <c r="I226" s="3">
        <v>1654.27</v>
      </c>
      <c r="J226" s="3">
        <v>2012.2</v>
      </c>
      <c r="K226" s="3">
        <v>1235</v>
      </c>
      <c r="L226" s="4">
        <v>2740015</v>
      </c>
      <c r="M226" s="3">
        <v>4532722727.3000002</v>
      </c>
      <c r="N226" s="4">
        <v>97349</v>
      </c>
      <c r="O226">
        <f t="shared" si="3"/>
        <v>-1.2846558317399618E-2</v>
      </c>
    </row>
    <row r="227" spans="1:15" ht="14.25" customHeight="1" x14ac:dyDescent="0.3">
      <c r="A227" s="2">
        <v>45805</v>
      </c>
      <c r="B227" t="s">
        <v>15</v>
      </c>
      <c r="C227" s="3">
        <v>1664</v>
      </c>
      <c r="D227" s="3">
        <v>1666.8</v>
      </c>
      <c r="E227" s="3">
        <v>1647</v>
      </c>
      <c r="F227" s="3">
        <v>1652.1</v>
      </c>
      <c r="G227" s="3">
        <v>1660</v>
      </c>
      <c r="H227" s="3">
        <v>1657.3</v>
      </c>
      <c r="I227" s="3">
        <v>1654.59</v>
      </c>
      <c r="J227" s="3">
        <v>2012.2</v>
      </c>
      <c r="K227" s="3">
        <v>1235</v>
      </c>
      <c r="L227" s="4">
        <v>1775441</v>
      </c>
      <c r="M227" s="3">
        <v>2937633522.5</v>
      </c>
      <c r="N227" s="4">
        <v>59437</v>
      </c>
      <c r="O227">
        <f t="shared" si="3"/>
        <v>3.1475092306761368E-3</v>
      </c>
    </row>
    <row r="228" spans="1:15" ht="14.25" customHeight="1" x14ac:dyDescent="0.3">
      <c r="A228" s="2">
        <v>45806</v>
      </c>
      <c r="B228" t="s">
        <v>15</v>
      </c>
      <c r="C228" s="3">
        <v>1670</v>
      </c>
      <c r="D228" s="3">
        <v>1675.5</v>
      </c>
      <c r="E228" s="3">
        <v>1655.6</v>
      </c>
      <c r="F228" s="3">
        <v>1657.3</v>
      </c>
      <c r="G228" s="3">
        <v>1665.5</v>
      </c>
      <c r="H228" s="3">
        <v>1664.7</v>
      </c>
      <c r="I228" s="3">
        <v>1663.36</v>
      </c>
      <c r="J228" s="3">
        <v>2012.2</v>
      </c>
      <c r="K228" s="3">
        <v>1235</v>
      </c>
      <c r="L228" s="4">
        <v>2374051</v>
      </c>
      <c r="M228" s="3">
        <v>3948895883.1999998</v>
      </c>
      <c r="N228" s="4">
        <v>81223</v>
      </c>
      <c r="O228">
        <f t="shared" si="3"/>
        <v>4.4650938273095341E-3</v>
      </c>
    </row>
    <row r="229" spans="1:15" ht="14.25" customHeight="1" x14ac:dyDescent="0.3">
      <c r="A229" s="2">
        <v>45807</v>
      </c>
      <c r="B229" t="s">
        <v>15</v>
      </c>
      <c r="C229" s="3">
        <v>1664.7</v>
      </c>
      <c r="D229" s="3">
        <v>1664.7</v>
      </c>
      <c r="E229" s="3">
        <v>1627.3</v>
      </c>
      <c r="F229" s="3">
        <v>1664.7</v>
      </c>
      <c r="G229" s="3">
        <v>1631.5</v>
      </c>
      <c r="H229" s="3">
        <v>1636.6</v>
      </c>
      <c r="I229" s="3">
        <v>1640.93</v>
      </c>
      <c r="J229" s="3">
        <v>2012.2</v>
      </c>
      <c r="K229" s="3">
        <v>1235</v>
      </c>
      <c r="L229" s="4">
        <v>4408910</v>
      </c>
      <c r="M229" s="3">
        <v>7234713454</v>
      </c>
      <c r="N229" s="4">
        <v>100975</v>
      </c>
      <c r="O229">
        <f t="shared" si="3"/>
        <v>-1.6879918303598328E-2</v>
      </c>
    </row>
    <row r="230" spans="1:15" ht="14.25" customHeight="1" x14ac:dyDescent="0.3">
      <c r="A230" s="2">
        <v>45810</v>
      </c>
      <c r="B230" t="s">
        <v>15</v>
      </c>
      <c r="C230" s="3">
        <v>1625.1</v>
      </c>
      <c r="D230" s="3">
        <v>1635.2</v>
      </c>
      <c r="E230" s="3">
        <v>1605.7</v>
      </c>
      <c r="F230" s="3">
        <v>1636.6</v>
      </c>
      <c r="G230" s="3">
        <v>1628</v>
      </c>
      <c r="H230" s="3">
        <v>1631.5</v>
      </c>
      <c r="I230" s="3">
        <v>1624.66</v>
      </c>
      <c r="J230" s="3">
        <v>2012.2</v>
      </c>
      <c r="K230" s="3">
        <v>1235</v>
      </c>
      <c r="L230" s="4">
        <v>1883100</v>
      </c>
      <c r="M230" s="3">
        <v>3059394023.0999999</v>
      </c>
      <c r="N230" s="4">
        <v>87270</v>
      </c>
      <c r="O230">
        <f t="shared" si="3"/>
        <v>-3.1162165464987835E-3</v>
      </c>
    </row>
    <row r="231" spans="1:15" ht="14.25" customHeight="1" x14ac:dyDescent="0.3">
      <c r="A231" s="2">
        <v>45811</v>
      </c>
      <c r="B231" t="s">
        <v>15</v>
      </c>
      <c r="C231" s="3">
        <v>1646.9</v>
      </c>
      <c r="D231" s="3">
        <v>1651.7</v>
      </c>
      <c r="E231" s="3">
        <v>1617</v>
      </c>
      <c r="F231" s="3">
        <v>1631.5</v>
      </c>
      <c r="G231" s="3">
        <v>1630.5</v>
      </c>
      <c r="H231" s="3">
        <v>1630.4</v>
      </c>
      <c r="I231" s="3">
        <v>1631.03</v>
      </c>
      <c r="J231" s="3">
        <v>2012.2</v>
      </c>
      <c r="K231" s="3">
        <v>1235</v>
      </c>
      <c r="L231" s="4">
        <v>2380133</v>
      </c>
      <c r="M231" s="3">
        <v>3882076505</v>
      </c>
      <c r="N231" s="4">
        <v>117240</v>
      </c>
      <c r="O231">
        <f t="shared" si="3"/>
        <v>-6.7422617223408463E-4</v>
      </c>
    </row>
    <row r="232" spans="1:15" ht="14.25" customHeight="1" x14ac:dyDescent="0.3">
      <c r="A232" s="2">
        <v>45812</v>
      </c>
      <c r="B232" t="s">
        <v>15</v>
      </c>
      <c r="C232" s="3">
        <v>1631</v>
      </c>
      <c r="D232" s="3">
        <v>1644.6</v>
      </c>
      <c r="E232" s="3">
        <v>1622.2</v>
      </c>
      <c r="F232" s="3">
        <v>1630.4</v>
      </c>
      <c r="G232" s="3">
        <v>1625.4</v>
      </c>
      <c r="H232" s="3">
        <v>1626.1</v>
      </c>
      <c r="I232" s="3">
        <v>1631.91</v>
      </c>
      <c r="J232" s="3">
        <v>2012.2</v>
      </c>
      <c r="K232" s="3">
        <v>1235</v>
      </c>
      <c r="L232" s="4">
        <v>1659720</v>
      </c>
      <c r="M232" s="3">
        <v>2708512287.0999999</v>
      </c>
      <c r="N232" s="4">
        <v>70129</v>
      </c>
      <c r="O232">
        <f t="shared" si="3"/>
        <v>-2.6373895976448611E-3</v>
      </c>
    </row>
    <row r="233" spans="1:15" ht="14.25" customHeight="1" x14ac:dyDescent="0.3">
      <c r="A233" s="2">
        <v>45813</v>
      </c>
      <c r="B233" t="s">
        <v>15</v>
      </c>
      <c r="C233" s="3">
        <v>1634.9</v>
      </c>
      <c r="D233" s="3">
        <v>1653.9</v>
      </c>
      <c r="E233" s="3">
        <v>1624.6</v>
      </c>
      <c r="F233" s="3">
        <v>1626.1</v>
      </c>
      <c r="G233" s="3">
        <v>1632.3</v>
      </c>
      <c r="H233" s="3">
        <v>1632.4</v>
      </c>
      <c r="I233" s="3">
        <v>1634.36</v>
      </c>
      <c r="J233" s="3">
        <v>2012.2</v>
      </c>
      <c r="K233" s="3">
        <v>1235</v>
      </c>
      <c r="L233" s="4">
        <v>1409322</v>
      </c>
      <c r="M233" s="3">
        <v>2303345799.8000002</v>
      </c>
      <c r="N233" s="4">
        <v>67216</v>
      </c>
      <c r="O233">
        <f t="shared" si="3"/>
        <v>3.8743004735257254E-3</v>
      </c>
    </row>
    <row r="234" spans="1:15" ht="14.25" customHeight="1" x14ac:dyDescent="0.3">
      <c r="A234" s="2">
        <v>45814</v>
      </c>
      <c r="B234" t="s">
        <v>15</v>
      </c>
      <c r="C234" s="3">
        <v>1631.2</v>
      </c>
      <c r="D234" s="3">
        <v>1639.8</v>
      </c>
      <c r="E234" s="3">
        <v>1622</v>
      </c>
      <c r="F234" s="3">
        <v>1632.4</v>
      </c>
      <c r="G234" s="3">
        <v>1638</v>
      </c>
      <c r="H234" s="3">
        <v>1637.7</v>
      </c>
      <c r="I234" s="3">
        <v>1633.47</v>
      </c>
      <c r="J234" s="3">
        <v>2012.2</v>
      </c>
      <c r="K234" s="3">
        <v>1235</v>
      </c>
      <c r="L234" s="4">
        <v>1261281</v>
      </c>
      <c r="M234" s="3">
        <v>2060270888.7</v>
      </c>
      <c r="N234" s="4">
        <v>46092</v>
      </c>
      <c r="O234">
        <f t="shared" si="3"/>
        <v>3.2467532467532188E-3</v>
      </c>
    </row>
    <row r="235" spans="1:15" ht="14.25" customHeight="1" x14ac:dyDescent="0.3">
      <c r="A235" s="2">
        <v>45817</v>
      </c>
      <c r="B235" t="s">
        <v>15</v>
      </c>
      <c r="C235" s="3">
        <v>1648</v>
      </c>
      <c r="D235" s="3">
        <v>1658</v>
      </c>
      <c r="E235" s="3">
        <v>1639</v>
      </c>
      <c r="F235" s="3">
        <v>1637.7</v>
      </c>
      <c r="G235" s="3">
        <v>1648.5</v>
      </c>
      <c r="H235" s="3">
        <v>1648.3</v>
      </c>
      <c r="I235" s="3">
        <v>1650.6</v>
      </c>
      <c r="J235" s="3">
        <v>2012.2</v>
      </c>
      <c r="K235" s="3">
        <v>1302.75</v>
      </c>
      <c r="L235" s="4">
        <v>1299786</v>
      </c>
      <c r="M235" s="3">
        <v>2145421805</v>
      </c>
      <c r="N235" s="4">
        <v>78967</v>
      </c>
      <c r="O235">
        <f t="shared" si="3"/>
        <v>6.4724919093850572E-3</v>
      </c>
    </row>
    <row r="236" spans="1:15" ht="14.25" customHeight="1" x14ac:dyDescent="0.3">
      <c r="A236" s="2">
        <v>45818</v>
      </c>
      <c r="B236" t="s">
        <v>15</v>
      </c>
      <c r="C236" s="3">
        <v>1653.3</v>
      </c>
      <c r="D236" s="3">
        <v>1684.9</v>
      </c>
      <c r="E236" s="3">
        <v>1649</v>
      </c>
      <c r="F236" s="3">
        <v>1648.3</v>
      </c>
      <c r="G236" s="3">
        <v>1670.7</v>
      </c>
      <c r="H236" s="3">
        <v>1668.1</v>
      </c>
      <c r="I236" s="3">
        <v>1671.68</v>
      </c>
      <c r="J236" s="3">
        <v>2012.2</v>
      </c>
      <c r="K236" s="3">
        <v>1302.75</v>
      </c>
      <c r="L236" s="4">
        <v>3055223</v>
      </c>
      <c r="M236" s="3">
        <v>5107346354.5</v>
      </c>
      <c r="N236" s="4">
        <v>117723</v>
      </c>
      <c r="O236">
        <f t="shared" si="3"/>
        <v>1.2012376387793457E-2</v>
      </c>
    </row>
    <row r="237" spans="1:15" ht="14.25" customHeight="1" x14ac:dyDescent="0.3">
      <c r="A237" s="2">
        <v>45819</v>
      </c>
      <c r="B237" t="s">
        <v>15</v>
      </c>
      <c r="C237" s="3">
        <v>1676</v>
      </c>
      <c r="D237" s="3">
        <v>1725.4</v>
      </c>
      <c r="E237" s="3">
        <v>1666</v>
      </c>
      <c r="F237" s="3">
        <v>1668.1</v>
      </c>
      <c r="G237" s="3">
        <v>1721.3</v>
      </c>
      <c r="H237" s="3">
        <v>1721.9</v>
      </c>
      <c r="I237" s="3">
        <v>1707.99</v>
      </c>
      <c r="J237" s="3">
        <v>2012.2</v>
      </c>
      <c r="K237" s="3">
        <v>1302.75</v>
      </c>
      <c r="L237" s="4">
        <v>5085821</v>
      </c>
      <c r="M237" s="3">
        <v>8686517262.7000008</v>
      </c>
      <c r="N237" s="4">
        <v>151276</v>
      </c>
      <c r="O237">
        <f t="shared" si="3"/>
        <v>3.2252263053773864E-2</v>
      </c>
    </row>
    <row r="238" spans="1:15" ht="14.25" customHeight="1" x14ac:dyDescent="0.3">
      <c r="A238" s="2">
        <v>45820</v>
      </c>
      <c r="B238" t="s">
        <v>15</v>
      </c>
      <c r="C238" s="3">
        <v>1725</v>
      </c>
      <c r="D238" s="3">
        <v>1726</v>
      </c>
      <c r="E238" s="3">
        <v>1695</v>
      </c>
      <c r="F238" s="3">
        <v>1721.9</v>
      </c>
      <c r="G238" s="3">
        <v>1702.4</v>
      </c>
      <c r="H238" s="3">
        <v>1701.2</v>
      </c>
      <c r="I238" s="3">
        <v>1706.01</v>
      </c>
      <c r="J238" s="3">
        <v>2012.2</v>
      </c>
      <c r="K238" s="3">
        <v>1302.75</v>
      </c>
      <c r="L238" s="4">
        <v>3607962</v>
      </c>
      <c r="M238" s="3">
        <v>6155229559.8999996</v>
      </c>
      <c r="N238" s="4">
        <v>139910</v>
      </c>
      <c r="O238">
        <f t="shared" si="3"/>
        <v>-1.2021604042046602E-2</v>
      </c>
    </row>
    <row r="239" spans="1:15" ht="14.25" customHeight="1" x14ac:dyDescent="0.3">
      <c r="A239" s="2">
        <v>45821</v>
      </c>
      <c r="B239" t="s">
        <v>15</v>
      </c>
      <c r="C239" s="3">
        <v>1666</v>
      </c>
      <c r="D239" s="3">
        <v>1711</v>
      </c>
      <c r="E239" s="3">
        <v>1664.6</v>
      </c>
      <c r="F239" s="3">
        <v>1701.2</v>
      </c>
      <c r="G239" s="3">
        <v>1697.4</v>
      </c>
      <c r="H239" s="3">
        <v>1695.3</v>
      </c>
      <c r="I239" s="3">
        <v>1693.86</v>
      </c>
      <c r="J239" s="3">
        <v>2012.2</v>
      </c>
      <c r="K239" s="3">
        <v>1302.75</v>
      </c>
      <c r="L239" s="4">
        <v>1988422</v>
      </c>
      <c r="M239" s="3">
        <v>3368100354.5</v>
      </c>
      <c r="N239" s="4">
        <v>73815</v>
      </c>
      <c r="O239">
        <f t="shared" si="3"/>
        <v>-3.4681401363743773E-3</v>
      </c>
    </row>
    <row r="240" spans="1:15" ht="14.25" customHeight="1" x14ac:dyDescent="0.3">
      <c r="A240" s="2">
        <v>45824</v>
      </c>
      <c r="B240" t="s">
        <v>15</v>
      </c>
      <c r="C240" s="3">
        <v>1692</v>
      </c>
      <c r="D240" s="3">
        <v>1729.4</v>
      </c>
      <c r="E240" s="3">
        <v>1683.4</v>
      </c>
      <c r="F240" s="3">
        <v>1695.3</v>
      </c>
      <c r="G240" s="3">
        <v>1722</v>
      </c>
      <c r="H240" s="3">
        <v>1723</v>
      </c>
      <c r="I240" s="3">
        <v>1719.53</v>
      </c>
      <c r="J240" s="3">
        <v>2012.2</v>
      </c>
      <c r="K240" s="3">
        <v>1302.75</v>
      </c>
      <c r="L240" s="4">
        <v>2116100</v>
      </c>
      <c r="M240" s="3">
        <v>3638696112.5</v>
      </c>
      <c r="N240" s="4">
        <v>80549</v>
      </c>
      <c r="O240">
        <f t="shared" si="3"/>
        <v>1.633929098094735E-2</v>
      </c>
    </row>
    <row r="241" spans="1:15" ht="14.25" customHeight="1" x14ac:dyDescent="0.3">
      <c r="A241" s="2">
        <v>45825</v>
      </c>
      <c r="B241" t="s">
        <v>15</v>
      </c>
      <c r="C241" s="3">
        <v>1728</v>
      </c>
      <c r="D241" s="3">
        <v>1738.8</v>
      </c>
      <c r="E241" s="3">
        <v>1720</v>
      </c>
      <c r="F241" s="3">
        <v>1723</v>
      </c>
      <c r="G241" s="3">
        <v>1728</v>
      </c>
      <c r="H241" s="3">
        <v>1729.6</v>
      </c>
      <c r="I241" s="3">
        <v>1731.35</v>
      </c>
      <c r="J241" s="3">
        <v>2012.2</v>
      </c>
      <c r="K241" s="3">
        <v>1302.75</v>
      </c>
      <c r="L241" s="4">
        <v>1777245</v>
      </c>
      <c r="M241" s="3">
        <v>3077026497.5</v>
      </c>
      <c r="N241" s="4">
        <v>89362</v>
      </c>
      <c r="O241">
        <f t="shared" si="3"/>
        <v>3.8305281485780085E-3</v>
      </c>
    </row>
    <row r="242" spans="1:15" ht="14.25" customHeight="1" x14ac:dyDescent="0.3">
      <c r="A242" s="2">
        <v>45826</v>
      </c>
      <c r="B242" t="s">
        <v>15</v>
      </c>
      <c r="C242" s="3">
        <v>1727.9</v>
      </c>
      <c r="D242" s="3">
        <v>1745</v>
      </c>
      <c r="E242" s="3">
        <v>1710</v>
      </c>
      <c r="F242" s="3">
        <v>1729.6</v>
      </c>
      <c r="G242" s="3">
        <v>1719.7</v>
      </c>
      <c r="H242" s="3">
        <v>1715.9</v>
      </c>
      <c r="I242" s="3">
        <v>1720.55</v>
      </c>
      <c r="J242" s="3">
        <v>2012.2</v>
      </c>
      <c r="K242" s="3">
        <v>1302.75</v>
      </c>
      <c r="L242" s="4">
        <v>1794428</v>
      </c>
      <c r="M242" s="3">
        <v>3087397101</v>
      </c>
      <c r="N242" s="4">
        <v>73006</v>
      </c>
      <c r="O242">
        <f t="shared" si="3"/>
        <v>-7.9209065679924952E-3</v>
      </c>
    </row>
    <row r="243" spans="1:15" ht="14.25" customHeight="1" x14ac:dyDescent="0.3">
      <c r="A243" s="2">
        <v>45827</v>
      </c>
      <c r="B243" t="s">
        <v>15</v>
      </c>
      <c r="C243" s="3">
        <v>1719.7</v>
      </c>
      <c r="D243" s="3">
        <v>1719.7</v>
      </c>
      <c r="E243" s="3">
        <v>1697.2</v>
      </c>
      <c r="F243" s="3">
        <v>1715.9</v>
      </c>
      <c r="G243" s="3">
        <v>1706.8</v>
      </c>
      <c r="H243" s="3">
        <v>1713.9</v>
      </c>
      <c r="I243" s="3">
        <v>1707.25</v>
      </c>
      <c r="J243" s="3">
        <v>2012.2</v>
      </c>
      <c r="K243" s="3">
        <v>1302.75</v>
      </c>
      <c r="L243" s="4">
        <v>2514527</v>
      </c>
      <c r="M243" s="3">
        <v>4292931949</v>
      </c>
      <c r="N243" s="4">
        <v>110611</v>
      </c>
      <c r="O243">
        <f t="shared" si="3"/>
        <v>-1.1655690891077567E-3</v>
      </c>
    </row>
    <row r="244" spans="1:15" ht="14.25" customHeight="1" x14ac:dyDescent="0.3">
      <c r="A244" s="2">
        <v>45828</v>
      </c>
      <c r="B244" t="s">
        <v>15</v>
      </c>
      <c r="C244" s="3">
        <v>1713.9</v>
      </c>
      <c r="D244" s="3">
        <v>1742.6</v>
      </c>
      <c r="E244" s="3">
        <v>1709.1</v>
      </c>
      <c r="F244" s="3">
        <v>1713.9</v>
      </c>
      <c r="G244" s="3">
        <v>1736.9</v>
      </c>
      <c r="H244" s="3">
        <v>1739.9</v>
      </c>
      <c r="I244" s="3">
        <v>1735.97</v>
      </c>
      <c r="J244" s="3">
        <v>2012.2</v>
      </c>
      <c r="K244" s="3">
        <v>1302.75</v>
      </c>
      <c r="L244" s="4">
        <v>2719770</v>
      </c>
      <c r="M244" s="3">
        <v>4721430011.8000002</v>
      </c>
      <c r="N244" s="4">
        <v>77792</v>
      </c>
      <c r="O244">
        <f t="shared" si="3"/>
        <v>1.5170079934651963E-2</v>
      </c>
    </row>
    <row r="245" spans="1:15" ht="14.25" customHeight="1" x14ac:dyDescent="0.3">
      <c r="A245" s="2">
        <v>45831</v>
      </c>
      <c r="B245" t="s">
        <v>15</v>
      </c>
      <c r="C245" s="3">
        <v>1729.2</v>
      </c>
      <c r="D245" s="3">
        <v>1729.8</v>
      </c>
      <c r="E245" s="3">
        <v>1699.2</v>
      </c>
      <c r="F245" s="3">
        <v>1739.9</v>
      </c>
      <c r="G245" s="3">
        <v>1699.9</v>
      </c>
      <c r="H245" s="3">
        <v>1703.2</v>
      </c>
      <c r="I245" s="3">
        <v>1709.85</v>
      </c>
      <c r="J245" s="3">
        <v>2012.2</v>
      </c>
      <c r="K245" s="3">
        <v>1302.75</v>
      </c>
      <c r="L245" s="4">
        <v>2221446</v>
      </c>
      <c r="M245" s="3">
        <v>3798348110</v>
      </c>
      <c r="N245" s="4">
        <v>78517</v>
      </c>
      <c r="O245">
        <f t="shared" si="3"/>
        <v>-2.1093166273923814E-2</v>
      </c>
    </row>
    <row r="246" spans="1:15" ht="14.25" customHeight="1" x14ac:dyDescent="0.3">
      <c r="A246" s="2">
        <v>45832</v>
      </c>
      <c r="B246" t="s">
        <v>15</v>
      </c>
      <c r="C246" s="3">
        <v>1719.9</v>
      </c>
      <c r="D246" s="3">
        <v>1732.6</v>
      </c>
      <c r="E246" s="3">
        <v>1689.2</v>
      </c>
      <c r="F246" s="3">
        <v>1703.2</v>
      </c>
      <c r="G246" s="3">
        <v>1691</v>
      </c>
      <c r="H246" s="3">
        <v>1691.8</v>
      </c>
      <c r="I246" s="3">
        <v>1704.45</v>
      </c>
      <c r="J246" s="3">
        <v>2012.2</v>
      </c>
      <c r="K246" s="3">
        <v>1302.75</v>
      </c>
      <c r="L246" s="4">
        <v>3601071</v>
      </c>
      <c r="M246" s="3">
        <v>6137832585.5</v>
      </c>
      <c r="N246" s="4">
        <v>131869</v>
      </c>
      <c r="O246">
        <f t="shared" si="3"/>
        <v>-6.6932832315641675E-3</v>
      </c>
    </row>
    <row r="247" spans="1:15" ht="14.25" customHeight="1" x14ac:dyDescent="0.3">
      <c r="A247" s="2">
        <v>45833</v>
      </c>
      <c r="B247" t="s">
        <v>15</v>
      </c>
      <c r="C247" s="3">
        <v>1702</v>
      </c>
      <c r="D247" s="3">
        <v>1720.7</v>
      </c>
      <c r="E247" s="3">
        <v>1701</v>
      </c>
      <c r="F247" s="3">
        <v>1691.8</v>
      </c>
      <c r="G247" s="3">
        <v>1713.9</v>
      </c>
      <c r="H247" s="3">
        <v>1717.1</v>
      </c>
      <c r="I247" s="3">
        <v>1714.03</v>
      </c>
      <c r="J247" s="3">
        <v>2012.2</v>
      </c>
      <c r="K247" s="3">
        <v>1302.75</v>
      </c>
      <c r="L247" s="4">
        <v>1307518</v>
      </c>
      <c r="M247" s="3">
        <v>2241127887.5</v>
      </c>
      <c r="N247" s="4">
        <v>67381</v>
      </c>
      <c r="O247">
        <f t="shared" si="3"/>
        <v>1.4954486345903744E-2</v>
      </c>
    </row>
    <row r="248" spans="1:15" ht="14.25" customHeight="1" x14ac:dyDescent="0.3">
      <c r="A248" s="2">
        <v>45834</v>
      </c>
      <c r="B248" t="s">
        <v>15</v>
      </c>
      <c r="C248" s="3">
        <v>1710</v>
      </c>
      <c r="D248" s="3">
        <v>1726.9</v>
      </c>
      <c r="E248" s="3">
        <v>1702.7</v>
      </c>
      <c r="F248" s="3">
        <v>1717.1</v>
      </c>
      <c r="G248" s="3">
        <v>1722</v>
      </c>
      <c r="H248" s="3">
        <v>1724.1</v>
      </c>
      <c r="I248" s="3">
        <v>1719.14</v>
      </c>
      <c r="J248" s="3">
        <v>2012.2</v>
      </c>
      <c r="K248" s="3">
        <v>1302.75</v>
      </c>
      <c r="L248" s="4">
        <v>2971055</v>
      </c>
      <c r="M248" s="3">
        <v>5107646173.3999996</v>
      </c>
      <c r="N248" s="4">
        <v>109096</v>
      </c>
      <c r="O248">
        <f t="shared" si="3"/>
        <v>4.0766408479412965E-3</v>
      </c>
    </row>
    <row r="249" spans="1:15" ht="14.25" customHeight="1" x14ac:dyDescent="0.3">
      <c r="A249" s="2">
        <v>45835</v>
      </c>
      <c r="B249" t="s">
        <v>15</v>
      </c>
      <c r="C249" s="3">
        <v>1735</v>
      </c>
      <c r="D249" s="3">
        <v>1752.5</v>
      </c>
      <c r="E249" s="3">
        <v>1710.8</v>
      </c>
      <c r="F249" s="3">
        <v>1724.1</v>
      </c>
      <c r="G249" s="3">
        <v>1728.7</v>
      </c>
      <c r="H249" s="3">
        <v>1723.3</v>
      </c>
      <c r="I249" s="3">
        <v>1725.28</v>
      </c>
      <c r="J249" s="3">
        <v>2012.2</v>
      </c>
      <c r="K249" s="3">
        <v>1302.75</v>
      </c>
      <c r="L249" s="4">
        <v>6478283</v>
      </c>
      <c r="M249" s="3">
        <v>11176867159.6</v>
      </c>
      <c r="N249" s="4">
        <v>150371</v>
      </c>
      <c r="O249">
        <f t="shared" si="3"/>
        <v>-4.6401020822455457E-4</v>
      </c>
    </row>
    <row r="250" spans="1:15" ht="14.25" customHeight="1" x14ac:dyDescent="0.3">
      <c r="A250" s="2">
        <v>45838</v>
      </c>
      <c r="B250" t="s">
        <v>15</v>
      </c>
      <c r="C250" s="3">
        <v>1725</v>
      </c>
      <c r="D250" s="3">
        <v>1734.8</v>
      </c>
      <c r="E250" s="3">
        <v>1713.3</v>
      </c>
      <c r="F250" s="3">
        <v>1723.3</v>
      </c>
      <c r="G250" s="3">
        <v>1732</v>
      </c>
      <c r="H250" s="3">
        <v>1728.6</v>
      </c>
      <c r="I250" s="3">
        <v>1725.82</v>
      </c>
      <c r="J250" s="3">
        <v>2012.2</v>
      </c>
      <c r="K250" s="3">
        <v>1302.75</v>
      </c>
      <c r="L250" s="4">
        <v>1855229</v>
      </c>
      <c r="M250" s="3">
        <v>3201797967</v>
      </c>
      <c r="N250" s="4">
        <v>79062</v>
      </c>
      <c r="O250">
        <f t="shared" si="3"/>
        <v>3.0754946904195178E-3</v>
      </c>
    </row>
    <row r="251" spans="1:15" ht="14.25" customHeight="1" x14ac:dyDescent="0.3">
      <c r="A251" s="2">
        <v>45839</v>
      </c>
      <c r="B251" t="s">
        <v>15</v>
      </c>
      <c r="C251" s="3">
        <v>1728.6</v>
      </c>
      <c r="D251" s="3">
        <v>1745</v>
      </c>
      <c r="E251" s="3">
        <v>1714</v>
      </c>
      <c r="F251" s="3">
        <v>1728.6</v>
      </c>
      <c r="G251" s="3">
        <v>1718</v>
      </c>
      <c r="H251" s="3">
        <v>1718.3</v>
      </c>
      <c r="I251" s="3">
        <v>1724.9</v>
      </c>
      <c r="J251" s="3">
        <v>2012.2</v>
      </c>
      <c r="K251" s="3">
        <v>1302.75</v>
      </c>
      <c r="L251" s="4">
        <v>1639826</v>
      </c>
      <c r="M251" s="3">
        <v>2828538647.3000002</v>
      </c>
      <c r="N251" s="4">
        <v>87719</v>
      </c>
      <c r="O251">
        <f t="shared" si="3"/>
        <v>-5.9585791970380398E-3</v>
      </c>
    </row>
    <row r="252" spans="1:15" ht="14.25" customHeight="1" x14ac:dyDescent="0.3">
      <c r="A252" s="2">
        <v>45840</v>
      </c>
      <c r="B252" t="s">
        <v>15</v>
      </c>
      <c r="C252" s="3">
        <v>1722</v>
      </c>
      <c r="D252" s="3">
        <v>1738.5</v>
      </c>
      <c r="E252" s="3">
        <v>1711</v>
      </c>
      <c r="F252" s="3">
        <v>1718.3</v>
      </c>
      <c r="G252" s="3">
        <v>1715</v>
      </c>
      <c r="H252" s="3">
        <v>1718.6</v>
      </c>
      <c r="I252" s="3">
        <v>1721.52</v>
      </c>
      <c r="J252" s="3">
        <v>2012.2</v>
      </c>
      <c r="K252" s="3">
        <v>1302.75</v>
      </c>
      <c r="L252" s="4">
        <v>2069447</v>
      </c>
      <c r="M252" s="3">
        <v>3562584157.8000002</v>
      </c>
      <c r="N252" s="4">
        <v>80448</v>
      </c>
      <c r="O252">
        <f t="shared" si="3"/>
        <v>1.7459116568698977E-4</v>
      </c>
    </row>
    <row r="253" spans="1:15" ht="14.25" customHeight="1" x14ac:dyDescent="0.3">
      <c r="A253" s="2">
        <v>45841</v>
      </c>
      <c r="B253" t="s">
        <v>15</v>
      </c>
      <c r="C253" s="3">
        <v>1716</v>
      </c>
      <c r="D253" s="3">
        <v>1730.5</v>
      </c>
      <c r="E253" s="3">
        <v>1706.5</v>
      </c>
      <c r="F253" s="3">
        <v>1718.6</v>
      </c>
      <c r="G253" s="3">
        <v>1710</v>
      </c>
      <c r="H253" s="3">
        <v>1711.9</v>
      </c>
      <c r="I253" s="3">
        <v>1718.24</v>
      </c>
      <c r="J253" s="3">
        <v>2012.2</v>
      </c>
      <c r="K253" s="3">
        <v>1302.75</v>
      </c>
      <c r="L253" s="4">
        <v>1839063</v>
      </c>
      <c r="M253" s="3">
        <v>3159957227.3000002</v>
      </c>
      <c r="N253" s="4">
        <v>75766</v>
      </c>
      <c r="O253">
        <f t="shared" si="3"/>
        <v>-3.8985220528335962E-3</v>
      </c>
    </row>
    <row r="254" spans="1:15" ht="14.25" customHeight="1" x14ac:dyDescent="0.3">
      <c r="A254" s="2">
        <v>45842</v>
      </c>
      <c r="B254" t="s">
        <v>15</v>
      </c>
      <c r="C254" s="3">
        <v>1715</v>
      </c>
      <c r="D254" s="3">
        <v>1729</v>
      </c>
      <c r="E254" s="3">
        <v>1706.2</v>
      </c>
      <c r="F254" s="3">
        <v>1711.9</v>
      </c>
      <c r="G254" s="3">
        <v>1725.9</v>
      </c>
      <c r="H254" s="3">
        <v>1725.9</v>
      </c>
      <c r="I254" s="3">
        <v>1719.03</v>
      </c>
      <c r="J254" s="3">
        <v>2012.2</v>
      </c>
      <c r="K254" s="3">
        <v>1302.75</v>
      </c>
      <c r="L254" s="4">
        <v>768500</v>
      </c>
      <c r="M254" s="3">
        <v>1321075472.4000001</v>
      </c>
      <c r="N254" s="4">
        <v>30997</v>
      </c>
      <c r="O254">
        <f t="shared" si="3"/>
        <v>8.1780477831649035E-3</v>
      </c>
    </row>
    <row r="255" spans="1:15" ht="14.25" customHeight="1" x14ac:dyDescent="0.3">
      <c r="A255" s="2">
        <v>45845</v>
      </c>
      <c r="B255" t="s">
        <v>15</v>
      </c>
      <c r="C255" s="3">
        <v>1725.5</v>
      </c>
      <c r="D255" s="3">
        <v>1725.5</v>
      </c>
      <c r="E255" s="3">
        <v>1703.3</v>
      </c>
      <c r="F255" s="3">
        <v>1725.9</v>
      </c>
      <c r="G255" s="3">
        <v>1707</v>
      </c>
      <c r="H255" s="3">
        <v>1710.4</v>
      </c>
      <c r="I255" s="3">
        <v>1711.09</v>
      </c>
      <c r="J255" s="3">
        <v>2012.2</v>
      </c>
      <c r="K255" s="3">
        <v>1302.75</v>
      </c>
      <c r="L255" s="4">
        <v>1366412</v>
      </c>
      <c r="M255" s="3">
        <v>2338060639.9000001</v>
      </c>
      <c r="N255" s="4">
        <v>56478</v>
      </c>
      <c r="O255">
        <f t="shared" si="3"/>
        <v>-8.9808216003244672E-3</v>
      </c>
    </row>
    <row r="256" spans="1:15" ht="14.25" customHeight="1" x14ac:dyDescent="0.3">
      <c r="A256" s="2">
        <v>45846</v>
      </c>
      <c r="B256" t="s">
        <v>15</v>
      </c>
      <c r="C256" s="3">
        <v>1700</v>
      </c>
      <c r="D256" s="3">
        <v>1718.9</v>
      </c>
      <c r="E256" s="3">
        <v>1687.5</v>
      </c>
      <c r="F256" s="3">
        <v>1710.4</v>
      </c>
      <c r="G256" s="3">
        <v>1700.1</v>
      </c>
      <c r="H256" s="3">
        <v>1708.1</v>
      </c>
      <c r="I256" s="3">
        <v>1704.55</v>
      </c>
      <c r="J256" s="3">
        <v>2012.2</v>
      </c>
      <c r="K256" s="3">
        <v>1302.75</v>
      </c>
      <c r="L256" s="4">
        <v>2139193</v>
      </c>
      <c r="M256" s="3">
        <v>3646356920.9000001</v>
      </c>
      <c r="N256" s="4">
        <v>78574</v>
      </c>
      <c r="O256">
        <f t="shared" si="3"/>
        <v>-1.3447146866231185E-3</v>
      </c>
    </row>
    <row r="257" spans="1:15" ht="14.25" customHeight="1" x14ac:dyDescent="0.3">
      <c r="A257" s="2">
        <v>45847</v>
      </c>
      <c r="B257" t="s">
        <v>15</v>
      </c>
      <c r="C257" s="3">
        <v>1710</v>
      </c>
      <c r="D257" s="3">
        <v>1714.3</v>
      </c>
      <c r="E257" s="3">
        <v>1671</v>
      </c>
      <c r="F257" s="3">
        <v>1708.1</v>
      </c>
      <c r="G257" s="3">
        <v>1673</v>
      </c>
      <c r="H257" s="3">
        <v>1674</v>
      </c>
      <c r="I257" s="3">
        <v>1680.92</v>
      </c>
      <c r="J257" s="3">
        <v>2012.2</v>
      </c>
      <c r="K257" s="3">
        <v>1302.75</v>
      </c>
      <c r="L257" s="4">
        <v>2894808</v>
      </c>
      <c r="M257" s="3">
        <v>4865926573.8000002</v>
      </c>
      <c r="N257" s="4">
        <v>107899</v>
      </c>
      <c r="O257">
        <f t="shared" si="3"/>
        <v>-1.9963702359346591E-2</v>
      </c>
    </row>
    <row r="258" spans="1:15" ht="14.25" customHeight="1" x14ac:dyDescent="0.3">
      <c r="A258" s="2">
        <v>45848</v>
      </c>
      <c r="B258" t="s">
        <v>15</v>
      </c>
      <c r="C258" s="3">
        <v>1675</v>
      </c>
      <c r="D258" s="3">
        <v>1679.9</v>
      </c>
      <c r="E258" s="3">
        <v>1649</v>
      </c>
      <c r="F258" s="3">
        <v>1674</v>
      </c>
      <c r="G258" s="3">
        <v>1660.1</v>
      </c>
      <c r="H258" s="3">
        <v>1663.7</v>
      </c>
      <c r="I258" s="3">
        <v>1661.89</v>
      </c>
      <c r="J258" s="3">
        <v>2012.2</v>
      </c>
      <c r="K258" s="3">
        <v>1302.75</v>
      </c>
      <c r="L258" s="4">
        <v>2740853</v>
      </c>
      <c r="M258" s="3">
        <v>4554994008.6999998</v>
      </c>
      <c r="N258" s="4">
        <v>87108</v>
      </c>
      <c r="O258">
        <f t="shared" si="3"/>
        <v>-6.1529271206690293E-3</v>
      </c>
    </row>
    <row r="259" spans="1:15" ht="14.25" customHeight="1" x14ac:dyDescent="0.3">
      <c r="A259" s="2">
        <v>45849</v>
      </c>
      <c r="B259" t="s">
        <v>15</v>
      </c>
      <c r="C259" s="3">
        <v>1643.2</v>
      </c>
      <c r="D259" s="3">
        <v>1655.5</v>
      </c>
      <c r="E259" s="3">
        <v>1630</v>
      </c>
      <c r="F259" s="3">
        <v>1663.7</v>
      </c>
      <c r="G259" s="3">
        <v>1633.3</v>
      </c>
      <c r="H259" s="3">
        <v>1638.3</v>
      </c>
      <c r="I259" s="3">
        <v>1640.55</v>
      </c>
      <c r="J259" s="3">
        <v>2012.2</v>
      </c>
      <c r="K259" s="3">
        <v>1302.75</v>
      </c>
      <c r="L259" s="4">
        <v>2548153</v>
      </c>
      <c r="M259" s="3">
        <v>4180370504.4000001</v>
      </c>
      <c r="N259" s="4">
        <v>91088</v>
      </c>
      <c r="O259">
        <f t="shared" ref="O259:O322" si="4">(H259-H258)/H258</f>
        <v>-1.5267175572519139E-2</v>
      </c>
    </row>
    <row r="260" spans="1:15" ht="14.25" customHeight="1" x14ac:dyDescent="0.3">
      <c r="A260" s="2">
        <v>45852</v>
      </c>
      <c r="B260" t="s">
        <v>15</v>
      </c>
      <c r="C260" s="3">
        <v>1640</v>
      </c>
      <c r="D260" s="3">
        <v>1642.4</v>
      </c>
      <c r="E260" s="3">
        <v>1607</v>
      </c>
      <c r="F260" s="3">
        <v>1638.3</v>
      </c>
      <c r="G260" s="3">
        <v>1613.5</v>
      </c>
      <c r="H260" s="3">
        <v>1619.8</v>
      </c>
      <c r="I260" s="3">
        <v>1617.76</v>
      </c>
      <c r="J260" s="3">
        <v>2012.2</v>
      </c>
      <c r="K260" s="3">
        <v>1302.75</v>
      </c>
      <c r="L260" s="4">
        <v>3334703</v>
      </c>
      <c r="M260" s="3">
        <v>5394743355</v>
      </c>
      <c r="N260" s="4">
        <v>100025</v>
      </c>
      <c r="O260">
        <f t="shared" si="4"/>
        <v>-1.1292193127021913E-2</v>
      </c>
    </row>
    <row r="261" spans="1:15" ht="14.25" customHeight="1" x14ac:dyDescent="0.3">
      <c r="A261" s="2">
        <v>45853</v>
      </c>
      <c r="B261" t="s">
        <v>15</v>
      </c>
      <c r="C261" s="3">
        <v>1590</v>
      </c>
      <c r="D261" s="3">
        <v>1621.4</v>
      </c>
      <c r="E261" s="3">
        <v>1550</v>
      </c>
      <c r="F261" s="3">
        <v>1619.8</v>
      </c>
      <c r="G261" s="3">
        <v>1567</v>
      </c>
      <c r="H261" s="3">
        <v>1566.4</v>
      </c>
      <c r="I261" s="3">
        <v>1573.16</v>
      </c>
      <c r="J261" s="3">
        <v>2012.2</v>
      </c>
      <c r="K261" s="3">
        <v>1302.75</v>
      </c>
      <c r="L261" s="4">
        <v>14685607</v>
      </c>
      <c r="M261" s="3">
        <v>23102790220.900002</v>
      </c>
      <c r="N261" s="4">
        <v>326840</v>
      </c>
      <c r="O261">
        <f t="shared" si="4"/>
        <v>-3.2967032967032885E-2</v>
      </c>
    </row>
    <row r="262" spans="1:15" ht="14.25" customHeight="1" x14ac:dyDescent="0.3">
      <c r="A262" s="2">
        <v>45854</v>
      </c>
      <c r="B262" t="s">
        <v>15</v>
      </c>
      <c r="C262" s="3">
        <v>1566.4</v>
      </c>
      <c r="D262" s="3">
        <v>1574</v>
      </c>
      <c r="E262" s="3">
        <v>1560</v>
      </c>
      <c r="F262" s="3">
        <v>1566.4</v>
      </c>
      <c r="G262" s="3">
        <v>1562</v>
      </c>
      <c r="H262" s="3">
        <v>1562.8</v>
      </c>
      <c r="I262" s="3">
        <v>1567.13</v>
      </c>
      <c r="J262" s="3">
        <v>2012.2</v>
      </c>
      <c r="K262" s="3">
        <v>1302.75</v>
      </c>
      <c r="L262" s="4">
        <v>5218099</v>
      </c>
      <c r="M262" s="3">
        <v>8177462798.5</v>
      </c>
      <c r="N262" s="4">
        <v>98177</v>
      </c>
      <c r="O262">
        <f t="shared" si="4"/>
        <v>-2.2982635342186771E-3</v>
      </c>
    </row>
    <row r="263" spans="1:15" ht="14.25" customHeight="1" x14ac:dyDescent="0.3">
      <c r="A263" s="2">
        <v>45855</v>
      </c>
      <c r="B263" t="s">
        <v>15</v>
      </c>
      <c r="C263" s="3">
        <v>1563.6</v>
      </c>
      <c r="D263" s="3">
        <v>1566.8</v>
      </c>
      <c r="E263" s="3">
        <v>1542.4</v>
      </c>
      <c r="F263" s="3">
        <v>1562.8</v>
      </c>
      <c r="G263" s="3">
        <v>1544.2</v>
      </c>
      <c r="H263" s="3">
        <v>1543.9</v>
      </c>
      <c r="I263" s="3">
        <v>1555.4</v>
      </c>
      <c r="J263" s="3">
        <v>2012.2</v>
      </c>
      <c r="K263" s="3">
        <v>1302.75</v>
      </c>
      <c r="L263" s="4">
        <v>4966082</v>
      </c>
      <c r="M263" s="3">
        <v>7724220966.6999998</v>
      </c>
      <c r="N263" s="4">
        <v>127217</v>
      </c>
      <c r="O263">
        <f t="shared" si="4"/>
        <v>-1.209367801382126E-2</v>
      </c>
    </row>
    <row r="264" spans="1:15" ht="14.25" customHeight="1" x14ac:dyDescent="0.3">
      <c r="A264" s="2">
        <v>45856</v>
      </c>
      <c r="B264" t="s">
        <v>15</v>
      </c>
      <c r="C264" s="3">
        <v>1544</v>
      </c>
      <c r="D264" s="3">
        <v>1550</v>
      </c>
      <c r="E264" s="3">
        <v>1530</v>
      </c>
      <c r="F264" s="3">
        <v>1543.9</v>
      </c>
      <c r="G264" s="3">
        <v>1549.1</v>
      </c>
      <c r="H264" s="3">
        <v>1548.8</v>
      </c>
      <c r="I264" s="3">
        <v>1541.04</v>
      </c>
      <c r="J264" s="3">
        <v>2012.2</v>
      </c>
      <c r="K264" s="3">
        <v>1302.75</v>
      </c>
      <c r="L264" s="4">
        <v>3902458</v>
      </c>
      <c r="M264" s="3">
        <v>6013841093.8000002</v>
      </c>
      <c r="N264" s="4">
        <v>88894</v>
      </c>
      <c r="O264">
        <f t="shared" si="4"/>
        <v>3.1737806852774552E-3</v>
      </c>
    </row>
    <row r="265" spans="1:15" ht="14.25" customHeight="1" x14ac:dyDescent="0.3">
      <c r="A265" s="2">
        <v>45859</v>
      </c>
      <c r="B265" t="s">
        <v>15</v>
      </c>
      <c r="C265" s="3">
        <v>1548.8</v>
      </c>
      <c r="D265" s="3">
        <v>1550.7</v>
      </c>
      <c r="E265" s="3">
        <v>1526</v>
      </c>
      <c r="F265" s="3">
        <v>1548.8</v>
      </c>
      <c r="G265" s="3">
        <v>1530.8</v>
      </c>
      <c r="H265" s="3">
        <v>1530.4</v>
      </c>
      <c r="I265" s="3">
        <v>1532.77</v>
      </c>
      <c r="J265" s="3">
        <v>2012.2</v>
      </c>
      <c r="K265" s="3">
        <v>1302.75</v>
      </c>
      <c r="L265" s="4">
        <v>3368842</v>
      </c>
      <c r="M265" s="3">
        <v>5163643439.5</v>
      </c>
      <c r="N265" s="4">
        <v>90546</v>
      </c>
      <c r="O265">
        <f t="shared" si="4"/>
        <v>-1.188016528925611E-2</v>
      </c>
    </row>
    <row r="266" spans="1:15" ht="14.25" customHeight="1" x14ac:dyDescent="0.3">
      <c r="A266" s="2">
        <v>45860</v>
      </c>
      <c r="B266" t="s">
        <v>15</v>
      </c>
      <c r="C266" s="3">
        <v>1533.1</v>
      </c>
      <c r="D266" s="3">
        <v>1539.8</v>
      </c>
      <c r="E266" s="3">
        <v>1518.3</v>
      </c>
      <c r="F266" s="3">
        <v>1530.4</v>
      </c>
      <c r="G266" s="3">
        <v>1520.5</v>
      </c>
      <c r="H266" s="3">
        <v>1520.1</v>
      </c>
      <c r="I266" s="3">
        <v>1528.68</v>
      </c>
      <c r="J266" s="3">
        <v>2012.2</v>
      </c>
      <c r="K266" s="3">
        <v>1302.75</v>
      </c>
      <c r="L266" s="4">
        <v>3218227</v>
      </c>
      <c r="M266" s="3">
        <v>4919633245</v>
      </c>
      <c r="N266" s="4">
        <v>72081</v>
      </c>
      <c r="O266">
        <f t="shared" si="4"/>
        <v>-6.7302665969682313E-3</v>
      </c>
    </row>
    <row r="267" spans="1:15" ht="14.25" customHeight="1" x14ac:dyDescent="0.3">
      <c r="A267" s="2">
        <v>45861</v>
      </c>
      <c r="B267" t="s">
        <v>15</v>
      </c>
      <c r="C267" s="3">
        <v>1524.1</v>
      </c>
      <c r="D267" s="3">
        <v>1536</v>
      </c>
      <c r="E267" s="3">
        <v>1518</v>
      </c>
      <c r="F267" s="3">
        <v>1520.1</v>
      </c>
      <c r="G267" s="3">
        <v>1528.8</v>
      </c>
      <c r="H267" s="3">
        <v>1529.8</v>
      </c>
      <c r="I267" s="3">
        <v>1527.16</v>
      </c>
      <c r="J267" s="3">
        <v>2012.2</v>
      </c>
      <c r="K267" s="3">
        <v>1302.75</v>
      </c>
      <c r="L267" s="4">
        <v>3471536</v>
      </c>
      <c r="M267" s="3">
        <v>5301591458.1999998</v>
      </c>
      <c r="N267" s="4">
        <v>75211</v>
      </c>
      <c r="O267">
        <f t="shared" si="4"/>
        <v>6.3811591342675129E-3</v>
      </c>
    </row>
    <row r="268" spans="1:15" ht="14.25" customHeight="1" x14ac:dyDescent="0.3">
      <c r="A268" s="2">
        <v>45862</v>
      </c>
      <c r="B268" t="s">
        <v>15</v>
      </c>
      <c r="C268" s="3">
        <v>1530</v>
      </c>
      <c r="D268" s="3">
        <v>1537.9</v>
      </c>
      <c r="E268" s="3">
        <v>1501.6</v>
      </c>
      <c r="F268" s="3">
        <v>1529.8</v>
      </c>
      <c r="G268" s="3">
        <v>1510.1</v>
      </c>
      <c r="H268" s="3">
        <v>1507.2</v>
      </c>
      <c r="I268" s="3">
        <v>1515.11</v>
      </c>
      <c r="J268" s="3">
        <v>2012.2</v>
      </c>
      <c r="K268" s="3">
        <v>1302.75</v>
      </c>
      <c r="L268" s="4">
        <v>4654421</v>
      </c>
      <c r="M268" s="3">
        <v>7051940202.5</v>
      </c>
      <c r="N268" s="4">
        <v>99951</v>
      </c>
      <c r="O268">
        <f t="shared" si="4"/>
        <v>-1.4773172963786057E-2</v>
      </c>
    </row>
    <row r="269" spans="1:15" ht="14.25" customHeight="1" x14ac:dyDescent="0.3">
      <c r="A269" s="2">
        <v>45863</v>
      </c>
      <c r="B269" t="s">
        <v>15</v>
      </c>
      <c r="C269" s="3">
        <v>1501.1</v>
      </c>
      <c r="D269" s="3">
        <v>1512.2</v>
      </c>
      <c r="E269" s="3">
        <v>1486.6</v>
      </c>
      <c r="F269" s="3">
        <v>1507.2</v>
      </c>
      <c r="G269" s="3">
        <v>1490</v>
      </c>
      <c r="H269" s="3">
        <v>1490.1</v>
      </c>
      <c r="I269" s="3">
        <v>1499.87</v>
      </c>
      <c r="J269" s="3">
        <v>2012.2</v>
      </c>
      <c r="K269" s="3">
        <v>1302.75</v>
      </c>
      <c r="L269" s="4">
        <v>2733655</v>
      </c>
      <c r="M269" s="3">
        <v>4100140037.4000001</v>
      </c>
      <c r="N269" s="4">
        <v>100304</v>
      </c>
      <c r="O269">
        <f t="shared" si="4"/>
        <v>-1.1345541401273975E-2</v>
      </c>
    </row>
    <row r="270" spans="1:15" ht="14.25" customHeight="1" x14ac:dyDescent="0.3">
      <c r="A270" s="2">
        <v>45866</v>
      </c>
      <c r="B270" t="s">
        <v>15</v>
      </c>
      <c r="C270" s="3">
        <v>1490.1</v>
      </c>
      <c r="D270" s="3">
        <v>1494.2</v>
      </c>
      <c r="E270" s="3">
        <v>1463.5</v>
      </c>
      <c r="F270" s="3">
        <v>1490.1</v>
      </c>
      <c r="G270" s="3">
        <v>1468</v>
      </c>
      <c r="H270" s="3">
        <v>1466.1</v>
      </c>
      <c r="I270" s="3">
        <v>1474.52</v>
      </c>
      <c r="J270" s="3">
        <v>2012.2</v>
      </c>
      <c r="K270" s="3">
        <v>1302.75</v>
      </c>
      <c r="L270" s="4">
        <v>4404841</v>
      </c>
      <c r="M270" s="3">
        <v>6495043431.3000002</v>
      </c>
      <c r="N270" s="4">
        <v>158378</v>
      </c>
      <c r="O270">
        <f t="shared" si="4"/>
        <v>-1.6106301590497283E-2</v>
      </c>
    </row>
    <row r="271" spans="1:15" ht="14.25" customHeight="1" x14ac:dyDescent="0.3">
      <c r="A271" s="2">
        <v>45867</v>
      </c>
      <c r="B271" t="s">
        <v>15</v>
      </c>
      <c r="C271" s="3">
        <v>1466.1</v>
      </c>
      <c r="D271" s="3">
        <v>1477.5</v>
      </c>
      <c r="E271" s="3">
        <v>1461</v>
      </c>
      <c r="F271" s="3">
        <v>1466.1</v>
      </c>
      <c r="G271" s="3">
        <v>1475</v>
      </c>
      <c r="H271" s="3">
        <v>1472.4</v>
      </c>
      <c r="I271" s="3">
        <v>1470</v>
      </c>
      <c r="J271" s="3">
        <v>2012.2</v>
      </c>
      <c r="K271" s="3">
        <v>1302.75</v>
      </c>
      <c r="L271" s="4">
        <v>6223556</v>
      </c>
      <c r="M271" s="3">
        <v>9148599091.1000004</v>
      </c>
      <c r="N271" s="4">
        <v>120183</v>
      </c>
      <c r="O271">
        <f t="shared" si="4"/>
        <v>4.2971147943524877E-3</v>
      </c>
    </row>
    <row r="272" spans="1:15" ht="14.25" customHeight="1" x14ac:dyDescent="0.3">
      <c r="A272" s="2">
        <v>45868</v>
      </c>
      <c r="B272" t="s">
        <v>15</v>
      </c>
      <c r="C272" s="3">
        <v>1480.5</v>
      </c>
      <c r="D272" s="3">
        <v>1484.3</v>
      </c>
      <c r="E272" s="3">
        <v>1468.8</v>
      </c>
      <c r="F272" s="3">
        <v>1472.4</v>
      </c>
      <c r="G272" s="3">
        <v>1478</v>
      </c>
      <c r="H272" s="3">
        <v>1476.5</v>
      </c>
      <c r="I272" s="3">
        <v>1474.63</v>
      </c>
      <c r="J272" s="3">
        <v>2012.2</v>
      </c>
      <c r="K272" s="3">
        <v>1302.75</v>
      </c>
      <c r="L272" s="4">
        <v>1642426</v>
      </c>
      <c r="M272" s="3">
        <v>2421970361.6999998</v>
      </c>
      <c r="N272" s="4">
        <v>67844</v>
      </c>
      <c r="O272">
        <f t="shared" si="4"/>
        <v>2.784569410486219E-3</v>
      </c>
    </row>
    <row r="273" spans="1:15" ht="14.25" customHeight="1" x14ac:dyDescent="0.3">
      <c r="A273" s="2">
        <v>45869</v>
      </c>
      <c r="B273" t="s">
        <v>15</v>
      </c>
      <c r="C273" s="3">
        <v>1465</v>
      </c>
      <c r="D273" s="3">
        <v>1482.7</v>
      </c>
      <c r="E273" s="3">
        <v>1459.5</v>
      </c>
      <c r="F273" s="3">
        <v>1476.5</v>
      </c>
      <c r="G273" s="3">
        <v>1465.2</v>
      </c>
      <c r="H273" s="3">
        <v>1467.9</v>
      </c>
      <c r="I273" s="3">
        <v>1469.99</v>
      </c>
      <c r="J273" s="3">
        <v>2012.2</v>
      </c>
      <c r="K273" s="3">
        <v>1302.75</v>
      </c>
      <c r="L273" s="4">
        <v>2306285</v>
      </c>
      <c r="M273" s="3">
        <v>3390207270.5</v>
      </c>
      <c r="N273" s="4">
        <v>85966</v>
      </c>
      <c r="O273">
        <f t="shared" si="4"/>
        <v>-5.8245851676260816E-3</v>
      </c>
    </row>
    <row r="274" spans="1:15" ht="14.25" customHeight="1" x14ac:dyDescent="0.3">
      <c r="A274" s="2">
        <v>45870</v>
      </c>
      <c r="B274" t="s">
        <v>15</v>
      </c>
      <c r="C274" s="3">
        <v>1465</v>
      </c>
      <c r="D274" s="3">
        <v>1466.9</v>
      </c>
      <c r="E274" s="3">
        <v>1450</v>
      </c>
      <c r="F274" s="3">
        <v>1467.9</v>
      </c>
      <c r="G274" s="3">
        <v>1450.2</v>
      </c>
      <c r="H274" s="3">
        <v>1452.1</v>
      </c>
      <c r="I274" s="3">
        <v>1455.75</v>
      </c>
      <c r="J274" s="3">
        <v>2012.2</v>
      </c>
      <c r="K274" s="3">
        <v>1302.75</v>
      </c>
      <c r="L274" s="4">
        <v>2152783</v>
      </c>
      <c r="M274" s="3">
        <v>3133915241.5999999</v>
      </c>
      <c r="N274" s="4">
        <v>68532</v>
      </c>
      <c r="O274">
        <f t="shared" si="4"/>
        <v>-1.0763675999727626E-2</v>
      </c>
    </row>
    <row r="275" spans="1:15" ht="14.25" customHeight="1" x14ac:dyDescent="0.3">
      <c r="A275" s="2">
        <v>45873</v>
      </c>
      <c r="B275" t="s">
        <v>15</v>
      </c>
      <c r="C275" s="3">
        <v>1452.1</v>
      </c>
      <c r="D275" s="3">
        <v>1475.4</v>
      </c>
      <c r="E275" s="3">
        <v>1440.6</v>
      </c>
      <c r="F275" s="3">
        <v>1452.1</v>
      </c>
      <c r="G275" s="3">
        <v>1470.4</v>
      </c>
      <c r="H275" s="3">
        <v>1474.4</v>
      </c>
      <c r="I275" s="3">
        <v>1460.11</v>
      </c>
      <c r="J275" s="3">
        <v>2012.2</v>
      </c>
      <c r="K275" s="3">
        <v>1302.75</v>
      </c>
      <c r="L275" s="4">
        <v>2384774</v>
      </c>
      <c r="M275" s="3">
        <v>3482029698</v>
      </c>
      <c r="N275" s="4">
        <v>89707</v>
      </c>
      <c r="O275">
        <f t="shared" si="4"/>
        <v>1.5357069072378061E-2</v>
      </c>
    </row>
    <row r="276" spans="1:15" ht="14.25" customHeight="1" x14ac:dyDescent="0.3">
      <c r="A276" s="2">
        <v>45874</v>
      </c>
      <c r="B276" t="s">
        <v>15</v>
      </c>
      <c r="C276" s="3">
        <v>1479.9</v>
      </c>
      <c r="D276" s="3">
        <v>1485.4</v>
      </c>
      <c r="E276" s="3">
        <v>1471.2</v>
      </c>
      <c r="F276" s="3">
        <v>1474.4</v>
      </c>
      <c r="G276" s="3">
        <v>1480.9</v>
      </c>
      <c r="H276" s="3">
        <v>1482.7</v>
      </c>
      <c r="I276" s="3">
        <v>1480.25</v>
      </c>
      <c r="J276" s="3">
        <v>2012.2</v>
      </c>
      <c r="K276" s="3">
        <v>1302.75</v>
      </c>
      <c r="L276" s="4">
        <v>2614394</v>
      </c>
      <c r="M276" s="3">
        <v>3869964552.0999999</v>
      </c>
      <c r="N276" s="4">
        <v>99995</v>
      </c>
      <c r="O276">
        <f t="shared" si="4"/>
        <v>5.6294085729788074E-3</v>
      </c>
    </row>
    <row r="277" spans="1:15" ht="14.25" customHeight="1" x14ac:dyDescent="0.3">
      <c r="A277" s="2">
        <v>45875</v>
      </c>
      <c r="B277" t="s">
        <v>15</v>
      </c>
      <c r="C277" s="3">
        <v>1480.9</v>
      </c>
      <c r="D277" s="3">
        <v>1483.7</v>
      </c>
      <c r="E277" s="3">
        <v>1456.4</v>
      </c>
      <c r="F277" s="3">
        <v>1482.7</v>
      </c>
      <c r="G277" s="3">
        <v>1459.9</v>
      </c>
      <c r="H277" s="3">
        <v>1463.2</v>
      </c>
      <c r="I277" s="3">
        <v>1465.98</v>
      </c>
      <c r="J277" s="3">
        <v>2012.2</v>
      </c>
      <c r="K277" s="3">
        <v>1302.75</v>
      </c>
      <c r="L277" s="4">
        <v>1735697</v>
      </c>
      <c r="M277" s="3">
        <v>2544501469.1999998</v>
      </c>
      <c r="N277" s="4">
        <v>93730</v>
      </c>
      <c r="O277">
        <f t="shared" si="4"/>
        <v>-1.3151682740945572E-2</v>
      </c>
    </row>
    <row r="278" spans="1:15" ht="14.25" customHeight="1" x14ac:dyDescent="0.3">
      <c r="A278" s="2">
        <v>45876</v>
      </c>
      <c r="B278" t="s">
        <v>15</v>
      </c>
      <c r="C278" s="3">
        <v>1458</v>
      </c>
      <c r="D278" s="3">
        <v>1479.2</v>
      </c>
      <c r="E278" s="3">
        <v>1451</v>
      </c>
      <c r="F278" s="3">
        <v>1463.2</v>
      </c>
      <c r="G278" s="3">
        <v>1479.1</v>
      </c>
      <c r="H278" s="3">
        <v>1475.5</v>
      </c>
      <c r="I278" s="3">
        <v>1462.9</v>
      </c>
      <c r="J278" s="3">
        <v>2012.2</v>
      </c>
      <c r="K278" s="3">
        <v>1302.75</v>
      </c>
      <c r="L278" s="4">
        <v>1495363</v>
      </c>
      <c r="M278" s="3">
        <v>2187569625.5</v>
      </c>
      <c r="N278" s="4">
        <v>70071</v>
      </c>
      <c r="O278">
        <f t="shared" si="4"/>
        <v>8.406232914160712E-3</v>
      </c>
    </row>
    <row r="279" spans="1:15" ht="14.25" customHeight="1" x14ac:dyDescent="0.3">
      <c r="A279" s="2">
        <v>45877</v>
      </c>
      <c r="B279" t="s">
        <v>15</v>
      </c>
      <c r="C279" s="3">
        <v>1474.8</v>
      </c>
      <c r="D279" s="3">
        <v>1482.2</v>
      </c>
      <c r="E279" s="3">
        <v>1459</v>
      </c>
      <c r="F279" s="3">
        <v>1475.5</v>
      </c>
      <c r="G279" s="3">
        <v>1476.3</v>
      </c>
      <c r="H279" s="3">
        <v>1475.7</v>
      </c>
      <c r="I279" s="3">
        <v>1473.68</v>
      </c>
      <c r="J279" s="3">
        <v>2012.2</v>
      </c>
      <c r="K279" s="3">
        <v>1302.75</v>
      </c>
      <c r="L279" s="4">
        <v>2815614</v>
      </c>
      <c r="M279" s="3">
        <v>4149299969.9000001</v>
      </c>
      <c r="N279" s="4">
        <v>82918</v>
      </c>
      <c r="O279">
        <f t="shared" si="4"/>
        <v>1.3554727211117959E-4</v>
      </c>
    </row>
    <row r="280" spans="1:15" ht="14.25" customHeight="1" x14ac:dyDescent="0.3">
      <c r="A280" s="2">
        <v>45880</v>
      </c>
      <c r="B280" t="s">
        <v>15</v>
      </c>
      <c r="C280" s="3">
        <v>1475</v>
      </c>
      <c r="D280" s="3">
        <v>1531</v>
      </c>
      <c r="E280" s="3">
        <v>1465.6</v>
      </c>
      <c r="F280" s="3">
        <v>1475.7</v>
      </c>
      <c r="G280" s="3">
        <v>1484.1</v>
      </c>
      <c r="H280" s="3">
        <v>1488</v>
      </c>
      <c r="I280" s="3">
        <v>1484.68</v>
      </c>
      <c r="J280" s="3">
        <v>2012.2</v>
      </c>
      <c r="K280" s="3">
        <v>1302.75</v>
      </c>
      <c r="L280" s="4">
        <v>2374556</v>
      </c>
      <c r="M280" s="3">
        <v>3525455889.1999998</v>
      </c>
      <c r="N280" s="4">
        <v>92769</v>
      </c>
      <c r="O280">
        <f t="shared" si="4"/>
        <v>8.3350274446025302E-3</v>
      </c>
    </row>
    <row r="281" spans="1:15" ht="14.25" customHeight="1" x14ac:dyDescent="0.3">
      <c r="A281" s="2">
        <v>45881</v>
      </c>
      <c r="B281" t="s">
        <v>15</v>
      </c>
      <c r="C281" s="3">
        <v>1490</v>
      </c>
      <c r="D281" s="3">
        <v>1509.9</v>
      </c>
      <c r="E281" s="3">
        <v>1489</v>
      </c>
      <c r="F281" s="3">
        <v>1488</v>
      </c>
      <c r="G281" s="3">
        <v>1498</v>
      </c>
      <c r="H281" s="3">
        <v>1499.1</v>
      </c>
      <c r="I281" s="3">
        <v>1501.89</v>
      </c>
      <c r="J281" s="3">
        <v>2012.2</v>
      </c>
      <c r="K281" s="3">
        <v>1302.75</v>
      </c>
      <c r="L281" s="4">
        <v>3422656</v>
      </c>
      <c r="M281" s="3">
        <v>5140444209.3999996</v>
      </c>
      <c r="N281" s="4">
        <v>120984</v>
      </c>
      <c r="O281">
        <f t="shared" si="4"/>
        <v>7.459677419354778E-3</v>
      </c>
    </row>
    <row r="282" spans="1:15" ht="14.25" customHeight="1" x14ac:dyDescent="0.3">
      <c r="A282" s="2">
        <v>45882</v>
      </c>
      <c r="B282" t="s">
        <v>15</v>
      </c>
      <c r="C282" s="3">
        <v>1500</v>
      </c>
      <c r="D282" s="3">
        <v>1507.5</v>
      </c>
      <c r="E282" s="3">
        <v>1489</v>
      </c>
      <c r="F282" s="3">
        <v>1499.1</v>
      </c>
      <c r="G282" s="3">
        <v>1498.8</v>
      </c>
      <c r="H282" s="3">
        <v>1501.1</v>
      </c>
      <c r="I282" s="3">
        <v>1500</v>
      </c>
      <c r="J282" s="3">
        <v>2012.2</v>
      </c>
      <c r="K282" s="3">
        <v>1302.75</v>
      </c>
      <c r="L282" s="4">
        <v>2916128</v>
      </c>
      <c r="M282" s="3">
        <v>4374180694.8000002</v>
      </c>
      <c r="N282" s="4">
        <v>63563</v>
      </c>
      <c r="O282">
        <f t="shared" si="4"/>
        <v>1.3341338136215063E-3</v>
      </c>
    </row>
    <row r="283" spans="1:15" ht="14.25" customHeight="1" x14ac:dyDescent="0.3">
      <c r="A283" s="2">
        <v>45883</v>
      </c>
      <c r="B283" t="s">
        <v>15</v>
      </c>
      <c r="C283" s="3">
        <v>1501</v>
      </c>
      <c r="D283" s="3">
        <v>1516.2</v>
      </c>
      <c r="E283" s="3">
        <v>1485.8</v>
      </c>
      <c r="F283" s="3">
        <v>1501.1</v>
      </c>
      <c r="G283" s="3">
        <v>1489</v>
      </c>
      <c r="H283" s="3">
        <v>1489.8</v>
      </c>
      <c r="I283" s="3">
        <v>1501.41</v>
      </c>
      <c r="J283" s="3">
        <v>2012.2</v>
      </c>
      <c r="K283" s="3">
        <v>1302.75</v>
      </c>
      <c r="L283" s="4">
        <v>4227538</v>
      </c>
      <c r="M283" s="3">
        <v>6347285518.5</v>
      </c>
      <c r="N283" s="4">
        <v>111160</v>
      </c>
      <c r="O283">
        <f t="shared" si="4"/>
        <v>-7.5278129371793723E-3</v>
      </c>
    </row>
    <row r="284" spans="1:15" ht="14.25" customHeight="1" x14ac:dyDescent="0.3">
      <c r="A284" s="2">
        <v>45887</v>
      </c>
      <c r="B284" t="s">
        <v>15</v>
      </c>
      <c r="C284" s="3">
        <v>1498.1</v>
      </c>
      <c r="D284" s="3">
        <v>1501.9</v>
      </c>
      <c r="E284" s="3">
        <v>1475.9</v>
      </c>
      <c r="F284" s="3">
        <v>1489.8</v>
      </c>
      <c r="G284" s="3">
        <v>1481.6</v>
      </c>
      <c r="H284" s="3">
        <v>1485</v>
      </c>
      <c r="I284" s="3">
        <v>1483.48</v>
      </c>
      <c r="J284" s="3">
        <v>2012.2</v>
      </c>
      <c r="K284" s="3">
        <v>1302.75</v>
      </c>
      <c r="L284" s="4">
        <v>2795155</v>
      </c>
      <c r="M284" s="3">
        <v>4146546206.9000001</v>
      </c>
      <c r="N284" s="4">
        <v>82653</v>
      </c>
      <c r="O284">
        <f t="shared" si="4"/>
        <v>-3.2219089810712545E-3</v>
      </c>
    </row>
    <row r="285" spans="1:15" ht="14.25" customHeight="1" x14ac:dyDescent="0.3">
      <c r="A285" s="2">
        <v>45888</v>
      </c>
      <c r="B285" t="s">
        <v>15</v>
      </c>
      <c r="C285" s="3">
        <v>1476.3</v>
      </c>
      <c r="D285" s="3">
        <v>1482.6</v>
      </c>
      <c r="E285" s="3">
        <v>1469.2</v>
      </c>
      <c r="F285" s="3">
        <v>1485</v>
      </c>
      <c r="G285" s="3">
        <v>1479.7</v>
      </c>
      <c r="H285" s="3">
        <v>1476.1</v>
      </c>
      <c r="I285" s="3">
        <v>1476.27</v>
      </c>
      <c r="J285" s="3">
        <v>2012.2</v>
      </c>
      <c r="K285" s="3">
        <v>1302.75</v>
      </c>
      <c r="L285" s="4">
        <v>2515817</v>
      </c>
      <c r="M285" s="3">
        <v>3714033649</v>
      </c>
      <c r="N285" s="4">
        <v>119284</v>
      </c>
      <c r="O285">
        <f t="shared" si="4"/>
        <v>-5.9932659932660547E-3</v>
      </c>
    </row>
    <row r="286" spans="1:15" ht="14.25" customHeight="1" x14ac:dyDescent="0.3">
      <c r="A286" s="2">
        <v>45889</v>
      </c>
      <c r="B286" t="s">
        <v>15</v>
      </c>
      <c r="C286" s="3">
        <v>1468</v>
      </c>
      <c r="D286" s="3">
        <v>1500.3</v>
      </c>
      <c r="E286" s="3">
        <v>1458</v>
      </c>
      <c r="F286" s="3">
        <v>1476.1</v>
      </c>
      <c r="G286" s="3">
        <v>1496</v>
      </c>
      <c r="H286" s="3">
        <v>1496</v>
      </c>
      <c r="I286" s="3">
        <v>1478.37</v>
      </c>
      <c r="J286" s="3">
        <v>2012.2</v>
      </c>
      <c r="K286" s="3">
        <v>1302.75</v>
      </c>
      <c r="L286" s="4">
        <v>10219330</v>
      </c>
      <c r="M286" s="3">
        <v>15107972962.9</v>
      </c>
      <c r="N286" s="4">
        <v>135680</v>
      </c>
      <c r="O286">
        <f t="shared" si="4"/>
        <v>1.3481471445024113E-2</v>
      </c>
    </row>
    <row r="287" spans="1:15" ht="14.25" customHeight="1" x14ac:dyDescent="0.3">
      <c r="A287" s="2">
        <v>45890</v>
      </c>
      <c r="B287" t="s">
        <v>15</v>
      </c>
      <c r="C287" s="3">
        <v>1500</v>
      </c>
      <c r="D287" s="3">
        <v>1505</v>
      </c>
      <c r="E287" s="3">
        <v>1486.1</v>
      </c>
      <c r="F287" s="3">
        <v>1496</v>
      </c>
      <c r="G287" s="3">
        <v>1495</v>
      </c>
      <c r="H287" s="3">
        <v>1493.5</v>
      </c>
      <c r="I287" s="3">
        <v>1495.28</v>
      </c>
      <c r="J287" s="3">
        <v>2012.2</v>
      </c>
      <c r="K287" s="3">
        <v>1302.75</v>
      </c>
      <c r="L287" s="4">
        <v>2157601</v>
      </c>
      <c r="M287" s="3">
        <v>3226215087.9000001</v>
      </c>
      <c r="N287" s="4">
        <v>83784</v>
      </c>
      <c r="O287">
        <f t="shared" si="4"/>
        <v>-1.6711229946524064E-3</v>
      </c>
    </row>
    <row r="288" spans="1:15" ht="14.25" customHeight="1" x14ac:dyDescent="0.3">
      <c r="A288" s="2">
        <v>45891</v>
      </c>
      <c r="B288" t="s">
        <v>15</v>
      </c>
      <c r="C288" s="3">
        <v>1489.6</v>
      </c>
      <c r="D288" s="3">
        <v>1491.5</v>
      </c>
      <c r="E288" s="3">
        <v>1464</v>
      </c>
      <c r="F288" s="3">
        <v>1493.5</v>
      </c>
      <c r="G288" s="3">
        <v>1467.1</v>
      </c>
      <c r="H288" s="3">
        <v>1466.3</v>
      </c>
      <c r="I288" s="3">
        <v>1470.96</v>
      </c>
      <c r="J288" s="3">
        <v>2012.2</v>
      </c>
      <c r="K288" s="3">
        <v>1302.75</v>
      </c>
      <c r="L288" s="4">
        <v>2802805</v>
      </c>
      <c r="M288" s="3">
        <v>4122818257.0999999</v>
      </c>
      <c r="N288" s="4">
        <v>97554</v>
      </c>
      <c r="O288">
        <f t="shared" si="4"/>
        <v>-1.8212253096752624E-2</v>
      </c>
    </row>
    <row r="289" spans="1:15" ht="14.25" customHeight="1" x14ac:dyDescent="0.3">
      <c r="A289" s="2">
        <v>45894</v>
      </c>
      <c r="B289" t="s">
        <v>15</v>
      </c>
      <c r="C289" s="3">
        <v>1480</v>
      </c>
      <c r="D289" s="3">
        <v>1509.7</v>
      </c>
      <c r="E289" s="3">
        <v>1476.2</v>
      </c>
      <c r="F289" s="3">
        <v>1466.3</v>
      </c>
      <c r="G289" s="3">
        <v>1505</v>
      </c>
      <c r="H289" s="3">
        <v>1504.2</v>
      </c>
      <c r="I289" s="3">
        <v>1500.79</v>
      </c>
      <c r="J289" s="3">
        <v>2012.2</v>
      </c>
      <c r="K289" s="3">
        <v>1302.75</v>
      </c>
      <c r="L289" s="4">
        <v>2764914</v>
      </c>
      <c r="M289" s="3">
        <v>4149544169.5</v>
      </c>
      <c r="N289" s="4">
        <v>131390</v>
      </c>
      <c r="O289">
        <f t="shared" si="4"/>
        <v>2.5847370933642564E-2</v>
      </c>
    </row>
    <row r="290" spans="1:15" ht="14.25" customHeight="1" x14ac:dyDescent="0.3">
      <c r="A290" s="2">
        <v>45895</v>
      </c>
      <c r="B290" t="s">
        <v>15</v>
      </c>
      <c r="C290" s="3">
        <v>1501.9</v>
      </c>
      <c r="D290" s="3">
        <v>1506.5</v>
      </c>
      <c r="E290" s="3">
        <v>1485</v>
      </c>
      <c r="F290" s="3">
        <v>1504.2</v>
      </c>
      <c r="G290" s="3">
        <v>1489.3</v>
      </c>
      <c r="H290" s="3">
        <v>1492.8</v>
      </c>
      <c r="I290" s="3">
        <v>1495.22</v>
      </c>
      <c r="J290" s="3">
        <v>2012.2</v>
      </c>
      <c r="K290" s="3">
        <v>1302.75</v>
      </c>
      <c r="L290" s="4">
        <v>4092265</v>
      </c>
      <c r="M290" s="3">
        <v>6118849339.1999998</v>
      </c>
      <c r="N290" s="4">
        <v>90975</v>
      </c>
      <c r="O290">
        <f t="shared" si="4"/>
        <v>-7.5787794176306947E-3</v>
      </c>
    </row>
    <row r="291" spans="1:15" ht="14.25" customHeight="1" x14ac:dyDescent="0.3">
      <c r="A291" s="2">
        <v>45897</v>
      </c>
      <c r="B291" t="s">
        <v>15</v>
      </c>
      <c r="C291" s="3">
        <v>1488</v>
      </c>
      <c r="D291" s="3">
        <v>1488</v>
      </c>
      <c r="E291" s="3">
        <v>1446</v>
      </c>
      <c r="F291" s="3">
        <v>1492.8</v>
      </c>
      <c r="G291" s="3">
        <v>1450.2</v>
      </c>
      <c r="H291" s="3">
        <v>1449.8</v>
      </c>
      <c r="I291" s="3">
        <v>1457.19</v>
      </c>
      <c r="J291" s="3">
        <v>2012.2</v>
      </c>
      <c r="K291" s="3">
        <v>1302.75</v>
      </c>
      <c r="L291" s="4">
        <v>4367902</v>
      </c>
      <c r="M291" s="3">
        <v>6364870712.1000004</v>
      </c>
      <c r="N291" s="4">
        <v>170218</v>
      </c>
      <c r="O291">
        <f t="shared" si="4"/>
        <v>-2.8804930332261523E-2</v>
      </c>
    </row>
    <row r="292" spans="1:15" ht="14.25" customHeight="1" x14ac:dyDescent="0.3">
      <c r="A292" s="2">
        <v>45898</v>
      </c>
      <c r="B292" t="s">
        <v>15</v>
      </c>
      <c r="C292" s="3">
        <v>1449.8</v>
      </c>
      <c r="D292" s="3">
        <v>1462.6</v>
      </c>
      <c r="E292" s="3">
        <v>1439.2</v>
      </c>
      <c r="F292" s="3">
        <v>1449.8</v>
      </c>
      <c r="G292" s="3">
        <v>1453.7</v>
      </c>
      <c r="H292" s="3">
        <v>1454.8</v>
      </c>
      <c r="I292" s="3">
        <v>1455.83</v>
      </c>
      <c r="J292" s="3">
        <v>2012.2</v>
      </c>
      <c r="K292" s="3">
        <v>1302.75</v>
      </c>
      <c r="L292" s="4">
        <v>3404604</v>
      </c>
      <c r="M292" s="3">
        <v>4956533680.8000002</v>
      </c>
      <c r="N292" s="4">
        <v>82963</v>
      </c>
      <c r="O292">
        <f t="shared" si="4"/>
        <v>3.4487515519381986E-3</v>
      </c>
    </row>
    <row r="293" spans="1:15" ht="14.25" customHeight="1" x14ac:dyDescent="0.3">
      <c r="A293" s="2">
        <v>45901</v>
      </c>
      <c r="B293" t="s">
        <v>15</v>
      </c>
      <c r="C293" s="3">
        <v>1446</v>
      </c>
      <c r="D293" s="3">
        <v>1472.5</v>
      </c>
      <c r="E293" s="3">
        <v>1446</v>
      </c>
      <c r="F293" s="3">
        <v>1454.8</v>
      </c>
      <c r="G293" s="3">
        <v>1469</v>
      </c>
      <c r="H293" s="3">
        <v>1468.4</v>
      </c>
      <c r="I293" s="3">
        <v>1466.84</v>
      </c>
      <c r="J293" s="3">
        <v>2012.2</v>
      </c>
      <c r="K293" s="3">
        <v>1302.75</v>
      </c>
      <c r="L293" s="4">
        <v>2105254</v>
      </c>
      <c r="M293" s="3">
        <v>3088075836.5</v>
      </c>
      <c r="N293" s="4">
        <v>70246</v>
      </c>
      <c r="O293">
        <f t="shared" si="4"/>
        <v>9.3483640362937419E-3</v>
      </c>
    </row>
    <row r="294" spans="1:15" ht="14.25" customHeight="1" x14ac:dyDescent="0.3">
      <c r="A294" s="2">
        <v>45902</v>
      </c>
      <c r="B294" t="s">
        <v>15</v>
      </c>
      <c r="C294" s="3">
        <v>1469</v>
      </c>
      <c r="D294" s="3">
        <v>1477.4</v>
      </c>
      <c r="E294" s="3">
        <v>1459.7</v>
      </c>
      <c r="F294" s="3">
        <v>1468.4</v>
      </c>
      <c r="G294" s="3">
        <v>1465</v>
      </c>
      <c r="H294" s="3">
        <v>1465.7</v>
      </c>
      <c r="I294" s="3">
        <v>1467.23</v>
      </c>
      <c r="J294" s="3">
        <v>2012.2</v>
      </c>
      <c r="K294" s="3">
        <v>1302.75</v>
      </c>
      <c r="L294" s="4">
        <v>1295198</v>
      </c>
      <c r="M294" s="3">
        <v>1900348772.3</v>
      </c>
      <c r="N294" s="4">
        <v>68937</v>
      </c>
      <c r="O294">
        <f t="shared" si="4"/>
        <v>-1.8387360392263998E-3</v>
      </c>
    </row>
    <row r="295" spans="1:15" ht="14.25" customHeight="1" x14ac:dyDescent="0.3">
      <c r="A295" s="2">
        <v>45903</v>
      </c>
      <c r="B295" t="s">
        <v>15</v>
      </c>
      <c r="C295" s="3">
        <v>1475</v>
      </c>
      <c r="D295" s="3">
        <v>1475</v>
      </c>
      <c r="E295" s="3">
        <v>1452.6</v>
      </c>
      <c r="F295" s="3">
        <v>1465.7</v>
      </c>
      <c r="G295" s="3">
        <v>1465.2</v>
      </c>
      <c r="H295" s="3">
        <v>1466.1</v>
      </c>
      <c r="I295" s="3">
        <v>1460.87</v>
      </c>
      <c r="J295" s="3">
        <v>2012.2</v>
      </c>
      <c r="K295" s="3">
        <v>1302.75</v>
      </c>
      <c r="L295" s="4">
        <v>1800307</v>
      </c>
      <c r="M295" s="3">
        <v>2630020249.1999998</v>
      </c>
      <c r="N295" s="4">
        <v>67692</v>
      </c>
      <c r="O295">
        <f t="shared" si="4"/>
        <v>2.7290714334438396E-4</v>
      </c>
    </row>
    <row r="296" spans="1:15" ht="14.25" customHeight="1" x14ac:dyDescent="0.3">
      <c r="A296" s="2">
        <v>45904</v>
      </c>
      <c r="B296" t="s">
        <v>15</v>
      </c>
      <c r="C296" s="3">
        <v>1465.1</v>
      </c>
      <c r="D296" s="3">
        <v>1465.9</v>
      </c>
      <c r="E296" s="3">
        <v>1440.9</v>
      </c>
      <c r="F296" s="3">
        <v>1466.1</v>
      </c>
      <c r="G296" s="3">
        <v>1444.2</v>
      </c>
      <c r="H296" s="3">
        <v>1443.3</v>
      </c>
      <c r="I296" s="3">
        <v>1452.76</v>
      </c>
      <c r="J296" s="3">
        <v>2012.2</v>
      </c>
      <c r="K296" s="3">
        <v>1302.75</v>
      </c>
      <c r="L296" s="4">
        <v>2192155</v>
      </c>
      <c r="M296" s="3">
        <v>3184676714.6999998</v>
      </c>
      <c r="N296" s="4">
        <v>140871</v>
      </c>
      <c r="O296">
        <f t="shared" si="4"/>
        <v>-1.555146306527519E-2</v>
      </c>
    </row>
    <row r="297" spans="1:15" ht="14.25" customHeight="1" x14ac:dyDescent="0.3">
      <c r="A297" s="2">
        <v>45905</v>
      </c>
      <c r="B297" t="s">
        <v>15</v>
      </c>
      <c r="C297" s="3">
        <v>1448</v>
      </c>
      <c r="D297" s="3">
        <v>1452.3</v>
      </c>
      <c r="E297" s="3">
        <v>1402.8</v>
      </c>
      <c r="F297" s="3">
        <v>1443.3</v>
      </c>
      <c r="G297" s="3">
        <v>1420.1</v>
      </c>
      <c r="H297" s="3">
        <v>1419</v>
      </c>
      <c r="I297" s="3">
        <v>1423.2</v>
      </c>
      <c r="J297" s="3">
        <v>2012.2</v>
      </c>
      <c r="K297" s="3">
        <v>1302.75</v>
      </c>
      <c r="L297" s="4">
        <v>3895199</v>
      </c>
      <c r="M297" s="3">
        <v>5543657851.1999998</v>
      </c>
      <c r="N297" s="4">
        <v>174752</v>
      </c>
      <c r="O297">
        <f t="shared" si="4"/>
        <v>-1.6836416545416722E-2</v>
      </c>
    </row>
    <row r="298" spans="1:15" ht="14.25" customHeight="1" x14ac:dyDescent="0.3">
      <c r="A298" s="2">
        <v>45908</v>
      </c>
      <c r="B298" t="s">
        <v>15</v>
      </c>
      <c r="C298" s="3">
        <v>1423.9</v>
      </c>
      <c r="D298" s="3">
        <v>1428.6</v>
      </c>
      <c r="E298" s="3">
        <v>1401</v>
      </c>
      <c r="F298" s="3">
        <v>1419</v>
      </c>
      <c r="G298" s="3">
        <v>1403.3</v>
      </c>
      <c r="H298" s="3">
        <v>1403</v>
      </c>
      <c r="I298" s="3">
        <v>1412.11</v>
      </c>
      <c r="J298" s="3">
        <v>2012.2</v>
      </c>
      <c r="K298" s="3">
        <v>1302.75</v>
      </c>
      <c r="L298" s="4">
        <v>2929976</v>
      </c>
      <c r="M298" s="3">
        <v>4137443516</v>
      </c>
      <c r="N298" s="4">
        <v>82764</v>
      </c>
      <c r="O298">
        <f t="shared" si="4"/>
        <v>-1.127554615926709E-2</v>
      </c>
    </row>
    <row r="299" spans="1:15" ht="14.25" customHeight="1" x14ac:dyDescent="0.3">
      <c r="A299" s="2">
        <v>45909</v>
      </c>
      <c r="B299" t="s">
        <v>15</v>
      </c>
      <c r="C299" s="3">
        <v>1410.2</v>
      </c>
      <c r="D299" s="3">
        <v>1431.8</v>
      </c>
      <c r="E299" s="3">
        <v>1409.1</v>
      </c>
      <c r="F299" s="3">
        <v>1403</v>
      </c>
      <c r="G299" s="3">
        <v>1425</v>
      </c>
      <c r="H299" s="3">
        <v>1427.1</v>
      </c>
      <c r="I299" s="3">
        <v>1424.97</v>
      </c>
      <c r="J299" s="3">
        <v>2012.2</v>
      </c>
      <c r="K299" s="3">
        <v>1302.75</v>
      </c>
      <c r="L299" s="4">
        <v>2906889</v>
      </c>
      <c r="M299" s="3">
        <v>4142226337.0999999</v>
      </c>
      <c r="N299" s="4">
        <v>120265</v>
      </c>
      <c r="O299">
        <f t="shared" si="4"/>
        <v>1.7177476835352749E-2</v>
      </c>
    </row>
    <row r="300" spans="1:15" ht="14.25" customHeight="1" x14ac:dyDescent="0.3">
      <c r="A300" s="2">
        <v>45910</v>
      </c>
      <c r="B300" t="s">
        <v>15</v>
      </c>
      <c r="C300" s="3">
        <v>1434.9</v>
      </c>
      <c r="D300" s="3">
        <v>1471.9</v>
      </c>
      <c r="E300" s="3">
        <v>1432.1</v>
      </c>
      <c r="F300" s="3">
        <v>1427.1</v>
      </c>
      <c r="G300" s="3">
        <v>1464.2</v>
      </c>
      <c r="H300" s="3">
        <v>1463.9</v>
      </c>
      <c r="I300" s="3">
        <v>1462.85</v>
      </c>
      <c r="J300" s="3">
        <v>2012.2</v>
      </c>
      <c r="K300" s="3">
        <v>1302.75</v>
      </c>
      <c r="L300" s="4">
        <v>3205017</v>
      </c>
      <c r="M300" s="3">
        <v>4688445299.6000004</v>
      </c>
      <c r="N300" s="4">
        <v>108930</v>
      </c>
      <c r="O300">
        <f t="shared" si="4"/>
        <v>2.5786560156961801E-2</v>
      </c>
    </row>
    <row r="301" spans="1:15" ht="14.25" customHeight="1" x14ac:dyDescent="0.3">
      <c r="A301" s="2">
        <v>45911</v>
      </c>
      <c r="B301" t="s">
        <v>15</v>
      </c>
      <c r="C301" s="3">
        <v>1463.9</v>
      </c>
      <c r="D301" s="3">
        <v>1470.4</v>
      </c>
      <c r="E301" s="3">
        <v>1458.3</v>
      </c>
      <c r="F301" s="3">
        <v>1463.9</v>
      </c>
      <c r="G301" s="3">
        <v>1468.3</v>
      </c>
      <c r="H301" s="3">
        <v>1467.7</v>
      </c>
      <c r="I301" s="3">
        <v>1464.18</v>
      </c>
      <c r="J301" s="3">
        <v>2012.2</v>
      </c>
      <c r="K301" s="3">
        <v>1302.75</v>
      </c>
      <c r="L301" s="4">
        <v>1982922</v>
      </c>
      <c r="M301" s="3">
        <v>2903348006.5999999</v>
      </c>
      <c r="N301" s="4">
        <v>104762</v>
      </c>
      <c r="O301">
        <f t="shared" si="4"/>
        <v>2.5958057244346981E-3</v>
      </c>
    </row>
    <row r="302" spans="1:15" ht="14.25" customHeight="1" x14ac:dyDescent="0.3">
      <c r="A302" s="2">
        <v>45912</v>
      </c>
      <c r="B302" t="s">
        <v>15</v>
      </c>
      <c r="C302" s="3">
        <v>1475</v>
      </c>
      <c r="D302" s="3">
        <v>1480</v>
      </c>
      <c r="E302" s="3">
        <v>1463</v>
      </c>
      <c r="F302" s="3">
        <v>1467.7</v>
      </c>
      <c r="G302" s="3">
        <v>1466</v>
      </c>
      <c r="H302" s="3">
        <v>1467.2</v>
      </c>
      <c r="I302" s="3">
        <v>1467.45</v>
      </c>
      <c r="J302" s="3">
        <v>2012.2</v>
      </c>
      <c r="K302" s="3">
        <v>1302.75</v>
      </c>
      <c r="L302" s="4">
        <v>2110883</v>
      </c>
      <c r="M302" s="3">
        <v>3097622960.5999999</v>
      </c>
      <c r="N302" s="4">
        <v>63606</v>
      </c>
      <c r="O302">
        <f t="shared" si="4"/>
        <v>-3.4066907406145672E-4</v>
      </c>
    </row>
    <row r="303" spans="1:15" ht="14.25" customHeight="1" x14ac:dyDescent="0.3">
      <c r="A303" s="2">
        <v>45915</v>
      </c>
      <c r="B303" t="s">
        <v>15</v>
      </c>
      <c r="C303" s="3">
        <v>1467.2</v>
      </c>
      <c r="D303" s="3">
        <v>1468.3</v>
      </c>
      <c r="E303" s="3">
        <v>1452</v>
      </c>
      <c r="F303" s="3">
        <v>1467.2</v>
      </c>
      <c r="G303" s="3">
        <v>1465.4</v>
      </c>
      <c r="H303" s="3">
        <v>1466.5</v>
      </c>
      <c r="I303" s="3">
        <v>1461.11</v>
      </c>
      <c r="J303" s="3">
        <v>2012.2</v>
      </c>
      <c r="K303" s="3">
        <v>1302.75</v>
      </c>
      <c r="L303" s="4">
        <v>1725617</v>
      </c>
      <c r="M303" s="3">
        <v>2521324464.3000002</v>
      </c>
      <c r="N303" s="4">
        <v>47559</v>
      </c>
      <c r="O303">
        <f t="shared" si="4"/>
        <v>-4.7709923664125236E-4</v>
      </c>
    </row>
    <row r="304" spans="1:15" ht="14.25" customHeight="1" x14ac:dyDescent="0.3">
      <c r="A304" s="2">
        <v>45916</v>
      </c>
      <c r="B304" t="s">
        <v>15</v>
      </c>
      <c r="C304" s="3">
        <v>1463.9</v>
      </c>
      <c r="D304" s="3">
        <v>1485.2</v>
      </c>
      <c r="E304" s="3">
        <v>1461.1</v>
      </c>
      <c r="F304" s="3">
        <v>1466.5</v>
      </c>
      <c r="G304" s="3">
        <v>1483</v>
      </c>
      <c r="H304" s="3">
        <v>1483.1</v>
      </c>
      <c r="I304" s="3">
        <v>1474.82</v>
      </c>
      <c r="J304" s="3">
        <v>2012.2</v>
      </c>
      <c r="K304" s="3">
        <v>1302.75</v>
      </c>
      <c r="L304" s="4">
        <v>1724524</v>
      </c>
      <c r="M304" s="3">
        <v>2543354258.8000002</v>
      </c>
      <c r="N304" s="4">
        <v>50634</v>
      </c>
      <c r="O304">
        <f t="shared" si="4"/>
        <v>1.1319468121377367E-2</v>
      </c>
    </row>
    <row r="305" spans="1:15" ht="14.25" customHeight="1" x14ac:dyDescent="0.3">
      <c r="A305" s="2">
        <v>45917</v>
      </c>
      <c r="B305" t="s">
        <v>15</v>
      </c>
      <c r="C305" s="3">
        <v>1490.8</v>
      </c>
      <c r="D305" s="3">
        <v>1499</v>
      </c>
      <c r="E305" s="3">
        <v>1475.3</v>
      </c>
      <c r="F305" s="3">
        <v>1483.1</v>
      </c>
      <c r="G305" s="3">
        <v>1480.6</v>
      </c>
      <c r="H305" s="3">
        <v>1481.5</v>
      </c>
      <c r="I305" s="3">
        <v>1486.66</v>
      </c>
      <c r="J305" s="3">
        <v>2012.2</v>
      </c>
      <c r="K305" s="3">
        <v>1302.75</v>
      </c>
      <c r="L305" s="4">
        <v>2656774</v>
      </c>
      <c r="M305" s="3">
        <v>3949730390.5</v>
      </c>
      <c r="N305" s="4">
        <v>86652</v>
      </c>
      <c r="O305">
        <f t="shared" si="4"/>
        <v>-1.0788213876339486E-3</v>
      </c>
    </row>
    <row r="306" spans="1:15" ht="14.25" customHeight="1" x14ac:dyDescent="0.3">
      <c r="A306" s="2">
        <v>45918</v>
      </c>
      <c r="B306" t="s">
        <v>15</v>
      </c>
      <c r="C306" s="3">
        <v>1492.6</v>
      </c>
      <c r="D306" s="3">
        <v>1502.9</v>
      </c>
      <c r="E306" s="3">
        <v>1486.1</v>
      </c>
      <c r="F306" s="3">
        <v>1481.5</v>
      </c>
      <c r="G306" s="3">
        <v>1491.9</v>
      </c>
      <c r="H306" s="3">
        <v>1493.8</v>
      </c>
      <c r="I306" s="3">
        <v>1494.93</v>
      </c>
      <c r="J306" s="3">
        <v>2012.2</v>
      </c>
      <c r="K306" s="3">
        <v>1302.75</v>
      </c>
      <c r="L306" s="4">
        <v>2792406</v>
      </c>
      <c r="M306" s="3">
        <v>4174450282.0999999</v>
      </c>
      <c r="N306" s="4">
        <v>85648</v>
      </c>
      <c r="O306">
        <f t="shared" si="4"/>
        <v>8.3023962200472184E-3</v>
      </c>
    </row>
    <row r="307" spans="1:15" ht="14.25" customHeight="1" x14ac:dyDescent="0.3">
      <c r="A307" s="2">
        <v>45919</v>
      </c>
      <c r="B307" t="s">
        <v>15</v>
      </c>
      <c r="C307" s="3">
        <v>1493.8</v>
      </c>
      <c r="D307" s="3">
        <v>1493.8</v>
      </c>
      <c r="E307" s="3">
        <v>1464</v>
      </c>
      <c r="F307" s="3">
        <v>1493.8</v>
      </c>
      <c r="G307" s="3">
        <v>1470</v>
      </c>
      <c r="H307" s="3">
        <v>1467.4</v>
      </c>
      <c r="I307" s="3">
        <v>1470.86</v>
      </c>
      <c r="J307" s="3">
        <v>2012.2</v>
      </c>
      <c r="K307" s="3">
        <v>1302.75</v>
      </c>
      <c r="L307" s="4">
        <v>3197957</v>
      </c>
      <c r="M307" s="3">
        <v>4703762937.1000004</v>
      </c>
      <c r="N307" s="4">
        <v>76807</v>
      </c>
      <c r="O307">
        <f t="shared" si="4"/>
        <v>-1.7673048600883562E-2</v>
      </c>
    </row>
    <row r="308" spans="1:15" ht="14.25" customHeight="1" x14ac:dyDescent="0.3">
      <c r="A308" s="2">
        <v>45922</v>
      </c>
      <c r="B308" t="s">
        <v>15</v>
      </c>
      <c r="C308" s="3">
        <v>1423</v>
      </c>
      <c r="D308" s="3">
        <v>1449.2</v>
      </c>
      <c r="E308" s="3">
        <v>1415</v>
      </c>
      <c r="F308" s="3">
        <v>1467.4</v>
      </c>
      <c r="G308" s="3">
        <v>1442</v>
      </c>
      <c r="H308" s="3">
        <v>1439.9</v>
      </c>
      <c r="I308" s="3">
        <v>1438.15</v>
      </c>
      <c r="J308" s="3">
        <v>2012.2</v>
      </c>
      <c r="K308" s="3">
        <v>1302.75</v>
      </c>
      <c r="L308" s="4">
        <v>4457129</v>
      </c>
      <c r="M308" s="3">
        <v>6410038721.6999998</v>
      </c>
      <c r="N308" s="4">
        <v>194507</v>
      </c>
      <c r="O308">
        <f t="shared" si="4"/>
        <v>-1.8740629685157419E-2</v>
      </c>
    </row>
    <row r="309" spans="1:15" ht="14.25" customHeight="1" x14ac:dyDescent="0.3">
      <c r="A309" s="2">
        <v>45923</v>
      </c>
      <c r="B309" t="s">
        <v>15</v>
      </c>
      <c r="C309" s="3">
        <v>1444.2</v>
      </c>
      <c r="D309" s="3">
        <v>1444.2</v>
      </c>
      <c r="E309" s="3">
        <v>1420.4</v>
      </c>
      <c r="F309" s="3">
        <v>1439.9</v>
      </c>
      <c r="G309" s="3">
        <v>1431.4</v>
      </c>
      <c r="H309" s="3">
        <v>1429.8</v>
      </c>
      <c r="I309" s="3">
        <v>1429.61</v>
      </c>
      <c r="J309" s="3">
        <v>2012.2</v>
      </c>
      <c r="K309" s="3">
        <v>1302.75</v>
      </c>
      <c r="L309" s="4">
        <v>3106480</v>
      </c>
      <c r="M309" s="3">
        <v>4441066491.5</v>
      </c>
      <c r="N309" s="4">
        <v>105156</v>
      </c>
      <c r="O309">
        <f t="shared" si="4"/>
        <v>-7.0143759983333116E-3</v>
      </c>
    </row>
    <row r="310" spans="1:15" ht="14.25" customHeight="1" x14ac:dyDescent="0.3">
      <c r="A310" s="2">
        <v>45924</v>
      </c>
      <c r="B310" t="s">
        <v>15</v>
      </c>
      <c r="C310" s="3">
        <v>1425.1</v>
      </c>
      <c r="D310" s="3">
        <v>1444.7</v>
      </c>
      <c r="E310" s="3">
        <v>1420</v>
      </c>
      <c r="F310" s="3">
        <v>1429.8</v>
      </c>
      <c r="G310" s="3">
        <v>1440.2</v>
      </c>
      <c r="H310" s="3">
        <v>1442.3</v>
      </c>
      <c r="I310" s="3">
        <v>1437.54</v>
      </c>
      <c r="J310" s="3">
        <v>2012.2</v>
      </c>
      <c r="K310" s="3">
        <v>1302.75</v>
      </c>
      <c r="L310" s="4">
        <v>2894044</v>
      </c>
      <c r="M310" s="3">
        <v>4160304912.3000002</v>
      </c>
      <c r="N310" s="4">
        <v>117797</v>
      </c>
      <c r="O310">
        <f t="shared" si="4"/>
        <v>8.7424814659392922E-3</v>
      </c>
    </row>
    <row r="311" spans="1:15" ht="14.25" customHeight="1" x14ac:dyDescent="0.3">
      <c r="A311" s="2">
        <v>45925</v>
      </c>
      <c r="B311" t="s">
        <v>15</v>
      </c>
      <c r="C311" s="3">
        <v>1440.2</v>
      </c>
      <c r="D311" s="3">
        <v>1442.5</v>
      </c>
      <c r="E311" s="3">
        <v>1416</v>
      </c>
      <c r="F311" s="3">
        <v>1442.3</v>
      </c>
      <c r="G311" s="3">
        <v>1427.4</v>
      </c>
      <c r="H311" s="3">
        <v>1423.8</v>
      </c>
      <c r="I311" s="3">
        <v>1424.63</v>
      </c>
      <c r="J311" s="3">
        <v>2012.2</v>
      </c>
      <c r="K311" s="3">
        <v>1302.75</v>
      </c>
      <c r="L311" s="4">
        <v>2713246</v>
      </c>
      <c r="M311" s="3">
        <v>3865379487.8000002</v>
      </c>
      <c r="N311" s="4">
        <v>103007</v>
      </c>
      <c r="O311">
        <f t="shared" si="4"/>
        <v>-1.2826735075920406E-2</v>
      </c>
    </row>
    <row r="312" spans="1:15" ht="14.25" customHeight="1" x14ac:dyDescent="0.3">
      <c r="A312" s="2">
        <v>45926</v>
      </c>
      <c r="B312" t="s">
        <v>15</v>
      </c>
      <c r="C312" s="3">
        <v>1420</v>
      </c>
      <c r="D312" s="3">
        <v>1426.5</v>
      </c>
      <c r="E312" s="3">
        <v>1392</v>
      </c>
      <c r="F312" s="3">
        <v>1423.8</v>
      </c>
      <c r="G312" s="3">
        <v>1395.1</v>
      </c>
      <c r="H312" s="3">
        <v>1395.3</v>
      </c>
      <c r="I312" s="3">
        <v>1399.93</v>
      </c>
      <c r="J312" s="3">
        <v>2012.2</v>
      </c>
      <c r="K312" s="3">
        <v>1302.75</v>
      </c>
      <c r="L312" s="4">
        <v>2568054</v>
      </c>
      <c r="M312" s="3">
        <v>3595094521.8000002</v>
      </c>
      <c r="N312" s="4">
        <v>103184</v>
      </c>
      <c r="O312">
        <f t="shared" si="4"/>
        <v>-2.001685630004214E-2</v>
      </c>
    </row>
    <row r="313" spans="1:15" ht="14.25" customHeight="1" x14ac:dyDescent="0.3">
      <c r="A313" s="2">
        <v>45929</v>
      </c>
      <c r="B313" t="s">
        <v>15</v>
      </c>
      <c r="C313" s="3">
        <v>1397.1</v>
      </c>
      <c r="D313" s="3">
        <v>1402.6</v>
      </c>
      <c r="E313" s="3">
        <v>1383</v>
      </c>
      <c r="F313" s="3">
        <v>1395.3</v>
      </c>
      <c r="G313" s="3">
        <v>1388</v>
      </c>
      <c r="H313" s="3">
        <v>1387.4</v>
      </c>
      <c r="I313" s="3">
        <v>1389.77</v>
      </c>
      <c r="J313" s="3">
        <v>2012.2</v>
      </c>
      <c r="K313" s="3">
        <v>1302.75</v>
      </c>
      <c r="L313" s="4">
        <v>2990852</v>
      </c>
      <c r="M313" s="3">
        <v>4156595729.6999998</v>
      </c>
      <c r="N313" s="4">
        <v>104613</v>
      </c>
      <c r="O313">
        <f t="shared" si="4"/>
        <v>-5.661864831935687E-3</v>
      </c>
    </row>
    <row r="314" spans="1:15" ht="14.25" customHeight="1" x14ac:dyDescent="0.3">
      <c r="A314" s="2">
        <v>45930</v>
      </c>
      <c r="B314" t="s">
        <v>15</v>
      </c>
      <c r="C314" s="3">
        <v>1392.1</v>
      </c>
      <c r="D314" s="3">
        <v>1405</v>
      </c>
      <c r="E314" s="3">
        <v>1381.9</v>
      </c>
      <c r="F314" s="3">
        <v>1387.4</v>
      </c>
      <c r="G314" s="3">
        <v>1385.9</v>
      </c>
      <c r="H314" s="3">
        <v>1385.1</v>
      </c>
      <c r="I314" s="3">
        <v>1391.55</v>
      </c>
      <c r="J314" s="3">
        <v>2012.2</v>
      </c>
      <c r="K314" s="3">
        <v>1302.75</v>
      </c>
      <c r="L314" s="4">
        <v>2782077</v>
      </c>
      <c r="M314" s="3">
        <v>3871398044.5999999</v>
      </c>
      <c r="N314" s="4">
        <v>102039</v>
      </c>
      <c r="O314">
        <f t="shared" si="4"/>
        <v>-1.6577771370910924E-3</v>
      </c>
    </row>
    <row r="315" spans="1:15" ht="14.25" customHeight="1" x14ac:dyDescent="0.3">
      <c r="A315" s="2">
        <v>45931</v>
      </c>
      <c r="B315" t="s">
        <v>15</v>
      </c>
      <c r="C315" s="3">
        <v>1386.1</v>
      </c>
      <c r="D315" s="3">
        <v>1396.8</v>
      </c>
      <c r="E315" s="3">
        <v>1382</v>
      </c>
      <c r="F315" s="3">
        <v>1385.1</v>
      </c>
      <c r="G315" s="3">
        <v>1391</v>
      </c>
      <c r="H315" s="3">
        <v>1389.5</v>
      </c>
      <c r="I315" s="3">
        <v>1387.87</v>
      </c>
      <c r="J315" s="3">
        <v>2012.2</v>
      </c>
      <c r="K315" s="3">
        <v>1302.75</v>
      </c>
      <c r="L315" s="4">
        <v>2253527</v>
      </c>
      <c r="M315" s="3">
        <v>3127607459.9000001</v>
      </c>
      <c r="N315" s="4">
        <v>84091</v>
      </c>
      <c r="O315">
        <f t="shared" si="4"/>
        <v>3.1766659446971998E-3</v>
      </c>
    </row>
    <row r="316" spans="1:15" ht="14.25" customHeight="1" x14ac:dyDescent="0.3">
      <c r="A316" s="2">
        <v>45933</v>
      </c>
      <c r="B316" t="s">
        <v>15</v>
      </c>
      <c r="C316" s="3">
        <v>1396.5</v>
      </c>
      <c r="D316" s="3">
        <v>1399.8</v>
      </c>
      <c r="E316" s="3">
        <v>1380.4</v>
      </c>
      <c r="F316" s="3">
        <v>1389.5</v>
      </c>
      <c r="G316" s="3">
        <v>1392.8</v>
      </c>
      <c r="H316" s="3">
        <v>1393.5</v>
      </c>
      <c r="I316" s="3">
        <v>1389.62</v>
      </c>
      <c r="J316" s="3">
        <v>2012.2</v>
      </c>
      <c r="K316" s="3">
        <v>1302.75</v>
      </c>
      <c r="L316" s="4">
        <v>2793839</v>
      </c>
      <c r="M316" s="3">
        <v>3882364004.6999998</v>
      </c>
      <c r="N316" s="4">
        <v>83212</v>
      </c>
      <c r="O316">
        <f t="shared" si="4"/>
        <v>2.8787333573227778E-3</v>
      </c>
    </row>
    <row r="317" spans="1:15" ht="14.25" customHeight="1" x14ac:dyDescent="0.3">
      <c r="A317" s="2">
        <v>45936</v>
      </c>
      <c r="B317" t="s">
        <v>15</v>
      </c>
      <c r="C317" s="3">
        <v>1393.5</v>
      </c>
      <c r="D317" s="3">
        <v>1421</v>
      </c>
      <c r="E317" s="3">
        <v>1390.8</v>
      </c>
      <c r="F317" s="3">
        <v>1393.5</v>
      </c>
      <c r="G317" s="3">
        <v>1416.9</v>
      </c>
      <c r="H317" s="3">
        <v>1417.7</v>
      </c>
      <c r="I317" s="3">
        <v>1414.89</v>
      </c>
      <c r="J317" s="3">
        <v>2012.2</v>
      </c>
      <c r="K317" s="3">
        <v>1302.75</v>
      </c>
      <c r="L317" s="4">
        <v>1970901</v>
      </c>
      <c r="M317" s="3">
        <v>2788611506.4000001</v>
      </c>
      <c r="N317" s="4">
        <v>80533</v>
      </c>
      <c r="O317">
        <f t="shared" si="4"/>
        <v>1.736634373878726E-2</v>
      </c>
    </row>
    <row r="318" spans="1:15" ht="14.25" customHeight="1" x14ac:dyDescent="0.3">
      <c r="A318" s="2">
        <v>45937</v>
      </c>
      <c r="B318" t="s">
        <v>15</v>
      </c>
      <c r="C318" s="3">
        <v>1422</v>
      </c>
      <c r="D318" s="3">
        <v>1441.9</v>
      </c>
      <c r="E318" s="3">
        <v>1417.2</v>
      </c>
      <c r="F318" s="3">
        <v>1417.7</v>
      </c>
      <c r="G318" s="3">
        <v>1435.5</v>
      </c>
      <c r="H318" s="3">
        <v>1433.4</v>
      </c>
      <c r="I318" s="3">
        <v>1432.33</v>
      </c>
      <c r="J318" s="3">
        <v>2012.2</v>
      </c>
      <c r="K318" s="3">
        <v>1302.75</v>
      </c>
      <c r="L318" s="4">
        <v>1592836</v>
      </c>
      <c r="M318" s="3">
        <v>2281459591.8000002</v>
      </c>
      <c r="N318" s="4">
        <v>62701</v>
      </c>
      <c r="O318">
        <f t="shared" si="4"/>
        <v>1.1074275234534841E-2</v>
      </c>
    </row>
    <row r="319" spans="1:15" ht="14.25" customHeight="1" x14ac:dyDescent="0.3">
      <c r="A319" s="2">
        <v>45938</v>
      </c>
      <c r="B319" t="s">
        <v>15</v>
      </c>
      <c r="C319" s="3">
        <v>1433.2</v>
      </c>
      <c r="D319" s="3">
        <v>1458.7</v>
      </c>
      <c r="E319" s="3">
        <v>1427.2</v>
      </c>
      <c r="F319" s="3">
        <v>1433.4</v>
      </c>
      <c r="G319" s="3">
        <v>1452.5</v>
      </c>
      <c r="H319" s="3">
        <v>1453.2</v>
      </c>
      <c r="I319" s="3">
        <v>1449.94</v>
      </c>
      <c r="J319" s="3">
        <v>2012.2</v>
      </c>
      <c r="K319" s="3">
        <v>1302.75</v>
      </c>
      <c r="L319" s="4">
        <v>1735807</v>
      </c>
      <c r="M319" s="3">
        <v>2516818477.1999998</v>
      </c>
      <c r="N319" s="4">
        <v>75825</v>
      </c>
      <c r="O319">
        <f t="shared" si="4"/>
        <v>1.3813311008790257E-2</v>
      </c>
    </row>
    <row r="320" spans="1:15" ht="14.25" customHeight="1" x14ac:dyDescent="0.3">
      <c r="A320" s="2">
        <v>45939</v>
      </c>
      <c r="B320" t="s">
        <v>15</v>
      </c>
      <c r="C320" s="3">
        <v>1453.2</v>
      </c>
      <c r="D320" s="3">
        <v>1491.1</v>
      </c>
      <c r="E320" s="3">
        <v>1452.5</v>
      </c>
      <c r="F320" s="3">
        <v>1453.2</v>
      </c>
      <c r="G320" s="3">
        <v>1484.5</v>
      </c>
      <c r="H320" s="3">
        <v>1486.5</v>
      </c>
      <c r="I320" s="3">
        <v>1481.66</v>
      </c>
      <c r="J320" s="3">
        <v>2012.2</v>
      </c>
      <c r="K320" s="3">
        <v>1302.75</v>
      </c>
      <c r="L320" s="4">
        <v>2681316</v>
      </c>
      <c r="M320" s="3">
        <v>3972805972.5</v>
      </c>
      <c r="N320" s="4">
        <v>93076</v>
      </c>
      <c r="O320">
        <f t="shared" si="4"/>
        <v>2.2914946325350918E-2</v>
      </c>
    </row>
    <row r="321" spans="1:15" ht="14.25" customHeight="1" x14ac:dyDescent="0.3">
      <c r="A321" s="2">
        <v>45940</v>
      </c>
      <c r="B321" t="s">
        <v>15</v>
      </c>
      <c r="C321" s="3">
        <v>1491</v>
      </c>
      <c r="D321" s="3">
        <v>1498.5</v>
      </c>
      <c r="E321" s="3">
        <v>1473.9</v>
      </c>
      <c r="F321" s="3">
        <v>1486.5</v>
      </c>
      <c r="G321" s="3">
        <v>1492.8</v>
      </c>
      <c r="H321" s="3">
        <v>1495.5</v>
      </c>
      <c r="I321" s="3">
        <v>1490.52</v>
      </c>
      <c r="J321" s="3">
        <v>2012.2</v>
      </c>
      <c r="K321" s="3">
        <v>1302.75</v>
      </c>
      <c r="L321" s="4">
        <v>2129445</v>
      </c>
      <c r="M321" s="3">
        <v>3173972712.5999999</v>
      </c>
      <c r="N321" s="4">
        <v>93770</v>
      </c>
      <c r="O321">
        <f t="shared" si="4"/>
        <v>6.0544904137235112E-3</v>
      </c>
    </row>
    <row r="322" spans="1:15" ht="14.25" customHeight="1" x14ac:dyDescent="0.3">
      <c r="A322" s="2">
        <v>45943</v>
      </c>
      <c r="B322" t="s">
        <v>15</v>
      </c>
      <c r="C322" s="3">
        <v>1490</v>
      </c>
      <c r="D322" s="3">
        <v>1502.2</v>
      </c>
      <c r="E322" s="3">
        <v>1476.5</v>
      </c>
      <c r="F322" s="3">
        <v>1495.5</v>
      </c>
      <c r="G322" s="3">
        <v>1494.1</v>
      </c>
      <c r="H322" s="3">
        <v>1494.7</v>
      </c>
      <c r="I322" s="3">
        <v>1489.55</v>
      </c>
      <c r="J322" s="3">
        <v>2012.2</v>
      </c>
      <c r="K322" s="3">
        <v>1302.75</v>
      </c>
      <c r="L322" s="4">
        <v>1820492</v>
      </c>
      <c r="M322" s="3">
        <v>2711717243.0999999</v>
      </c>
      <c r="N322" s="4">
        <v>63174</v>
      </c>
      <c r="O322">
        <f t="shared" si="4"/>
        <v>-5.3493814777663294E-4</v>
      </c>
    </row>
    <row r="323" spans="1:15" ht="14.25" customHeight="1" x14ac:dyDescent="0.3">
      <c r="A323" s="2">
        <v>45944</v>
      </c>
      <c r="B323" t="s">
        <v>15</v>
      </c>
      <c r="C323" s="3">
        <v>1515.4</v>
      </c>
      <c r="D323" s="3">
        <v>1535</v>
      </c>
      <c r="E323" s="3">
        <v>1490.2</v>
      </c>
      <c r="F323" s="3">
        <v>1494.7</v>
      </c>
      <c r="G323" s="3">
        <v>1492</v>
      </c>
      <c r="H323" s="3">
        <v>1495.4</v>
      </c>
      <c r="I323" s="3">
        <v>1509.47</v>
      </c>
      <c r="J323" s="3">
        <v>2012.2</v>
      </c>
      <c r="K323" s="3">
        <v>1302.75</v>
      </c>
      <c r="L323" s="4">
        <v>5802489</v>
      </c>
      <c r="M323" s="3">
        <v>8758711572.1000004</v>
      </c>
      <c r="N323" s="4">
        <v>153143</v>
      </c>
      <c r="O323">
        <f t="shared" ref="O323:O386" si="5">(H323-H322)/H322</f>
        <v>4.6832140228811499E-4</v>
      </c>
    </row>
    <row r="324" spans="1:15" ht="14.25" customHeight="1" x14ac:dyDescent="0.3">
      <c r="A324" s="2">
        <v>45945</v>
      </c>
      <c r="B324" t="s">
        <v>15</v>
      </c>
      <c r="C324" s="3">
        <v>1497.9</v>
      </c>
      <c r="D324" s="3">
        <v>1509.4</v>
      </c>
      <c r="E324" s="3">
        <v>1486.1</v>
      </c>
      <c r="F324" s="3">
        <v>1495.4</v>
      </c>
      <c r="G324" s="3">
        <v>1496.1</v>
      </c>
      <c r="H324" s="3">
        <v>1495.7</v>
      </c>
      <c r="I324" s="3">
        <v>1497.08</v>
      </c>
      <c r="J324" s="3">
        <v>2012.2</v>
      </c>
      <c r="K324" s="3">
        <v>1302.75</v>
      </c>
      <c r="L324" s="4">
        <v>1710696</v>
      </c>
      <c r="M324" s="3">
        <v>2561046198.5999999</v>
      </c>
      <c r="N324" s="4">
        <v>86922</v>
      </c>
      <c r="O324">
        <f t="shared" si="5"/>
        <v>2.0061522000799418E-4</v>
      </c>
    </row>
    <row r="325" spans="1:15" ht="14.25" customHeight="1" x14ac:dyDescent="0.3">
      <c r="A325" s="2">
        <v>45946</v>
      </c>
      <c r="B325" t="s">
        <v>15</v>
      </c>
      <c r="C325" s="3">
        <v>1499.9</v>
      </c>
      <c r="D325" s="3">
        <v>1519.9</v>
      </c>
      <c r="E325" s="3">
        <v>1498</v>
      </c>
      <c r="F325" s="3">
        <v>1495.7</v>
      </c>
      <c r="G325" s="3">
        <v>1514.3</v>
      </c>
      <c r="H325" s="3">
        <v>1515</v>
      </c>
      <c r="I325" s="3">
        <v>1512.81</v>
      </c>
      <c r="J325" s="3">
        <v>2012.2</v>
      </c>
      <c r="K325" s="3">
        <v>1302.75</v>
      </c>
      <c r="L325" s="4">
        <v>2021043</v>
      </c>
      <c r="M325" s="3">
        <v>3057456460.9000001</v>
      </c>
      <c r="N325" s="4">
        <v>82924</v>
      </c>
      <c r="O325">
        <f t="shared" si="5"/>
        <v>1.2903657150498064E-2</v>
      </c>
    </row>
    <row r="326" spans="1:15" ht="14.25" customHeight="1" x14ac:dyDescent="0.3">
      <c r="A326" s="2">
        <v>45947</v>
      </c>
      <c r="B326" t="s">
        <v>15</v>
      </c>
      <c r="C326" s="3">
        <v>1499</v>
      </c>
      <c r="D326" s="3">
        <v>1501.3</v>
      </c>
      <c r="E326" s="3">
        <v>1479.2</v>
      </c>
      <c r="F326" s="3">
        <v>1515</v>
      </c>
      <c r="G326" s="3">
        <v>1484.9</v>
      </c>
      <c r="H326" s="3">
        <v>1486.2</v>
      </c>
      <c r="I326" s="3">
        <v>1492.04</v>
      </c>
      <c r="J326" s="3">
        <v>2012.2</v>
      </c>
      <c r="K326" s="3">
        <v>1302.75</v>
      </c>
      <c r="L326" s="4">
        <v>3210161</v>
      </c>
      <c r="M326" s="3">
        <v>4789678562.6000004</v>
      </c>
      <c r="N326" s="4">
        <v>104856</v>
      </c>
      <c r="O326">
        <f t="shared" si="5"/>
        <v>-1.9009900990098978E-2</v>
      </c>
    </row>
    <row r="327" spans="1:15" ht="14.25" customHeight="1" x14ac:dyDescent="0.3">
      <c r="A327" s="2">
        <v>45950</v>
      </c>
      <c r="B327" t="s">
        <v>15</v>
      </c>
      <c r="C327" s="3">
        <v>1489.9</v>
      </c>
      <c r="D327" s="3">
        <v>1509.9</v>
      </c>
      <c r="E327" s="3">
        <v>1489.1</v>
      </c>
      <c r="F327" s="3">
        <v>1486.2</v>
      </c>
      <c r="G327" s="3">
        <v>1496</v>
      </c>
      <c r="H327" s="3">
        <v>1495.4</v>
      </c>
      <c r="I327" s="3">
        <v>1498.57</v>
      </c>
      <c r="J327" s="3">
        <v>2012.2</v>
      </c>
      <c r="K327" s="3">
        <v>1302.75</v>
      </c>
      <c r="L327" s="4">
        <v>2354881</v>
      </c>
      <c r="M327" s="3">
        <v>3528962542.6999998</v>
      </c>
      <c r="N327" s="4">
        <v>66924</v>
      </c>
      <c r="O327">
        <f t="shared" si="5"/>
        <v>6.1902839456331885E-3</v>
      </c>
    </row>
    <row r="328" spans="1:15" ht="14.25" customHeight="1" x14ac:dyDescent="0.3">
      <c r="A328" s="2">
        <v>45951</v>
      </c>
      <c r="B328" t="s">
        <v>15</v>
      </c>
      <c r="C328" s="3">
        <v>1502.7</v>
      </c>
      <c r="D328" s="3">
        <v>1503</v>
      </c>
      <c r="E328" s="3">
        <v>1481</v>
      </c>
      <c r="F328" s="3">
        <v>1495.4</v>
      </c>
      <c r="G328" s="3">
        <v>1486.5</v>
      </c>
      <c r="H328" s="3">
        <v>1486</v>
      </c>
      <c r="I328" s="3">
        <v>1490.39</v>
      </c>
      <c r="J328" s="3">
        <v>2012.2</v>
      </c>
      <c r="K328" s="3">
        <v>1302.75</v>
      </c>
      <c r="L328" s="4">
        <v>274400</v>
      </c>
      <c r="M328" s="3">
        <v>408963318.19999999</v>
      </c>
      <c r="N328" s="4">
        <v>10319</v>
      </c>
      <c r="O328">
        <f t="shared" si="5"/>
        <v>-6.2859435602514984E-3</v>
      </c>
    </row>
    <row r="329" spans="1:15" ht="14.25" customHeight="1" x14ac:dyDescent="0.3">
      <c r="A329" s="2">
        <v>45953</v>
      </c>
      <c r="B329" t="s">
        <v>15</v>
      </c>
      <c r="C329" s="3">
        <v>1510</v>
      </c>
      <c r="D329" s="3">
        <v>1547.5</v>
      </c>
      <c r="E329" s="3">
        <v>1505.5</v>
      </c>
      <c r="F329" s="3">
        <v>1486</v>
      </c>
      <c r="G329" s="3">
        <v>1524.9</v>
      </c>
      <c r="H329" s="3">
        <v>1523.9</v>
      </c>
      <c r="I329" s="3">
        <v>1531.37</v>
      </c>
      <c r="J329" s="3">
        <v>2012.2</v>
      </c>
      <c r="K329" s="3">
        <v>1302.75</v>
      </c>
      <c r="L329" s="4">
        <v>5011470</v>
      </c>
      <c r="M329" s="3">
        <v>7674406767.6999998</v>
      </c>
      <c r="N329" s="4">
        <v>149624</v>
      </c>
      <c r="O329">
        <f t="shared" si="5"/>
        <v>2.5504710632570721E-2</v>
      </c>
    </row>
    <row r="330" spans="1:15" ht="14.25" customHeight="1" x14ac:dyDescent="0.3">
      <c r="A330" s="2">
        <v>45954</v>
      </c>
      <c r="B330" t="s">
        <v>15</v>
      </c>
      <c r="C330" s="3">
        <v>1525</v>
      </c>
      <c r="D330" s="3">
        <v>1532.6</v>
      </c>
      <c r="E330" s="3">
        <v>1516.4</v>
      </c>
      <c r="F330" s="3">
        <v>1523.9</v>
      </c>
      <c r="G330" s="3">
        <v>1524.9</v>
      </c>
      <c r="H330" s="3">
        <v>1523.8</v>
      </c>
      <c r="I330" s="3">
        <v>1523.82</v>
      </c>
      <c r="J330" s="3">
        <v>2012.2</v>
      </c>
      <c r="K330" s="3">
        <v>1302.75</v>
      </c>
      <c r="L330" s="4">
        <v>1491451</v>
      </c>
      <c r="M330" s="3">
        <v>2272701215.8000002</v>
      </c>
      <c r="N330" s="4">
        <v>54165</v>
      </c>
      <c r="O330">
        <f t="shared" si="5"/>
        <v>-6.5621103747054541E-5</v>
      </c>
    </row>
    <row r="331" spans="1:15" ht="14.25" customHeight="1" x14ac:dyDescent="0.3">
      <c r="A331" s="2">
        <v>45957</v>
      </c>
      <c r="B331" t="s">
        <v>15</v>
      </c>
      <c r="C331" s="3">
        <v>1531.4</v>
      </c>
      <c r="D331" s="3">
        <v>1549.5</v>
      </c>
      <c r="E331" s="3">
        <v>1526.8</v>
      </c>
      <c r="F331" s="3">
        <v>1523.8</v>
      </c>
      <c r="G331" s="3">
        <v>1534.5</v>
      </c>
      <c r="H331" s="3">
        <v>1533.5</v>
      </c>
      <c r="I331" s="3">
        <v>1539.22</v>
      </c>
      <c r="J331" s="3">
        <v>2012.2</v>
      </c>
      <c r="K331" s="3">
        <v>1302.75</v>
      </c>
      <c r="L331" s="4">
        <v>1394846</v>
      </c>
      <c r="M331" s="3">
        <v>2146971249.5999999</v>
      </c>
      <c r="N331" s="4">
        <v>84284</v>
      </c>
      <c r="O331">
        <f t="shared" si="5"/>
        <v>6.365664785404939E-3</v>
      </c>
    </row>
    <row r="332" spans="1:15" ht="14.25" customHeight="1" x14ac:dyDescent="0.3">
      <c r="A332" s="2">
        <v>45958</v>
      </c>
      <c r="B332" t="s">
        <v>15</v>
      </c>
      <c r="C332" s="3">
        <v>1535</v>
      </c>
      <c r="D332" s="3">
        <v>1542</v>
      </c>
      <c r="E332" s="3">
        <v>1512</v>
      </c>
      <c r="F332" s="3">
        <v>1533.5</v>
      </c>
      <c r="G332" s="3">
        <v>1522</v>
      </c>
      <c r="H332" s="3">
        <v>1522.1</v>
      </c>
      <c r="I332" s="3">
        <v>1522.39</v>
      </c>
      <c r="J332" s="3">
        <v>2012.2</v>
      </c>
      <c r="K332" s="3">
        <v>1302.75</v>
      </c>
      <c r="L332" s="4">
        <v>1936466</v>
      </c>
      <c r="M332" s="3">
        <v>2948058041.5</v>
      </c>
      <c r="N332" s="4">
        <v>76051</v>
      </c>
      <c r="O332">
        <f t="shared" si="5"/>
        <v>-7.4339745679818008E-3</v>
      </c>
    </row>
    <row r="333" spans="1:15" ht="14.25" customHeight="1" x14ac:dyDescent="0.3">
      <c r="A333" s="2">
        <v>45959</v>
      </c>
      <c r="B333" t="s">
        <v>15</v>
      </c>
      <c r="C333" s="3">
        <v>1530</v>
      </c>
      <c r="D333" s="3">
        <v>1559</v>
      </c>
      <c r="E333" s="3">
        <v>1522</v>
      </c>
      <c r="F333" s="3">
        <v>1522.1</v>
      </c>
      <c r="G333" s="3">
        <v>1556.5</v>
      </c>
      <c r="H333" s="3">
        <v>1557.3</v>
      </c>
      <c r="I333" s="3">
        <v>1549.69</v>
      </c>
      <c r="J333" s="3">
        <v>2012.2</v>
      </c>
      <c r="K333" s="3">
        <v>1302.75</v>
      </c>
      <c r="L333" s="4">
        <v>2596355</v>
      </c>
      <c r="M333" s="3">
        <v>4023535238.5999999</v>
      </c>
      <c r="N333" s="4">
        <v>71502</v>
      </c>
      <c r="O333">
        <f t="shared" si="5"/>
        <v>2.312594441889498E-2</v>
      </c>
    </row>
    <row r="334" spans="1:15" ht="14.25" customHeight="1" x14ac:dyDescent="0.3">
      <c r="A334" s="2">
        <v>45960</v>
      </c>
      <c r="B334" t="s">
        <v>15</v>
      </c>
      <c r="C334" s="3">
        <v>1557.7</v>
      </c>
      <c r="D334" s="3">
        <v>1559.9</v>
      </c>
      <c r="E334" s="3">
        <v>1538.1</v>
      </c>
      <c r="F334" s="3">
        <v>1557.3</v>
      </c>
      <c r="G334" s="3">
        <v>1549.9</v>
      </c>
      <c r="H334" s="3">
        <v>1549.8</v>
      </c>
      <c r="I334" s="3">
        <v>1547.65</v>
      </c>
      <c r="J334" s="3">
        <v>2012.2</v>
      </c>
      <c r="K334" s="3">
        <v>1302.75</v>
      </c>
      <c r="L334" s="4">
        <v>2183395</v>
      </c>
      <c r="M334" s="3">
        <v>3379123069.4000001</v>
      </c>
      <c r="N334" s="4">
        <v>70828</v>
      </c>
      <c r="O334">
        <f t="shared" si="5"/>
        <v>-4.8160277403197843E-3</v>
      </c>
    </row>
    <row r="335" spans="1:15" ht="14.25" customHeight="1" x14ac:dyDescent="0.3">
      <c r="A335" s="2">
        <v>45961</v>
      </c>
      <c r="B335" t="s">
        <v>15</v>
      </c>
      <c r="C335" s="3">
        <v>1549.8</v>
      </c>
      <c r="D335" s="3">
        <v>1558.2</v>
      </c>
      <c r="E335" s="3">
        <v>1537.6</v>
      </c>
      <c r="F335" s="3">
        <v>1549.8</v>
      </c>
      <c r="G335" s="3">
        <v>1540</v>
      </c>
      <c r="H335" s="3">
        <v>1541.5</v>
      </c>
      <c r="I335" s="3">
        <v>1545.71</v>
      </c>
      <c r="J335" s="3">
        <v>2012.2</v>
      </c>
      <c r="K335" s="3">
        <v>1302.75</v>
      </c>
      <c r="L335" s="4">
        <v>1723467</v>
      </c>
      <c r="M335" s="3">
        <v>2663984409.1999998</v>
      </c>
      <c r="N335" s="4">
        <v>58952</v>
      </c>
      <c r="O335">
        <f t="shared" si="5"/>
        <v>-5.3555297457736194E-3</v>
      </c>
    </row>
    <row r="336" spans="1:15" ht="14.25" customHeight="1" x14ac:dyDescent="0.3">
      <c r="A336" s="2">
        <v>45964</v>
      </c>
      <c r="B336" t="s">
        <v>15</v>
      </c>
      <c r="C336" s="3">
        <v>1540.1</v>
      </c>
      <c r="D336" s="3">
        <v>1549.7</v>
      </c>
      <c r="E336" s="3">
        <v>1528.2</v>
      </c>
      <c r="F336" s="3">
        <v>1541.5</v>
      </c>
      <c r="G336" s="3">
        <v>1544</v>
      </c>
      <c r="H336" s="3">
        <v>1543.5</v>
      </c>
      <c r="I336" s="3">
        <v>1540.77</v>
      </c>
      <c r="J336" s="3">
        <v>2012.2</v>
      </c>
      <c r="K336" s="3">
        <v>1302.75</v>
      </c>
      <c r="L336" s="4">
        <v>2252136</v>
      </c>
      <c r="M336" s="3">
        <v>3470015025.4000001</v>
      </c>
      <c r="N336" s="4">
        <v>54640</v>
      </c>
      <c r="O336">
        <f t="shared" si="5"/>
        <v>1.2974375608173856E-3</v>
      </c>
    </row>
    <row r="337" spans="1:15" ht="14.25" customHeight="1" x14ac:dyDescent="0.3">
      <c r="A337" s="2">
        <v>45965</v>
      </c>
      <c r="B337" t="s">
        <v>15</v>
      </c>
      <c r="C337" s="3">
        <v>1536.4</v>
      </c>
      <c r="D337" s="3">
        <v>1541.9</v>
      </c>
      <c r="E337" s="3">
        <v>1525</v>
      </c>
      <c r="F337" s="3">
        <v>1543.5</v>
      </c>
      <c r="G337" s="3">
        <v>1525</v>
      </c>
      <c r="H337" s="3">
        <v>1529.1</v>
      </c>
      <c r="I337" s="3">
        <v>1530.36</v>
      </c>
      <c r="J337" s="3">
        <v>2012.2</v>
      </c>
      <c r="K337" s="3">
        <v>1302.75</v>
      </c>
      <c r="L337" s="4">
        <v>1666863</v>
      </c>
      <c r="M337" s="3">
        <v>2550892564.3000002</v>
      </c>
      <c r="N337" s="4">
        <v>56491</v>
      </c>
      <c r="O337">
        <f t="shared" si="5"/>
        <v>-9.3294460641400005E-3</v>
      </c>
    </row>
    <row r="338" spans="1:15" ht="14.25" customHeight="1" x14ac:dyDescent="0.3">
      <c r="A338" s="2">
        <v>45967</v>
      </c>
      <c r="B338" t="s">
        <v>15</v>
      </c>
      <c r="C338" s="3">
        <v>1529.1</v>
      </c>
      <c r="D338" s="3">
        <v>1531.9</v>
      </c>
      <c r="E338" s="3">
        <v>1514.3</v>
      </c>
      <c r="F338" s="3">
        <v>1529.1</v>
      </c>
      <c r="G338" s="3">
        <v>1527</v>
      </c>
      <c r="H338" s="3">
        <v>1526.4</v>
      </c>
      <c r="I338" s="3">
        <v>1525.7</v>
      </c>
      <c r="J338" s="3">
        <v>2012.2</v>
      </c>
      <c r="K338" s="3">
        <v>1302.75</v>
      </c>
      <c r="L338" s="4">
        <v>2474769</v>
      </c>
      <c r="M338" s="3">
        <v>3775746001.6999998</v>
      </c>
      <c r="N338" s="4">
        <v>83301</v>
      </c>
      <c r="O338">
        <f t="shared" si="5"/>
        <v>-1.7657445556208346E-3</v>
      </c>
    </row>
    <row r="339" spans="1:15" ht="14.25" customHeight="1" x14ac:dyDescent="0.3">
      <c r="A339" s="2">
        <v>45968</v>
      </c>
      <c r="B339" t="s">
        <v>15</v>
      </c>
      <c r="C339" s="3">
        <v>1515.1</v>
      </c>
      <c r="D339" s="3">
        <v>1518.8</v>
      </c>
      <c r="E339" s="3">
        <v>1490.5</v>
      </c>
      <c r="F339" s="3">
        <v>1526.4</v>
      </c>
      <c r="G339" s="3">
        <v>1511</v>
      </c>
      <c r="H339" s="3">
        <v>1512.4</v>
      </c>
      <c r="I339" s="3">
        <v>1508.39</v>
      </c>
      <c r="J339" s="3">
        <v>2012.2</v>
      </c>
      <c r="K339" s="3">
        <v>1302.75</v>
      </c>
      <c r="L339" s="4">
        <v>2238714</v>
      </c>
      <c r="M339" s="3">
        <v>3376849701.4000001</v>
      </c>
      <c r="N339" s="4">
        <v>69134</v>
      </c>
      <c r="O339">
        <f t="shared" si="5"/>
        <v>-9.1719077568134175E-3</v>
      </c>
    </row>
    <row r="340" spans="1:15" ht="14.25" customHeight="1" x14ac:dyDescent="0.3">
      <c r="A340" s="2">
        <v>45971</v>
      </c>
      <c r="B340" t="s">
        <v>15</v>
      </c>
      <c r="C340" s="3">
        <v>1518</v>
      </c>
      <c r="D340" s="3">
        <v>1544.9</v>
      </c>
      <c r="E340" s="3">
        <v>1511.4</v>
      </c>
      <c r="F340" s="3">
        <v>1512.4</v>
      </c>
      <c r="G340" s="3">
        <v>1540</v>
      </c>
      <c r="H340" s="3">
        <v>1540.5</v>
      </c>
      <c r="I340" s="3">
        <v>1538.01</v>
      </c>
      <c r="J340" s="3">
        <v>2012.2</v>
      </c>
      <c r="K340" s="3">
        <v>1302.75</v>
      </c>
      <c r="L340" s="4">
        <v>1558896</v>
      </c>
      <c r="M340" s="3">
        <v>2397603291.5999999</v>
      </c>
      <c r="N340" s="4">
        <v>79181</v>
      </c>
      <c r="O340">
        <f t="shared" si="5"/>
        <v>1.8579740809309644E-2</v>
      </c>
    </row>
    <row r="341" spans="1:15" ht="14.25" customHeight="1" x14ac:dyDescent="0.3">
      <c r="A341" s="2">
        <v>45972</v>
      </c>
      <c r="B341" t="s">
        <v>15</v>
      </c>
      <c r="C341" s="3">
        <v>1547.8</v>
      </c>
      <c r="D341" s="3">
        <v>1572.5</v>
      </c>
      <c r="E341" s="3">
        <v>1541.2</v>
      </c>
      <c r="F341" s="3">
        <v>1540.5</v>
      </c>
      <c r="G341" s="3">
        <v>1571.5</v>
      </c>
      <c r="H341" s="3">
        <v>1570</v>
      </c>
      <c r="I341" s="3">
        <v>1558.43</v>
      </c>
      <c r="J341" s="3">
        <v>2012.2</v>
      </c>
      <c r="K341" s="3">
        <v>1302.75</v>
      </c>
      <c r="L341" s="4">
        <v>2270763</v>
      </c>
      <c r="M341" s="3">
        <v>3538816232.9000001</v>
      </c>
      <c r="N341" s="4">
        <v>74960</v>
      </c>
      <c r="O341">
        <f t="shared" si="5"/>
        <v>1.9149626744563452E-2</v>
      </c>
    </row>
    <row r="342" spans="1:15" ht="14.25" customHeight="1" x14ac:dyDescent="0.3">
      <c r="A342" s="2">
        <v>45973</v>
      </c>
      <c r="B342" t="s">
        <v>15</v>
      </c>
      <c r="C342" s="3">
        <v>1575</v>
      </c>
      <c r="D342" s="3">
        <v>1600</v>
      </c>
      <c r="E342" s="3">
        <v>1573.5</v>
      </c>
      <c r="F342" s="3">
        <v>1570</v>
      </c>
      <c r="G342" s="3">
        <v>1593</v>
      </c>
      <c r="H342" s="3">
        <v>1594</v>
      </c>
      <c r="I342" s="3">
        <v>1591.3</v>
      </c>
      <c r="J342" s="3">
        <v>2012.2</v>
      </c>
      <c r="K342" s="3">
        <v>1302.75</v>
      </c>
      <c r="L342" s="4">
        <v>2331564</v>
      </c>
      <c r="M342" s="3">
        <v>3710213658.8000002</v>
      </c>
      <c r="N342" s="4">
        <v>113539</v>
      </c>
      <c r="O342">
        <f t="shared" si="5"/>
        <v>1.5286624203821656E-2</v>
      </c>
    </row>
    <row r="343" spans="1:15" ht="14.25" customHeight="1" x14ac:dyDescent="0.3">
      <c r="A343" s="2">
        <v>45974</v>
      </c>
      <c r="B343" t="s">
        <v>15</v>
      </c>
      <c r="C343" s="3">
        <v>1599.4</v>
      </c>
      <c r="D343" s="3">
        <v>1605</v>
      </c>
      <c r="E343" s="3">
        <v>1580</v>
      </c>
      <c r="F343" s="3">
        <v>1594</v>
      </c>
      <c r="G343" s="3">
        <v>1597.3</v>
      </c>
      <c r="H343" s="3">
        <v>1598.5</v>
      </c>
      <c r="I343" s="3">
        <v>1596.49</v>
      </c>
      <c r="J343" s="3">
        <v>2012.2</v>
      </c>
      <c r="K343" s="3">
        <v>1302.75</v>
      </c>
      <c r="L343" s="4">
        <v>1944022</v>
      </c>
      <c r="M343" s="3">
        <v>3103616363.0999999</v>
      </c>
      <c r="N343" s="4">
        <v>76589</v>
      </c>
      <c r="O343">
        <f t="shared" si="5"/>
        <v>2.8230865746549563E-3</v>
      </c>
    </row>
    <row r="344" spans="1:15" ht="14.25" customHeight="1" x14ac:dyDescent="0.3">
      <c r="A344" s="2">
        <v>45975</v>
      </c>
      <c r="B344" t="s">
        <v>15</v>
      </c>
      <c r="C344" s="3">
        <v>1590</v>
      </c>
      <c r="D344" s="3">
        <v>1598</v>
      </c>
      <c r="E344" s="3">
        <v>1574.1</v>
      </c>
      <c r="F344" s="3">
        <v>1598.5</v>
      </c>
      <c r="G344" s="3">
        <v>1596.9</v>
      </c>
      <c r="H344" s="3">
        <v>1594.6</v>
      </c>
      <c r="I344" s="3">
        <v>1588.33</v>
      </c>
      <c r="J344" s="3">
        <v>2012.2</v>
      </c>
      <c r="K344" s="3">
        <v>1302.75</v>
      </c>
      <c r="L344" s="4">
        <v>2543918</v>
      </c>
      <c r="M344" s="3">
        <v>4040586657.3000002</v>
      </c>
      <c r="N344" s="4">
        <v>105226</v>
      </c>
      <c r="O344">
        <f t="shared" si="5"/>
        <v>-2.4397873005943642E-3</v>
      </c>
    </row>
    <row r="345" spans="1:15" ht="14.25" customHeight="1" x14ac:dyDescent="0.3">
      <c r="A345" s="2">
        <v>45978</v>
      </c>
      <c r="B345" t="s">
        <v>15</v>
      </c>
      <c r="C345" s="3">
        <v>1594</v>
      </c>
      <c r="D345" s="3">
        <v>1607.7</v>
      </c>
      <c r="E345" s="3">
        <v>1585.5</v>
      </c>
      <c r="F345" s="3">
        <v>1594.6</v>
      </c>
      <c r="G345" s="3">
        <v>1605.5</v>
      </c>
      <c r="H345" s="3">
        <v>1606.4</v>
      </c>
      <c r="I345" s="3">
        <v>1599.95</v>
      </c>
      <c r="J345" s="3">
        <v>2012.2</v>
      </c>
      <c r="K345" s="3">
        <v>1302.75</v>
      </c>
      <c r="L345" s="4">
        <v>2000978</v>
      </c>
      <c r="M345" s="3">
        <v>3201465766.5999999</v>
      </c>
      <c r="N345" s="4">
        <v>65072</v>
      </c>
      <c r="O345">
        <f t="shared" si="5"/>
        <v>7.3999749153393843E-3</v>
      </c>
    </row>
    <row r="346" spans="1:15" ht="14.25" customHeight="1" x14ac:dyDescent="0.3">
      <c r="A346" s="2">
        <v>45979</v>
      </c>
      <c r="B346" t="s">
        <v>15</v>
      </c>
      <c r="C346" s="3">
        <v>1604</v>
      </c>
      <c r="D346" s="3">
        <v>1604</v>
      </c>
      <c r="E346" s="3">
        <v>1590.1</v>
      </c>
      <c r="F346" s="3">
        <v>1606.4</v>
      </c>
      <c r="G346" s="3">
        <v>1592.5</v>
      </c>
      <c r="H346" s="3">
        <v>1595.2</v>
      </c>
      <c r="I346" s="3">
        <v>1595.15</v>
      </c>
      <c r="J346" s="3">
        <v>2012.2</v>
      </c>
      <c r="K346" s="3">
        <v>1302.75</v>
      </c>
      <c r="L346" s="4">
        <v>1640123</v>
      </c>
      <c r="M346" s="3">
        <v>2616243523.6999998</v>
      </c>
      <c r="N346" s="4">
        <v>52117</v>
      </c>
      <c r="O346">
        <f t="shared" si="5"/>
        <v>-6.9721115537848882E-3</v>
      </c>
    </row>
    <row r="347" spans="1:15" ht="14.25" customHeight="1" x14ac:dyDescent="0.3">
      <c r="A347" s="2">
        <v>45980</v>
      </c>
      <c r="B347" t="s">
        <v>15</v>
      </c>
      <c r="C347" s="3">
        <v>1595.3</v>
      </c>
      <c r="D347" s="3">
        <v>1669.5</v>
      </c>
      <c r="E347" s="3">
        <v>1588.6</v>
      </c>
      <c r="F347" s="3">
        <v>1595.2</v>
      </c>
      <c r="G347" s="3">
        <v>1662</v>
      </c>
      <c r="H347" s="3">
        <v>1662.6</v>
      </c>
      <c r="I347" s="3">
        <v>1650.37</v>
      </c>
      <c r="J347" s="3">
        <v>2012.2</v>
      </c>
      <c r="K347" s="3">
        <v>1302.75</v>
      </c>
      <c r="L347" s="4">
        <v>6342672</v>
      </c>
      <c r="M347" s="3">
        <v>10467760788.200001</v>
      </c>
      <c r="N347" s="4">
        <v>159231</v>
      </c>
      <c r="O347">
        <f t="shared" si="5"/>
        <v>4.2251755265797303E-2</v>
      </c>
    </row>
    <row r="348" spans="1:15" ht="14.25" customHeight="1" x14ac:dyDescent="0.3">
      <c r="A348" s="2">
        <v>45981</v>
      </c>
      <c r="B348" t="s">
        <v>15</v>
      </c>
      <c r="C348" s="3">
        <v>1662.6</v>
      </c>
      <c r="D348" s="3">
        <v>1668.4</v>
      </c>
      <c r="E348" s="3">
        <v>1642.6</v>
      </c>
      <c r="F348" s="3">
        <v>1662.6</v>
      </c>
      <c r="G348" s="3">
        <v>1644.4</v>
      </c>
      <c r="H348" s="3">
        <v>1645.4</v>
      </c>
      <c r="I348" s="3">
        <v>1652.84</v>
      </c>
      <c r="J348" s="3">
        <v>2012.2</v>
      </c>
      <c r="K348" s="3">
        <v>1302.75</v>
      </c>
      <c r="L348" s="4">
        <v>2724035</v>
      </c>
      <c r="M348" s="3">
        <v>4502400178.8999996</v>
      </c>
      <c r="N348" s="4">
        <v>97466</v>
      </c>
      <c r="O348">
        <f t="shared" si="5"/>
        <v>-1.0345242391434993E-2</v>
      </c>
    </row>
    <row r="349" spans="1:15" ht="14.25" customHeight="1" x14ac:dyDescent="0.3">
      <c r="A349" s="2">
        <v>45982</v>
      </c>
      <c r="B349" t="s">
        <v>15</v>
      </c>
      <c r="C349" s="3">
        <v>1636</v>
      </c>
      <c r="D349" s="3">
        <v>1643.5</v>
      </c>
      <c r="E349" s="3">
        <v>1606</v>
      </c>
      <c r="F349" s="3">
        <v>1645.4</v>
      </c>
      <c r="G349" s="3">
        <v>1608.8</v>
      </c>
      <c r="H349" s="3">
        <v>1608</v>
      </c>
      <c r="I349" s="3">
        <v>1622.45</v>
      </c>
      <c r="J349" s="3">
        <v>2012.2</v>
      </c>
      <c r="K349" s="3">
        <v>1302.75</v>
      </c>
      <c r="L349" s="4">
        <v>2958835</v>
      </c>
      <c r="M349" s="3">
        <v>4800551729.1999998</v>
      </c>
      <c r="N349" s="4">
        <v>81557</v>
      </c>
      <c r="O349">
        <f t="shared" si="5"/>
        <v>-2.2730035249787339E-2</v>
      </c>
    </row>
    <row r="350" spans="1:15" ht="14.25" customHeight="1" x14ac:dyDescent="0.3">
      <c r="A350" s="2">
        <v>45985</v>
      </c>
      <c r="B350" t="s">
        <v>15</v>
      </c>
      <c r="C350" s="3">
        <v>1614.3</v>
      </c>
      <c r="D350" s="3">
        <v>1640</v>
      </c>
      <c r="E350" s="3">
        <v>1602.9</v>
      </c>
      <c r="F350" s="3">
        <v>1608</v>
      </c>
      <c r="G350" s="3">
        <v>1612</v>
      </c>
      <c r="H350" s="3">
        <v>1610.4</v>
      </c>
      <c r="I350" s="3">
        <v>1617.14</v>
      </c>
      <c r="J350" s="3">
        <v>2012.2</v>
      </c>
      <c r="K350" s="3">
        <v>1302.75</v>
      </c>
      <c r="L350" s="4">
        <v>6392688</v>
      </c>
      <c r="M350" s="3">
        <v>10337878943.4</v>
      </c>
      <c r="N350" s="4">
        <v>119732</v>
      </c>
      <c r="O350">
        <f t="shared" si="5"/>
        <v>1.4925373134328924E-3</v>
      </c>
    </row>
    <row r="351" spans="1:15" ht="14.25" customHeight="1" x14ac:dyDescent="0.3">
      <c r="A351" s="2">
        <v>45986</v>
      </c>
      <c r="B351" t="s">
        <v>15</v>
      </c>
      <c r="C351" s="3">
        <v>1618.3</v>
      </c>
      <c r="D351" s="3">
        <v>1618.9</v>
      </c>
      <c r="E351" s="3">
        <v>1592.6</v>
      </c>
      <c r="F351" s="3">
        <v>1610.4</v>
      </c>
      <c r="G351" s="3">
        <v>1598.9</v>
      </c>
      <c r="H351" s="3">
        <v>1601.1</v>
      </c>
      <c r="I351" s="3">
        <v>1601.61</v>
      </c>
      <c r="J351" s="3">
        <v>2012.2</v>
      </c>
      <c r="K351" s="3">
        <v>1302.75</v>
      </c>
      <c r="L351" s="4">
        <v>2285950</v>
      </c>
      <c r="M351" s="3">
        <v>3661209695.5</v>
      </c>
      <c r="N351" s="4">
        <v>99411</v>
      </c>
      <c r="O351">
        <f t="shared" si="5"/>
        <v>-5.7749627421759698E-3</v>
      </c>
    </row>
    <row r="352" spans="1:15" ht="14.25" customHeight="1" x14ac:dyDescent="0.3">
      <c r="A352" s="2">
        <v>45987</v>
      </c>
      <c r="B352" t="s">
        <v>15</v>
      </c>
      <c r="C352" s="3">
        <v>1601.1</v>
      </c>
      <c r="D352" s="3">
        <v>1627.5</v>
      </c>
      <c r="E352" s="3">
        <v>1601.1</v>
      </c>
      <c r="F352" s="3">
        <v>1601.1</v>
      </c>
      <c r="G352" s="3">
        <v>1620</v>
      </c>
      <c r="H352" s="3">
        <v>1617.9</v>
      </c>
      <c r="I352" s="3">
        <v>1618.84</v>
      </c>
      <c r="J352" s="3">
        <v>2012.2</v>
      </c>
      <c r="K352" s="3">
        <v>1302.75</v>
      </c>
      <c r="L352" s="4">
        <v>1243303</v>
      </c>
      <c r="M352" s="3">
        <v>2012714636.5</v>
      </c>
      <c r="N352" s="4">
        <v>71530</v>
      </c>
      <c r="O352">
        <f t="shared" si="5"/>
        <v>1.0492786209481096E-2</v>
      </c>
    </row>
    <row r="353" spans="1:15" ht="14.25" customHeight="1" x14ac:dyDescent="0.3">
      <c r="A353" s="2">
        <v>45988</v>
      </c>
      <c r="B353" t="s">
        <v>15</v>
      </c>
      <c r="C353" s="3">
        <v>1619.1</v>
      </c>
      <c r="D353" s="3">
        <v>1633.2</v>
      </c>
      <c r="E353" s="3">
        <v>1614</v>
      </c>
      <c r="F353" s="3">
        <v>1617.9</v>
      </c>
      <c r="G353" s="3">
        <v>1630.2</v>
      </c>
      <c r="H353" s="3">
        <v>1629</v>
      </c>
      <c r="I353" s="3">
        <v>1625.43</v>
      </c>
      <c r="J353" s="3">
        <v>2012.2</v>
      </c>
      <c r="K353" s="3">
        <v>1302.75</v>
      </c>
      <c r="L353" s="4">
        <v>2106176</v>
      </c>
      <c r="M353" s="3">
        <v>3423437408.0999999</v>
      </c>
      <c r="N353" s="4">
        <v>61398</v>
      </c>
      <c r="O353">
        <f t="shared" si="5"/>
        <v>6.8607454107175404E-3</v>
      </c>
    </row>
    <row r="354" spans="1:15" ht="14.25" customHeight="1" x14ac:dyDescent="0.3">
      <c r="A354" s="2">
        <v>45989</v>
      </c>
      <c r="B354" t="s">
        <v>15</v>
      </c>
      <c r="C354" s="3">
        <v>1629</v>
      </c>
      <c r="D354" s="3">
        <v>1636.9</v>
      </c>
      <c r="E354" s="3">
        <v>1619</v>
      </c>
      <c r="F354" s="3">
        <v>1629</v>
      </c>
      <c r="G354" s="3">
        <v>1623.8</v>
      </c>
      <c r="H354" s="3">
        <v>1624.2</v>
      </c>
      <c r="I354" s="3">
        <v>1627.54</v>
      </c>
      <c r="J354" s="3">
        <v>2012.2</v>
      </c>
      <c r="K354" s="3">
        <v>1302.75</v>
      </c>
      <c r="L354" s="4">
        <v>1841289</v>
      </c>
      <c r="M354" s="3">
        <v>2996771288.0999999</v>
      </c>
      <c r="N354" s="4">
        <v>51177</v>
      </c>
      <c r="O354">
        <f t="shared" si="5"/>
        <v>-2.9465930018415928E-3</v>
      </c>
    </row>
    <row r="355" spans="1:15" ht="14.25" customHeight="1" x14ac:dyDescent="0.3">
      <c r="A355" s="2">
        <v>45992</v>
      </c>
      <c r="B355" t="s">
        <v>15</v>
      </c>
      <c r="C355" s="3">
        <v>1630</v>
      </c>
      <c r="D355" s="3">
        <v>1646.5</v>
      </c>
      <c r="E355" s="3">
        <v>1628</v>
      </c>
      <c r="F355" s="3">
        <v>1624.2</v>
      </c>
      <c r="G355" s="3">
        <v>1642.5</v>
      </c>
      <c r="H355" s="3">
        <v>1642.9</v>
      </c>
      <c r="I355" s="3">
        <v>1639.51</v>
      </c>
      <c r="J355" s="3">
        <v>2012.2</v>
      </c>
      <c r="K355" s="3">
        <v>1302.75</v>
      </c>
      <c r="L355" s="4">
        <v>2034350</v>
      </c>
      <c r="M355" s="3">
        <v>3335341377.0999999</v>
      </c>
      <c r="N355" s="4">
        <v>80611</v>
      </c>
      <c r="O355">
        <f t="shared" si="5"/>
        <v>1.1513360423593182E-2</v>
      </c>
    </row>
    <row r="356" spans="1:15" ht="14.25" customHeight="1" x14ac:dyDescent="0.3">
      <c r="A356" s="2">
        <v>45993</v>
      </c>
      <c r="B356" t="s">
        <v>15</v>
      </c>
      <c r="C356" s="3">
        <v>1651</v>
      </c>
      <c r="D356" s="3">
        <v>1652.9</v>
      </c>
      <c r="E356" s="3">
        <v>1624</v>
      </c>
      <c r="F356" s="3">
        <v>1642.9</v>
      </c>
      <c r="G356" s="3">
        <v>1634.6</v>
      </c>
      <c r="H356" s="3">
        <v>1635.5</v>
      </c>
      <c r="I356" s="3">
        <v>1635.1</v>
      </c>
      <c r="J356" s="3">
        <v>2012.2</v>
      </c>
      <c r="K356" s="3">
        <v>1302.75</v>
      </c>
      <c r="L356" s="4">
        <v>2326220</v>
      </c>
      <c r="M356" s="3">
        <v>3803611581.6999998</v>
      </c>
      <c r="N356" s="4">
        <v>77081</v>
      </c>
      <c r="O356">
        <f t="shared" si="5"/>
        <v>-4.5042303244263743E-3</v>
      </c>
    </row>
    <row r="357" spans="1:15" ht="14.25" customHeight="1" x14ac:dyDescent="0.3">
      <c r="A357" s="2">
        <v>45994</v>
      </c>
      <c r="B357" t="s">
        <v>15</v>
      </c>
      <c r="C357" s="3">
        <v>1635.5</v>
      </c>
      <c r="D357" s="3">
        <v>1654.6</v>
      </c>
      <c r="E357" s="3">
        <v>1628.8</v>
      </c>
      <c r="F357" s="3">
        <v>1635.5</v>
      </c>
      <c r="G357" s="3">
        <v>1639.2</v>
      </c>
      <c r="H357" s="3">
        <v>1640.5</v>
      </c>
      <c r="I357" s="3">
        <v>1638.68</v>
      </c>
      <c r="J357" s="3">
        <v>2012.2</v>
      </c>
      <c r="K357" s="3">
        <v>1302.75</v>
      </c>
      <c r="L357" s="4">
        <v>2371611</v>
      </c>
      <c r="M357" s="3">
        <v>3886315623.5999999</v>
      </c>
      <c r="N357" s="4">
        <v>74755</v>
      </c>
      <c r="O357">
        <f t="shared" si="5"/>
        <v>3.0571690614490982E-3</v>
      </c>
    </row>
    <row r="358" spans="1:15" ht="14.25" customHeight="1" x14ac:dyDescent="0.3">
      <c r="A358" s="2">
        <v>45995</v>
      </c>
      <c r="B358" t="s">
        <v>15</v>
      </c>
      <c r="C358" s="3">
        <v>1650</v>
      </c>
      <c r="D358" s="3">
        <v>1672</v>
      </c>
      <c r="E358" s="3">
        <v>1645.1</v>
      </c>
      <c r="F358" s="3">
        <v>1640.5</v>
      </c>
      <c r="G358" s="3">
        <v>1655.5</v>
      </c>
      <c r="H358" s="3">
        <v>1654.6</v>
      </c>
      <c r="I358" s="3">
        <v>1658.55</v>
      </c>
      <c r="J358" s="3">
        <v>2012.2</v>
      </c>
      <c r="K358" s="3">
        <v>1302.75</v>
      </c>
      <c r="L358" s="4">
        <v>3935708</v>
      </c>
      <c r="M358" s="3">
        <v>6527574096.3999996</v>
      </c>
      <c r="N358" s="4">
        <v>136665</v>
      </c>
      <c r="O358">
        <f t="shared" si="5"/>
        <v>8.594940566900279E-3</v>
      </c>
    </row>
    <row r="359" spans="1:15" ht="14.25" customHeight="1" x14ac:dyDescent="0.3">
      <c r="A359" s="2">
        <v>45996</v>
      </c>
      <c r="B359" t="s">
        <v>15</v>
      </c>
      <c r="C359" s="3">
        <v>1662.7</v>
      </c>
      <c r="D359" s="3">
        <v>1691</v>
      </c>
      <c r="E359" s="3">
        <v>1651</v>
      </c>
      <c r="F359" s="3">
        <v>1654.6</v>
      </c>
      <c r="G359" s="3">
        <v>1681</v>
      </c>
      <c r="H359" s="3">
        <v>1683</v>
      </c>
      <c r="I359" s="3">
        <v>1679.98</v>
      </c>
      <c r="J359" s="3">
        <v>2012.2</v>
      </c>
      <c r="K359" s="3">
        <v>1302.75</v>
      </c>
      <c r="L359" s="4">
        <v>3391204</v>
      </c>
      <c r="M359" s="3">
        <v>5697168485.3999996</v>
      </c>
      <c r="N359" s="4">
        <v>69175</v>
      </c>
      <c r="O359">
        <f t="shared" si="5"/>
        <v>1.716426930980303E-2</v>
      </c>
    </row>
    <row r="360" spans="1:15" ht="14.25" customHeight="1" x14ac:dyDescent="0.3">
      <c r="A360" s="2">
        <v>45999</v>
      </c>
      <c r="B360" t="s">
        <v>15</v>
      </c>
      <c r="C360" s="3">
        <v>1683</v>
      </c>
      <c r="D360" s="3">
        <v>1695.4</v>
      </c>
      <c r="E360" s="3">
        <v>1676.9</v>
      </c>
      <c r="F360" s="3">
        <v>1683</v>
      </c>
      <c r="G360" s="3">
        <v>1685</v>
      </c>
      <c r="H360" s="3">
        <v>1688.6</v>
      </c>
      <c r="I360" s="3">
        <v>1688.85</v>
      </c>
      <c r="J360" s="3">
        <v>2012.2</v>
      </c>
      <c r="K360" s="3">
        <v>1302.75</v>
      </c>
      <c r="L360" s="4">
        <v>2702407</v>
      </c>
      <c r="M360" s="3">
        <v>4563966285.6000004</v>
      </c>
      <c r="N360" s="4">
        <v>99082</v>
      </c>
      <c r="O360">
        <f t="shared" si="5"/>
        <v>3.3273915626856262E-3</v>
      </c>
    </row>
    <row r="361" spans="1:15" ht="14.25" customHeight="1" x14ac:dyDescent="0.3">
      <c r="A361" s="2">
        <v>46000</v>
      </c>
      <c r="B361" t="s">
        <v>15</v>
      </c>
      <c r="C361" s="3">
        <v>1687</v>
      </c>
      <c r="D361" s="3">
        <v>1687</v>
      </c>
      <c r="E361" s="3">
        <v>1656.4</v>
      </c>
      <c r="F361" s="3">
        <v>1688.6</v>
      </c>
      <c r="G361" s="3">
        <v>1657.9</v>
      </c>
      <c r="H361" s="3">
        <v>1657.6</v>
      </c>
      <c r="I361" s="3">
        <v>1666.53</v>
      </c>
      <c r="J361" s="3">
        <v>2012.2</v>
      </c>
      <c r="K361" s="3">
        <v>1302.75</v>
      </c>
      <c r="L361" s="4">
        <v>2817704</v>
      </c>
      <c r="M361" s="3">
        <v>4695782243.5</v>
      </c>
      <c r="N361" s="4">
        <v>81151</v>
      </c>
      <c r="O361">
        <f t="shared" si="5"/>
        <v>-1.8358403411109798E-2</v>
      </c>
    </row>
    <row r="362" spans="1:15" ht="14.25" customHeight="1" x14ac:dyDescent="0.3">
      <c r="A362" s="2">
        <v>46001</v>
      </c>
      <c r="B362" t="s">
        <v>15</v>
      </c>
      <c r="C362" s="3">
        <v>1663.3</v>
      </c>
      <c r="D362" s="3">
        <v>1671</v>
      </c>
      <c r="E362" s="3">
        <v>1657</v>
      </c>
      <c r="F362" s="3">
        <v>1657.6</v>
      </c>
      <c r="G362" s="3">
        <v>1665.9</v>
      </c>
      <c r="H362" s="3">
        <v>1666</v>
      </c>
      <c r="I362" s="3">
        <v>1664.38</v>
      </c>
      <c r="J362" s="3">
        <v>2012.2</v>
      </c>
      <c r="K362" s="3">
        <v>1302.75</v>
      </c>
      <c r="L362" s="4">
        <v>1482249</v>
      </c>
      <c r="M362" s="3">
        <v>2467027638.0999999</v>
      </c>
      <c r="N362" s="4">
        <v>62506</v>
      </c>
      <c r="O362">
        <f t="shared" si="5"/>
        <v>5.0675675675676225E-3</v>
      </c>
    </row>
    <row r="363" spans="1:15" ht="14.25" customHeight="1" x14ac:dyDescent="0.3">
      <c r="A363" s="2">
        <v>46002</v>
      </c>
      <c r="B363" t="s">
        <v>15</v>
      </c>
      <c r="C363" s="3">
        <v>1667.5</v>
      </c>
      <c r="D363" s="3">
        <v>1677.4</v>
      </c>
      <c r="E363" s="3">
        <v>1649</v>
      </c>
      <c r="F363" s="3">
        <v>1666</v>
      </c>
      <c r="G363" s="3">
        <v>1672.4</v>
      </c>
      <c r="H363" s="3">
        <v>1672.4</v>
      </c>
      <c r="I363" s="3">
        <v>1666.62</v>
      </c>
      <c r="J363" s="3">
        <v>2012.2</v>
      </c>
      <c r="K363" s="3">
        <v>1302.75</v>
      </c>
      <c r="L363" s="4">
        <v>1408684</v>
      </c>
      <c r="M363" s="3">
        <v>2347743572.8000002</v>
      </c>
      <c r="N363" s="4">
        <v>57108</v>
      </c>
      <c r="O363">
        <f t="shared" si="5"/>
        <v>3.8415366146459127E-3</v>
      </c>
    </row>
    <row r="364" spans="1:15" ht="14.25" customHeight="1" x14ac:dyDescent="0.3">
      <c r="A364" s="2">
        <v>46003</v>
      </c>
      <c r="B364" t="s">
        <v>15</v>
      </c>
      <c r="C364" s="3">
        <v>1677.4</v>
      </c>
      <c r="D364" s="3">
        <v>1677.9</v>
      </c>
      <c r="E364" s="3">
        <v>1660</v>
      </c>
      <c r="F364" s="3">
        <v>1672.4</v>
      </c>
      <c r="G364" s="3">
        <v>1670</v>
      </c>
      <c r="H364" s="3">
        <v>1673.2</v>
      </c>
      <c r="I364" s="3">
        <v>1669.69</v>
      </c>
      <c r="J364" s="3">
        <v>2012.2</v>
      </c>
      <c r="K364" s="3">
        <v>1302.75</v>
      </c>
      <c r="L364" s="4">
        <v>1284337</v>
      </c>
      <c r="M364" s="3">
        <v>2144444642.2</v>
      </c>
      <c r="N364" s="4">
        <v>44240</v>
      </c>
      <c r="O364">
        <f t="shared" si="5"/>
        <v>4.7835446065531837E-4</v>
      </c>
    </row>
    <row r="365" spans="1:15" ht="14.25" customHeight="1" x14ac:dyDescent="0.3">
      <c r="A365" s="2">
        <v>46006</v>
      </c>
      <c r="B365" t="s">
        <v>15</v>
      </c>
      <c r="C365" s="3">
        <v>1673.2</v>
      </c>
      <c r="D365" s="3">
        <v>1688</v>
      </c>
      <c r="E365" s="3">
        <v>1660</v>
      </c>
      <c r="F365" s="3">
        <v>1673.2</v>
      </c>
      <c r="G365" s="3">
        <v>1686.4</v>
      </c>
      <c r="H365" s="3">
        <v>1684</v>
      </c>
      <c r="I365" s="3">
        <v>1681.83</v>
      </c>
      <c r="J365" s="3">
        <v>2012.2</v>
      </c>
      <c r="K365" s="3">
        <v>1302.75</v>
      </c>
      <c r="L365" s="4">
        <v>1689723</v>
      </c>
      <c r="M365" s="3">
        <v>2841819619.0999999</v>
      </c>
      <c r="N365" s="4">
        <v>67813</v>
      </c>
      <c r="O365">
        <f t="shared" si="5"/>
        <v>6.4546975854649496E-3</v>
      </c>
    </row>
    <row r="366" spans="1:15" ht="14.25" customHeight="1" x14ac:dyDescent="0.3">
      <c r="A366" s="2">
        <v>46007</v>
      </c>
      <c r="B366" t="s">
        <v>15</v>
      </c>
      <c r="C366" s="3">
        <v>1681</v>
      </c>
      <c r="D366" s="3">
        <v>1682</v>
      </c>
      <c r="E366" s="3">
        <v>1645.4</v>
      </c>
      <c r="F366" s="3">
        <v>1684</v>
      </c>
      <c r="G366" s="3">
        <v>1651.8</v>
      </c>
      <c r="H366" s="3">
        <v>1651.7</v>
      </c>
      <c r="I366" s="3">
        <v>1653.45</v>
      </c>
      <c r="J366" s="3">
        <v>2012.2</v>
      </c>
      <c r="K366" s="3">
        <v>1302.75</v>
      </c>
      <c r="L366" s="4">
        <v>1929309</v>
      </c>
      <c r="M366" s="3">
        <v>3190010112.6999998</v>
      </c>
      <c r="N366" s="4">
        <v>80374</v>
      </c>
      <c r="O366">
        <f t="shared" si="5"/>
        <v>-1.9180522565320639E-2</v>
      </c>
    </row>
    <row r="367" spans="1:15" ht="14.25" customHeight="1" x14ac:dyDescent="0.3">
      <c r="A367" s="2">
        <v>46008</v>
      </c>
      <c r="B367" t="s">
        <v>15</v>
      </c>
      <c r="C367" s="3">
        <v>1651</v>
      </c>
      <c r="D367" s="3">
        <v>1664.5</v>
      </c>
      <c r="E367" s="3">
        <v>1646.3</v>
      </c>
      <c r="F367" s="3">
        <v>1651.7</v>
      </c>
      <c r="G367" s="3">
        <v>1655.1</v>
      </c>
      <c r="H367" s="3">
        <v>1655</v>
      </c>
      <c r="I367" s="3">
        <v>1654.82</v>
      </c>
      <c r="J367" s="3">
        <v>2012.2</v>
      </c>
      <c r="K367" s="3">
        <v>1302.75</v>
      </c>
      <c r="L367" s="4">
        <v>1394918</v>
      </c>
      <c r="M367" s="3">
        <v>2308338881.0999999</v>
      </c>
      <c r="N367" s="4">
        <v>60273</v>
      </c>
      <c r="O367">
        <f t="shared" si="5"/>
        <v>1.9979415148029026E-3</v>
      </c>
    </row>
    <row r="368" spans="1:15" ht="14.25" customHeight="1" x14ac:dyDescent="0.3">
      <c r="A368" s="2">
        <v>46009</v>
      </c>
      <c r="B368" t="s">
        <v>15</v>
      </c>
      <c r="C368" s="3">
        <v>1657</v>
      </c>
      <c r="D368" s="3">
        <v>1673.9</v>
      </c>
      <c r="E368" s="3">
        <v>1651.2</v>
      </c>
      <c r="F368" s="3">
        <v>1655</v>
      </c>
      <c r="G368" s="3">
        <v>1663</v>
      </c>
      <c r="H368" s="3">
        <v>1661.4</v>
      </c>
      <c r="I368" s="3">
        <v>1660.82</v>
      </c>
      <c r="J368" s="3">
        <v>2012.2</v>
      </c>
      <c r="K368" s="3">
        <v>1302.75</v>
      </c>
      <c r="L368" s="4">
        <v>1822056</v>
      </c>
      <c r="M368" s="3">
        <v>3026099482.6999998</v>
      </c>
      <c r="N368" s="4">
        <v>94524</v>
      </c>
      <c r="O368">
        <f t="shared" si="5"/>
        <v>3.8670694864048889E-3</v>
      </c>
    </row>
    <row r="369" spans="1:15" ht="14.25" customHeight="1" x14ac:dyDescent="0.3">
      <c r="A369" s="2">
        <v>46010</v>
      </c>
      <c r="B369" t="s">
        <v>15</v>
      </c>
      <c r="C369" s="3">
        <v>1675</v>
      </c>
      <c r="D369" s="3">
        <v>1681</v>
      </c>
      <c r="E369" s="3">
        <v>1632.5</v>
      </c>
      <c r="F369" s="3">
        <v>1661.4</v>
      </c>
      <c r="G369" s="3">
        <v>1641.8</v>
      </c>
      <c r="H369" s="3">
        <v>1642.4</v>
      </c>
      <c r="I369" s="3">
        <v>1644.84</v>
      </c>
      <c r="J369" s="3">
        <v>2012.2</v>
      </c>
      <c r="K369" s="3">
        <v>1302.75</v>
      </c>
      <c r="L369" s="4">
        <v>3487150</v>
      </c>
      <c r="M369" s="3">
        <v>5735798131.3999996</v>
      </c>
      <c r="N369" s="4">
        <v>105652</v>
      </c>
      <c r="O369">
        <f t="shared" si="5"/>
        <v>-1.1436138196701577E-2</v>
      </c>
    </row>
    <row r="370" spans="1:15" ht="14.25" customHeight="1" x14ac:dyDescent="0.3">
      <c r="A370" s="2">
        <v>46013</v>
      </c>
      <c r="B370" t="s">
        <v>15</v>
      </c>
      <c r="C370" s="3">
        <v>1651.9</v>
      </c>
      <c r="D370" s="3">
        <v>1673.5</v>
      </c>
      <c r="E370" s="3">
        <v>1644</v>
      </c>
      <c r="F370" s="3">
        <v>1642.4</v>
      </c>
      <c r="G370" s="3">
        <v>1665</v>
      </c>
      <c r="H370" s="3">
        <v>1670.3</v>
      </c>
      <c r="I370" s="3">
        <v>1665.51</v>
      </c>
      <c r="J370" s="3">
        <v>2012.2</v>
      </c>
      <c r="K370" s="3">
        <v>1302.75</v>
      </c>
      <c r="L370" s="4">
        <v>1339691</v>
      </c>
      <c r="M370" s="3">
        <v>2231264930</v>
      </c>
      <c r="N370" s="4">
        <v>62953</v>
      </c>
      <c r="O370">
        <f t="shared" si="5"/>
        <v>1.6987335606429531E-2</v>
      </c>
    </row>
    <row r="371" spans="1:15" ht="14.25" customHeight="1" x14ac:dyDescent="0.3">
      <c r="A371" s="2">
        <v>46014</v>
      </c>
      <c r="B371" t="s">
        <v>15</v>
      </c>
      <c r="C371" s="3">
        <v>1675.1</v>
      </c>
      <c r="D371" s="3">
        <v>1686.9</v>
      </c>
      <c r="E371" s="3">
        <v>1656.2</v>
      </c>
      <c r="F371" s="3">
        <v>1670.3</v>
      </c>
      <c r="G371" s="3">
        <v>1674.8</v>
      </c>
      <c r="H371" s="3">
        <v>1679.9</v>
      </c>
      <c r="I371" s="3">
        <v>1674.59</v>
      </c>
      <c r="J371" s="3">
        <v>2012.2</v>
      </c>
      <c r="K371" s="3">
        <v>1302.75</v>
      </c>
      <c r="L371" s="4">
        <v>1614314</v>
      </c>
      <c r="M371" s="3">
        <v>2703308179.1999998</v>
      </c>
      <c r="N371" s="4">
        <v>60466</v>
      </c>
      <c r="O371">
        <f t="shared" si="5"/>
        <v>5.7474705142789538E-3</v>
      </c>
    </row>
    <row r="372" spans="1:15" ht="14.25" customHeight="1" x14ac:dyDescent="0.3">
      <c r="A372" s="2">
        <v>46015</v>
      </c>
      <c r="B372" t="s">
        <v>15</v>
      </c>
      <c r="C372" s="3">
        <v>1676</v>
      </c>
      <c r="D372" s="3">
        <v>1680</v>
      </c>
      <c r="E372" s="3">
        <v>1665.1</v>
      </c>
      <c r="F372" s="3">
        <v>1679.9</v>
      </c>
      <c r="G372" s="3">
        <v>1675.5</v>
      </c>
      <c r="H372" s="3">
        <v>1674.7</v>
      </c>
      <c r="I372" s="3">
        <v>1674.72</v>
      </c>
      <c r="J372" s="3">
        <v>2012.2</v>
      </c>
      <c r="K372" s="3">
        <v>1302.75</v>
      </c>
      <c r="L372" s="4">
        <v>989858</v>
      </c>
      <c r="M372" s="3">
        <v>1657731133.3</v>
      </c>
      <c r="N372" s="4">
        <v>48783</v>
      </c>
      <c r="O372">
        <f t="shared" si="5"/>
        <v>-3.095422346568275E-3</v>
      </c>
    </row>
    <row r="373" spans="1:15" ht="14.25" customHeight="1" x14ac:dyDescent="0.3">
      <c r="A373" s="2">
        <v>46017</v>
      </c>
      <c r="B373" t="s">
        <v>15</v>
      </c>
      <c r="C373" s="3">
        <v>1668</v>
      </c>
      <c r="D373" s="3">
        <v>1676.4</v>
      </c>
      <c r="E373" s="3">
        <v>1650.5</v>
      </c>
      <c r="F373" s="3">
        <v>1674.7</v>
      </c>
      <c r="G373" s="3">
        <v>1661.2</v>
      </c>
      <c r="H373" s="3">
        <v>1660.9</v>
      </c>
      <c r="I373" s="3">
        <v>1660.76</v>
      </c>
      <c r="J373" s="3">
        <v>2012.2</v>
      </c>
      <c r="K373" s="3">
        <v>1302.75</v>
      </c>
      <c r="L373" s="4">
        <v>921138</v>
      </c>
      <c r="M373" s="3">
        <v>1529784855.2</v>
      </c>
      <c r="N373" s="4">
        <v>53805</v>
      </c>
      <c r="O373">
        <f t="shared" si="5"/>
        <v>-8.2402818415238284E-3</v>
      </c>
    </row>
    <row r="374" spans="1:15" ht="14.25" customHeight="1" x14ac:dyDescent="0.3">
      <c r="A374" s="2">
        <v>46020</v>
      </c>
      <c r="B374" t="s">
        <v>15</v>
      </c>
      <c r="C374" s="3">
        <v>1659.7</v>
      </c>
      <c r="D374" s="3">
        <v>1660.8</v>
      </c>
      <c r="E374" s="3">
        <v>1625.4</v>
      </c>
      <c r="F374" s="3">
        <v>1660.9</v>
      </c>
      <c r="G374" s="3">
        <v>1630.6</v>
      </c>
      <c r="H374" s="3">
        <v>1630.8</v>
      </c>
      <c r="I374" s="3">
        <v>1642.6</v>
      </c>
      <c r="J374" s="3">
        <v>2012.2</v>
      </c>
      <c r="K374" s="3">
        <v>1302.75</v>
      </c>
      <c r="L374" s="4">
        <v>1516288</v>
      </c>
      <c r="M374" s="3">
        <v>2490651496</v>
      </c>
      <c r="N374" s="4">
        <v>68600</v>
      </c>
      <c r="O374">
        <f t="shared" si="5"/>
        <v>-1.8122704557769966E-2</v>
      </c>
    </row>
    <row r="375" spans="1:15" ht="14.25" customHeight="1" x14ac:dyDescent="0.3">
      <c r="A375" s="2">
        <v>46021</v>
      </c>
      <c r="B375" t="s">
        <v>15</v>
      </c>
      <c r="C375" s="3">
        <v>1630.8</v>
      </c>
      <c r="D375" s="3">
        <v>1635.7</v>
      </c>
      <c r="E375" s="3">
        <v>1611.1</v>
      </c>
      <c r="F375" s="3">
        <v>1630.8</v>
      </c>
      <c r="G375" s="3">
        <v>1621.5</v>
      </c>
      <c r="H375" s="3">
        <v>1615.2</v>
      </c>
      <c r="I375" s="3">
        <v>1619.83</v>
      </c>
      <c r="J375" s="3">
        <v>2012.2</v>
      </c>
      <c r="K375" s="3">
        <v>1302.75</v>
      </c>
      <c r="L375" s="4">
        <v>3323273</v>
      </c>
      <c r="M375" s="3">
        <v>5383130430.8000002</v>
      </c>
      <c r="N375" s="4">
        <v>112154</v>
      </c>
      <c r="O375">
        <f t="shared" si="5"/>
        <v>-9.5658572479763986E-3</v>
      </c>
    </row>
    <row r="376" spans="1:15" ht="14.25" customHeight="1" x14ac:dyDescent="0.3">
      <c r="A376" s="2">
        <v>46022</v>
      </c>
      <c r="B376" t="s">
        <v>15</v>
      </c>
      <c r="C376" s="3">
        <v>1624.5</v>
      </c>
      <c r="D376" s="3">
        <v>1631.7</v>
      </c>
      <c r="E376" s="3">
        <v>1616.8</v>
      </c>
      <c r="F376" s="3">
        <v>1615.2</v>
      </c>
      <c r="G376" s="3">
        <v>1620.1</v>
      </c>
      <c r="H376" s="3">
        <v>1623.3</v>
      </c>
      <c r="I376" s="3">
        <v>1624.23</v>
      </c>
      <c r="J376" s="3">
        <v>2012.2</v>
      </c>
      <c r="K376" s="3">
        <v>1302.75</v>
      </c>
      <c r="L376" s="4">
        <v>1359963</v>
      </c>
      <c r="M376" s="3">
        <v>2208891261.3000002</v>
      </c>
      <c r="N376" s="4">
        <v>44369</v>
      </c>
      <c r="O376">
        <f t="shared" si="5"/>
        <v>5.0148588410103443E-3</v>
      </c>
    </row>
    <row r="377" spans="1:15" ht="14.25" customHeight="1" x14ac:dyDescent="0.3">
      <c r="A377" s="2">
        <v>46023</v>
      </c>
      <c r="B377" t="s">
        <v>15</v>
      </c>
      <c r="C377" s="3">
        <v>1622.9</v>
      </c>
      <c r="D377" s="3">
        <v>1645.7</v>
      </c>
      <c r="E377" s="3">
        <v>1618.4</v>
      </c>
      <c r="F377" s="3">
        <v>1623.3</v>
      </c>
      <c r="G377" s="3">
        <v>1632</v>
      </c>
      <c r="H377" s="3">
        <v>1634.5</v>
      </c>
      <c r="I377" s="3">
        <v>1636.32</v>
      </c>
      <c r="J377" s="3">
        <v>2012.2</v>
      </c>
      <c r="K377" s="3">
        <v>1302.75</v>
      </c>
      <c r="L377" s="4">
        <v>773806</v>
      </c>
      <c r="M377" s="3">
        <v>1266196099.8</v>
      </c>
      <c r="N377" s="4">
        <v>37755</v>
      </c>
      <c r="O377">
        <f t="shared" si="5"/>
        <v>6.8995256576110673E-3</v>
      </c>
    </row>
    <row r="378" spans="1:15" ht="14.25" customHeight="1" x14ac:dyDescent="0.3">
      <c r="A378" s="2">
        <v>46024</v>
      </c>
      <c r="B378" t="s">
        <v>15</v>
      </c>
      <c r="C378" s="3">
        <v>1632</v>
      </c>
      <c r="D378" s="3">
        <v>1643</v>
      </c>
      <c r="E378" s="3">
        <v>1625.1</v>
      </c>
      <c r="F378" s="3">
        <v>1634.5</v>
      </c>
      <c r="G378" s="3">
        <v>1640</v>
      </c>
      <c r="H378" s="3">
        <v>1640.2</v>
      </c>
      <c r="I378" s="3">
        <v>1636.46</v>
      </c>
      <c r="J378" s="3">
        <v>2012.2</v>
      </c>
      <c r="K378" s="3">
        <v>1302.75</v>
      </c>
      <c r="L378" s="4">
        <v>950573</v>
      </c>
      <c r="M378" s="3">
        <v>1555576603.5</v>
      </c>
      <c r="N378" s="4">
        <v>51428</v>
      </c>
      <c r="O378">
        <f t="shared" si="5"/>
        <v>3.4873049862343504E-3</v>
      </c>
    </row>
    <row r="379" spans="1:15" ht="14.25" customHeight="1" x14ac:dyDescent="0.3">
      <c r="A379" s="2">
        <v>46027</v>
      </c>
      <c r="B379" t="s">
        <v>15</v>
      </c>
      <c r="C379" s="3">
        <v>1625</v>
      </c>
      <c r="D379" s="3">
        <v>1633.5</v>
      </c>
      <c r="E379" s="3">
        <v>1580.1</v>
      </c>
      <c r="F379" s="3">
        <v>1640.2</v>
      </c>
      <c r="G379" s="3">
        <v>1605</v>
      </c>
      <c r="H379" s="3">
        <v>1607.6</v>
      </c>
      <c r="I379" s="3">
        <v>1602.85</v>
      </c>
      <c r="J379" s="3">
        <v>2012.2</v>
      </c>
      <c r="K379" s="3">
        <v>1302.75</v>
      </c>
      <c r="L379" s="4">
        <v>3245802</v>
      </c>
      <c r="M379" s="3">
        <v>5202535373.3000002</v>
      </c>
      <c r="N379" s="4">
        <v>111403</v>
      </c>
      <c r="O379">
        <f t="shared" si="5"/>
        <v>-1.9875624923789866E-2</v>
      </c>
    </row>
    <row r="380" spans="1:15" ht="14.25" customHeight="1" x14ac:dyDescent="0.3">
      <c r="A380" s="2">
        <v>46028</v>
      </c>
      <c r="B380" t="s">
        <v>15</v>
      </c>
      <c r="C380" s="3">
        <v>1600.3</v>
      </c>
      <c r="D380" s="3">
        <v>1626</v>
      </c>
      <c r="E380" s="3">
        <v>1597.3</v>
      </c>
      <c r="F380" s="3">
        <v>1607.6</v>
      </c>
      <c r="G380" s="3">
        <v>1615.4</v>
      </c>
      <c r="H380" s="3">
        <v>1616.3</v>
      </c>
      <c r="I380" s="3">
        <v>1616.64</v>
      </c>
      <c r="J380" s="3">
        <v>2012.2</v>
      </c>
      <c r="K380" s="3">
        <v>1302.75</v>
      </c>
      <c r="L380" s="4">
        <v>2112043</v>
      </c>
      <c r="M380" s="3">
        <v>3414422351.6999998</v>
      </c>
      <c r="N380" s="4">
        <v>74528</v>
      </c>
      <c r="O380">
        <f t="shared" si="5"/>
        <v>5.4117939786016709E-3</v>
      </c>
    </row>
    <row r="381" spans="1:15" ht="14.25" customHeight="1" x14ac:dyDescent="0.3">
      <c r="A381" s="2">
        <v>46029</v>
      </c>
      <c r="B381" t="s">
        <v>15</v>
      </c>
      <c r="C381" s="3">
        <v>1620.8</v>
      </c>
      <c r="D381" s="3">
        <v>1654.5</v>
      </c>
      <c r="E381" s="3">
        <v>1616.7</v>
      </c>
      <c r="F381" s="3">
        <v>1616.3</v>
      </c>
      <c r="G381" s="3">
        <v>1654.5</v>
      </c>
      <c r="H381" s="3">
        <v>1647.7</v>
      </c>
      <c r="I381" s="3">
        <v>1638.36</v>
      </c>
      <c r="J381" s="3">
        <v>2012.2</v>
      </c>
      <c r="K381" s="3">
        <v>1302.75</v>
      </c>
      <c r="L381" s="4">
        <v>3816569</v>
      </c>
      <c r="M381" s="3">
        <v>6252915761.8999996</v>
      </c>
      <c r="N381" s="4">
        <v>119727</v>
      </c>
      <c r="O381">
        <f t="shared" si="5"/>
        <v>1.9427086555713725E-2</v>
      </c>
    </row>
    <row r="382" spans="1:15" ht="14.25" customHeight="1" x14ac:dyDescent="0.3">
      <c r="A382" s="2">
        <v>46030</v>
      </c>
      <c r="B382" t="s">
        <v>15</v>
      </c>
      <c r="C382" s="3">
        <v>1653.3</v>
      </c>
      <c r="D382" s="3">
        <v>1660.6</v>
      </c>
      <c r="E382" s="3">
        <v>1635.4</v>
      </c>
      <c r="F382" s="3">
        <v>1647.7</v>
      </c>
      <c r="G382" s="3">
        <v>1643</v>
      </c>
      <c r="H382" s="3">
        <v>1646.7</v>
      </c>
      <c r="I382" s="3">
        <v>1649.47</v>
      </c>
      <c r="J382" s="3">
        <v>2012.2</v>
      </c>
      <c r="K382" s="3">
        <v>1302.75</v>
      </c>
      <c r="L382" s="4">
        <v>3266398</v>
      </c>
      <c r="M382" s="3">
        <v>5387828055.5</v>
      </c>
      <c r="N382" s="4">
        <v>137914</v>
      </c>
      <c r="O382">
        <f t="shared" si="5"/>
        <v>-6.0690659707471014E-4</v>
      </c>
    </row>
    <row r="383" spans="1:15" ht="14.25" customHeight="1" x14ac:dyDescent="0.3">
      <c r="A383" s="2">
        <v>46031</v>
      </c>
      <c r="B383" t="s">
        <v>15</v>
      </c>
      <c r="C383" s="3">
        <v>1647.1</v>
      </c>
      <c r="D383" s="3">
        <v>1675</v>
      </c>
      <c r="E383" s="3">
        <v>1647.1</v>
      </c>
      <c r="F383" s="3">
        <v>1646.7</v>
      </c>
      <c r="G383" s="3">
        <v>1662.1</v>
      </c>
      <c r="H383" s="3">
        <v>1661.4</v>
      </c>
      <c r="I383" s="3">
        <v>1664.49</v>
      </c>
      <c r="J383" s="3">
        <v>2012.2</v>
      </c>
      <c r="K383" s="3">
        <v>1302.75</v>
      </c>
      <c r="L383" s="4">
        <v>3281306</v>
      </c>
      <c r="M383" s="3">
        <v>5461702648.8999996</v>
      </c>
      <c r="N383" s="4">
        <v>122218</v>
      </c>
      <c r="O383">
        <f t="shared" si="5"/>
        <v>8.9269447986883126E-3</v>
      </c>
    </row>
    <row r="384" spans="1:15" ht="14.25" customHeight="1" x14ac:dyDescent="0.3">
      <c r="A384" s="2">
        <v>46034</v>
      </c>
      <c r="B384" t="s">
        <v>15</v>
      </c>
      <c r="C384" s="3">
        <v>1659.2</v>
      </c>
      <c r="D384" s="3">
        <v>1677.2</v>
      </c>
      <c r="E384" s="3">
        <v>1641.5</v>
      </c>
      <c r="F384" s="3">
        <v>1661.4</v>
      </c>
      <c r="G384" s="3">
        <v>1667</v>
      </c>
      <c r="H384" s="3">
        <v>1667.6</v>
      </c>
      <c r="I384" s="3">
        <v>1657.06</v>
      </c>
      <c r="J384" s="3">
        <v>2012.2</v>
      </c>
      <c r="K384" s="3">
        <v>1302.75</v>
      </c>
      <c r="L384" s="4">
        <v>4175707</v>
      </c>
      <c r="M384" s="3">
        <v>6919407713.1000004</v>
      </c>
      <c r="N384" s="4">
        <v>92791</v>
      </c>
      <c r="O384">
        <f t="shared" si="5"/>
        <v>3.7317924641867206E-3</v>
      </c>
    </row>
    <row r="385" spans="1:15" ht="14.25" customHeight="1" x14ac:dyDescent="0.3">
      <c r="A385" s="2">
        <v>46035</v>
      </c>
      <c r="B385" t="s">
        <v>15</v>
      </c>
      <c r="C385" s="3">
        <v>1685</v>
      </c>
      <c r="D385" s="3">
        <v>1697.6</v>
      </c>
      <c r="E385" s="3">
        <v>1626</v>
      </c>
      <c r="F385" s="3">
        <v>1667.6</v>
      </c>
      <c r="G385" s="3">
        <v>1664</v>
      </c>
      <c r="H385" s="3">
        <v>1665</v>
      </c>
      <c r="I385" s="3">
        <v>1657.4</v>
      </c>
      <c r="J385" s="3">
        <v>2012.2</v>
      </c>
      <c r="K385" s="3">
        <v>1302.75</v>
      </c>
      <c r="L385" s="4">
        <v>7149266</v>
      </c>
      <c r="M385" s="3">
        <v>11849185678.5</v>
      </c>
      <c r="N385" s="4">
        <v>163224</v>
      </c>
      <c r="O385">
        <f t="shared" si="5"/>
        <v>-1.5591268889421379E-3</v>
      </c>
    </row>
    <row r="386" spans="1:15" ht="14.25" customHeight="1" x14ac:dyDescent="0.3">
      <c r="A386" s="2">
        <v>46036</v>
      </c>
      <c r="B386" t="s">
        <v>15</v>
      </c>
      <c r="C386" s="3">
        <v>1665</v>
      </c>
      <c r="D386" s="3">
        <v>1677.9</v>
      </c>
      <c r="E386" s="3">
        <v>1649.2</v>
      </c>
      <c r="F386" s="3">
        <v>1665</v>
      </c>
      <c r="G386" s="3">
        <v>1669.9</v>
      </c>
      <c r="H386" s="3">
        <v>1668.5</v>
      </c>
      <c r="I386" s="3">
        <v>1667.72</v>
      </c>
      <c r="J386" s="3">
        <v>2012.2</v>
      </c>
      <c r="K386" s="3">
        <v>1302.75</v>
      </c>
      <c r="L386" s="4">
        <v>2470615</v>
      </c>
      <c r="M386" s="3">
        <v>4120285043.9000001</v>
      </c>
      <c r="N386" s="4">
        <v>85398</v>
      </c>
      <c r="O386">
        <f t="shared" si="5"/>
        <v>2.1021021021021022E-3</v>
      </c>
    </row>
    <row r="387" spans="1:15" ht="14.25" customHeight="1" x14ac:dyDescent="0.3">
      <c r="A387" s="2">
        <v>46038</v>
      </c>
      <c r="B387" t="s">
        <v>15</v>
      </c>
      <c r="C387" s="3">
        <v>1670</v>
      </c>
      <c r="D387" s="3">
        <v>1700.9</v>
      </c>
      <c r="E387" s="3">
        <v>1664.8</v>
      </c>
      <c r="F387" s="3">
        <v>1668.5</v>
      </c>
      <c r="G387" s="3">
        <v>1696.5</v>
      </c>
      <c r="H387" s="3">
        <v>1698</v>
      </c>
      <c r="I387" s="3">
        <v>1690.44</v>
      </c>
      <c r="J387" s="3">
        <v>2012.2</v>
      </c>
      <c r="K387" s="3">
        <v>1302.75</v>
      </c>
      <c r="L387" s="4">
        <v>3098089</v>
      </c>
      <c r="M387" s="3">
        <v>5237120915.1999998</v>
      </c>
      <c r="N387" s="4">
        <v>113028</v>
      </c>
      <c r="O387">
        <f t="shared" ref="O387:O450" si="6">(H387-H386)/H386</f>
        <v>1.7680551393467185E-2</v>
      </c>
    </row>
    <row r="388" spans="1:15" ht="14.25" customHeight="1" x14ac:dyDescent="0.3">
      <c r="A388" s="2">
        <v>46041</v>
      </c>
      <c r="B388" t="s">
        <v>15</v>
      </c>
      <c r="C388" s="3">
        <v>1698</v>
      </c>
      <c r="D388" s="3">
        <v>1719</v>
      </c>
      <c r="E388" s="3">
        <v>1685.1</v>
      </c>
      <c r="F388" s="3">
        <v>1698</v>
      </c>
      <c r="G388" s="3">
        <v>1714.2</v>
      </c>
      <c r="H388" s="3">
        <v>1716.8</v>
      </c>
      <c r="I388" s="3">
        <v>1706.84</v>
      </c>
      <c r="J388" s="3">
        <v>1831.45</v>
      </c>
      <c r="K388" s="3">
        <v>1302.75</v>
      </c>
      <c r="L388" s="4">
        <v>2087629</v>
      </c>
      <c r="M388" s="3">
        <v>3563252131.0999999</v>
      </c>
      <c r="N388" s="4">
        <v>78456</v>
      </c>
      <c r="O388">
        <f t="shared" si="6"/>
        <v>1.1071849234393378E-2</v>
      </c>
    </row>
    <row r="389" spans="1:15" ht="14.25" customHeight="1" x14ac:dyDescent="0.3">
      <c r="A389" s="2">
        <v>46042</v>
      </c>
      <c r="B389" t="s">
        <v>15</v>
      </c>
      <c r="C389" s="3">
        <v>1720</v>
      </c>
      <c r="D389" s="3">
        <v>1720</v>
      </c>
      <c r="E389" s="3">
        <v>1681.8</v>
      </c>
      <c r="F389" s="3">
        <v>1716.8</v>
      </c>
      <c r="G389" s="3">
        <v>1685</v>
      </c>
      <c r="H389" s="3">
        <v>1687.3</v>
      </c>
      <c r="I389" s="3">
        <v>1692.73</v>
      </c>
      <c r="J389" s="3">
        <v>1831.45</v>
      </c>
      <c r="K389" s="3">
        <v>1302.75</v>
      </c>
      <c r="L389" s="4">
        <v>1739341</v>
      </c>
      <c r="M389" s="3">
        <v>2944230507.1999998</v>
      </c>
      <c r="N389" s="4">
        <v>80668</v>
      </c>
      <c r="O389">
        <f t="shared" si="6"/>
        <v>-1.7183131407269337E-2</v>
      </c>
    </row>
    <row r="390" spans="1:15" ht="14.25" customHeight="1" x14ac:dyDescent="0.3">
      <c r="A390" s="2">
        <v>46043</v>
      </c>
      <c r="B390" t="s">
        <v>15</v>
      </c>
      <c r="C390" s="3">
        <v>1687.6</v>
      </c>
      <c r="D390" s="3">
        <v>1694.9</v>
      </c>
      <c r="E390" s="3">
        <v>1668.9</v>
      </c>
      <c r="F390" s="3">
        <v>1687.3</v>
      </c>
      <c r="G390" s="3">
        <v>1680.9</v>
      </c>
      <c r="H390" s="3">
        <v>1682.5</v>
      </c>
      <c r="I390" s="3">
        <v>1678.69</v>
      </c>
      <c r="J390" s="3">
        <v>1831.45</v>
      </c>
      <c r="K390" s="3">
        <v>1302.75</v>
      </c>
      <c r="L390" s="4">
        <v>1728435</v>
      </c>
      <c r="M390" s="3">
        <v>2901502854.3000002</v>
      </c>
      <c r="N390" s="4">
        <v>92357</v>
      </c>
      <c r="O390">
        <f t="shared" si="6"/>
        <v>-2.8447816037456023E-3</v>
      </c>
    </row>
    <row r="391" spans="1:15" ht="14.25" customHeight="1" x14ac:dyDescent="0.3">
      <c r="A391" s="2">
        <v>46044</v>
      </c>
      <c r="B391" t="s">
        <v>15</v>
      </c>
      <c r="C391" s="3">
        <v>1690.6</v>
      </c>
      <c r="D391" s="3">
        <v>1709</v>
      </c>
      <c r="E391" s="3">
        <v>1681.5</v>
      </c>
      <c r="F391" s="3">
        <v>1682.5</v>
      </c>
      <c r="G391" s="3">
        <v>1700</v>
      </c>
      <c r="H391" s="3">
        <v>1703.1</v>
      </c>
      <c r="I391" s="3">
        <v>1696.66</v>
      </c>
      <c r="J391" s="3">
        <v>1831.45</v>
      </c>
      <c r="K391" s="3">
        <v>1302.75</v>
      </c>
      <c r="L391" s="4">
        <v>1853439</v>
      </c>
      <c r="M391" s="3">
        <v>3144647811.4000001</v>
      </c>
      <c r="N391" s="4">
        <v>85689</v>
      </c>
      <c r="O391">
        <f t="shared" si="6"/>
        <v>1.2243684992570525E-2</v>
      </c>
    </row>
    <row r="392" spans="1:15" ht="14.25" customHeight="1" x14ac:dyDescent="0.3">
      <c r="A392" s="2">
        <v>46045</v>
      </c>
      <c r="B392" t="s">
        <v>15</v>
      </c>
      <c r="C392" s="3">
        <v>1712.7</v>
      </c>
      <c r="D392" s="3">
        <v>1721</v>
      </c>
      <c r="E392" s="3">
        <v>1698.8</v>
      </c>
      <c r="F392" s="3">
        <v>1703.1</v>
      </c>
      <c r="G392" s="3">
        <v>1706.6</v>
      </c>
      <c r="H392" s="3">
        <v>1707</v>
      </c>
      <c r="I392" s="3">
        <v>1710.03</v>
      </c>
      <c r="J392" s="3">
        <v>1831.45</v>
      </c>
      <c r="K392" s="3">
        <v>1302.75</v>
      </c>
      <c r="L392" s="4">
        <v>1874357</v>
      </c>
      <c r="M392" s="3">
        <v>3205198154.1999998</v>
      </c>
      <c r="N392" s="4">
        <v>54617</v>
      </c>
      <c r="O392">
        <f t="shared" si="6"/>
        <v>2.2899418707064126E-3</v>
      </c>
    </row>
    <row r="393" spans="1:15" ht="14.25" customHeight="1" x14ac:dyDescent="0.3">
      <c r="A393" s="2">
        <v>46049</v>
      </c>
      <c r="B393" t="s">
        <v>15</v>
      </c>
      <c r="C393" s="3">
        <v>1720</v>
      </c>
      <c r="D393" s="3">
        <v>1725.5</v>
      </c>
      <c r="E393" s="3">
        <v>1700.5</v>
      </c>
      <c r="F393" s="3">
        <v>1707</v>
      </c>
      <c r="G393" s="3">
        <v>1720.2</v>
      </c>
      <c r="H393" s="3">
        <v>1720.2</v>
      </c>
      <c r="I393" s="3">
        <v>1714.93</v>
      </c>
      <c r="J393" s="3">
        <v>1779.75</v>
      </c>
      <c r="K393" s="3">
        <v>1302.75</v>
      </c>
      <c r="L393" s="4">
        <v>2671530</v>
      </c>
      <c r="M393" s="3">
        <v>4581497733.6000004</v>
      </c>
      <c r="N393" s="4">
        <v>103569</v>
      </c>
      <c r="O393">
        <f t="shared" si="6"/>
        <v>7.7328646748682167E-3</v>
      </c>
    </row>
    <row r="394" spans="1:15" ht="14.25" customHeight="1" x14ac:dyDescent="0.3">
      <c r="A394" s="2">
        <v>46050</v>
      </c>
      <c r="B394" t="s">
        <v>15</v>
      </c>
      <c r="C394" s="3">
        <v>1705.1</v>
      </c>
      <c r="D394" s="3">
        <v>1734.4</v>
      </c>
      <c r="E394" s="3">
        <v>1691</v>
      </c>
      <c r="F394" s="3">
        <v>1720.2</v>
      </c>
      <c r="G394" s="3">
        <v>1722.8</v>
      </c>
      <c r="H394" s="3">
        <v>1729.6</v>
      </c>
      <c r="I394" s="3">
        <v>1719.01</v>
      </c>
      <c r="J394" s="3">
        <v>1779.75</v>
      </c>
      <c r="K394" s="3">
        <v>1302.75</v>
      </c>
      <c r="L394" s="4">
        <v>2713867</v>
      </c>
      <c r="M394" s="3">
        <v>4665155949.3000002</v>
      </c>
      <c r="N394" s="4">
        <v>79816</v>
      </c>
      <c r="O394">
        <f t="shared" si="6"/>
        <v>5.4644808743168601E-3</v>
      </c>
    </row>
    <row r="395" spans="1:15" ht="14.25" customHeight="1" x14ac:dyDescent="0.3">
      <c r="A395" s="2">
        <v>46051</v>
      </c>
      <c r="B395" t="s">
        <v>15</v>
      </c>
      <c r="C395" s="3">
        <v>1722.8</v>
      </c>
      <c r="D395" s="3">
        <v>1725</v>
      </c>
      <c r="E395" s="3">
        <v>1696.1</v>
      </c>
      <c r="F395" s="3">
        <v>1729.6</v>
      </c>
      <c r="G395" s="3">
        <v>1719.9</v>
      </c>
      <c r="H395" s="3">
        <v>1721.6</v>
      </c>
      <c r="I395" s="3">
        <v>1712.49</v>
      </c>
      <c r="J395" s="3">
        <v>1779.75</v>
      </c>
      <c r="K395" s="3">
        <v>1302.75</v>
      </c>
      <c r="L395" s="4">
        <v>2235602</v>
      </c>
      <c r="M395" s="3">
        <v>3828446965.8000002</v>
      </c>
      <c r="N395" s="4">
        <v>78660</v>
      </c>
      <c r="O395">
        <f t="shared" si="6"/>
        <v>-4.6253469010175763E-3</v>
      </c>
    </row>
    <row r="396" spans="1:15" ht="14.25" customHeight="1" x14ac:dyDescent="0.3">
      <c r="A396" s="2">
        <v>46052</v>
      </c>
      <c r="B396" t="s">
        <v>15</v>
      </c>
      <c r="C396" s="3">
        <v>1713.2</v>
      </c>
      <c r="D396" s="3">
        <v>1713.2</v>
      </c>
      <c r="E396" s="3">
        <v>1683</v>
      </c>
      <c r="F396" s="3">
        <v>1721.6</v>
      </c>
      <c r="G396" s="3">
        <v>1691.4</v>
      </c>
      <c r="H396" s="3">
        <v>1695.6</v>
      </c>
      <c r="I396" s="3">
        <v>1696.74</v>
      </c>
      <c r="J396" s="3">
        <v>1779.75</v>
      </c>
      <c r="K396" s="3">
        <v>1302.75</v>
      </c>
      <c r="L396" s="4">
        <v>4448681</v>
      </c>
      <c r="M396" s="3">
        <v>7548272966.6000004</v>
      </c>
      <c r="N396" s="4">
        <v>129782</v>
      </c>
      <c r="O396">
        <f t="shared" si="6"/>
        <v>-1.5102230483271376E-2</v>
      </c>
    </row>
    <row r="397" spans="1:15" ht="14.25" customHeight="1" x14ac:dyDescent="0.3">
      <c r="A397" s="2">
        <v>46054</v>
      </c>
      <c r="B397" t="s">
        <v>15</v>
      </c>
      <c r="C397" s="3">
        <v>1692.4</v>
      </c>
      <c r="D397" s="3">
        <v>1710.1</v>
      </c>
      <c r="E397" s="3">
        <v>1613.1</v>
      </c>
      <c r="F397" s="3">
        <v>1695.6</v>
      </c>
      <c r="G397" s="3">
        <v>1674.3</v>
      </c>
      <c r="H397" s="3">
        <v>1666.2</v>
      </c>
      <c r="I397" s="3">
        <v>1673.91</v>
      </c>
      <c r="J397" s="3">
        <v>1779.75</v>
      </c>
      <c r="K397" s="3">
        <v>1302.75</v>
      </c>
      <c r="L397" s="4">
        <v>1846014</v>
      </c>
      <c r="M397" s="3">
        <v>3090066323</v>
      </c>
      <c r="N397" s="4">
        <v>88087</v>
      </c>
      <c r="O397">
        <f t="shared" si="6"/>
        <v>-1.7338995046001338E-2</v>
      </c>
    </row>
    <row r="398" spans="1:15" ht="14.25" customHeight="1" x14ac:dyDescent="0.3">
      <c r="A398" s="2">
        <v>46055</v>
      </c>
      <c r="B398" t="s">
        <v>15</v>
      </c>
      <c r="C398" s="3">
        <v>1670</v>
      </c>
      <c r="D398" s="3">
        <v>1688.5</v>
      </c>
      <c r="E398" s="3">
        <v>1653.6</v>
      </c>
      <c r="F398" s="3">
        <v>1666.2</v>
      </c>
      <c r="G398" s="3">
        <v>1675</v>
      </c>
      <c r="H398" s="3">
        <v>1676.8</v>
      </c>
      <c r="I398" s="3">
        <v>1674.91</v>
      </c>
      <c r="J398" s="3">
        <v>1752.5</v>
      </c>
      <c r="K398" s="3">
        <v>1302.75</v>
      </c>
      <c r="L398" s="4">
        <v>1916380</v>
      </c>
      <c r="M398" s="3">
        <v>3209755549.5</v>
      </c>
      <c r="N398" s="4">
        <v>85140</v>
      </c>
      <c r="O398">
        <f t="shared" si="6"/>
        <v>6.3617812987635993E-3</v>
      </c>
    </row>
    <row r="399" spans="1:15" ht="14.25" customHeight="1" x14ac:dyDescent="0.3">
      <c r="A399" s="2">
        <v>46056</v>
      </c>
      <c r="B399" t="s">
        <v>15</v>
      </c>
      <c r="C399" s="3">
        <v>1780</v>
      </c>
      <c r="D399" s="3">
        <v>1780.1</v>
      </c>
      <c r="E399" s="3">
        <v>1689.1</v>
      </c>
      <c r="F399" s="3">
        <v>1676.8</v>
      </c>
      <c r="G399" s="3">
        <v>1692.2</v>
      </c>
      <c r="H399" s="3">
        <v>1695.3</v>
      </c>
      <c r="I399" s="3">
        <v>1712.72</v>
      </c>
      <c r="J399" s="3">
        <v>1780.1</v>
      </c>
      <c r="K399" s="3">
        <v>1302.75</v>
      </c>
      <c r="L399" s="4">
        <v>3200948</v>
      </c>
      <c r="M399" s="3">
        <v>5482320734.5</v>
      </c>
      <c r="N399" s="4">
        <v>110557</v>
      </c>
      <c r="O399">
        <f t="shared" si="6"/>
        <v>1.1032919847328244E-2</v>
      </c>
    </row>
    <row r="400" spans="1:15" ht="14.25" customHeight="1" x14ac:dyDescent="0.3">
      <c r="A400" s="2">
        <v>46057</v>
      </c>
      <c r="B400" t="s">
        <v>15</v>
      </c>
      <c r="C400" s="3">
        <v>1642</v>
      </c>
      <c r="D400" s="3">
        <v>1645</v>
      </c>
      <c r="E400" s="3">
        <v>1586</v>
      </c>
      <c r="F400" s="3">
        <v>1695.3</v>
      </c>
      <c r="G400" s="3">
        <v>1617.6</v>
      </c>
      <c r="H400" s="3">
        <v>1621.8</v>
      </c>
      <c r="I400" s="3">
        <v>1609.09</v>
      </c>
      <c r="J400" s="3">
        <v>1780.1</v>
      </c>
      <c r="K400" s="3">
        <v>1302.75</v>
      </c>
      <c r="L400" s="4">
        <v>5834470</v>
      </c>
      <c r="M400" s="3">
        <v>9388178234</v>
      </c>
      <c r="N400" s="4">
        <v>227405</v>
      </c>
      <c r="O400">
        <f t="shared" si="6"/>
        <v>-4.3355158379047957E-2</v>
      </c>
    </row>
    <row r="401" spans="1:15" ht="14.25" customHeight="1" x14ac:dyDescent="0.3">
      <c r="A401" s="2">
        <v>46058</v>
      </c>
      <c r="B401" t="s">
        <v>15</v>
      </c>
      <c r="C401" s="3">
        <v>1613.7</v>
      </c>
      <c r="D401" s="3">
        <v>1631.8</v>
      </c>
      <c r="E401" s="3">
        <v>1600.2</v>
      </c>
      <c r="F401" s="3">
        <v>1621.8</v>
      </c>
      <c r="G401" s="3">
        <v>1607.4</v>
      </c>
      <c r="H401" s="3">
        <v>1610</v>
      </c>
      <c r="I401" s="3">
        <v>1612.1</v>
      </c>
      <c r="J401" s="3">
        <v>1780.1</v>
      </c>
      <c r="K401" s="3">
        <v>1302.75</v>
      </c>
      <c r="L401" s="4">
        <v>3184531</v>
      </c>
      <c r="M401" s="3">
        <v>5133797457.8000002</v>
      </c>
      <c r="N401" s="4">
        <v>152717</v>
      </c>
      <c r="O401">
        <f t="shared" si="6"/>
        <v>-7.2758663213712878E-3</v>
      </c>
    </row>
    <row r="402" spans="1:15" ht="14.25" customHeight="1" x14ac:dyDescent="0.3">
      <c r="A402" s="2">
        <v>46059</v>
      </c>
      <c r="B402" t="s">
        <v>15</v>
      </c>
      <c r="C402" s="3">
        <v>1612</v>
      </c>
      <c r="D402" s="3">
        <v>1612</v>
      </c>
      <c r="E402" s="3">
        <v>1574.1</v>
      </c>
      <c r="F402" s="3">
        <v>1610</v>
      </c>
      <c r="G402" s="3">
        <v>1592.6</v>
      </c>
      <c r="H402" s="3">
        <v>1593.7</v>
      </c>
      <c r="I402" s="3">
        <v>1592.41</v>
      </c>
      <c r="J402" s="3">
        <v>1780.1</v>
      </c>
      <c r="K402" s="3">
        <v>1302.75</v>
      </c>
      <c r="L402" s="4">
        <v>3342992</v>
      </c>
      <c r="M402" s="3">
        <v>5323408036.6000004</v>
      </c>
      <c r="N402" s="4">
        <v>145738</v>
      </c>
      <c r="O402">
        <f t="shared" si="6"/>
        <v>-1.0124223602484444E-2</v>
      </c>
    </row>
    <row r="403" spans="1:15" ht="14.25" customHeight="1" x14ac:dyDescent="0.3">
      <c r="A403" s="2">
        <v>46062</v>
      </c>
      <c r="B403" t="s">
        <v>15</v>
      </c>
      <c r="C403" s="3">
        <v>1600.4</v>
      </c>
      <c r="D403" s="3">
        <v>1619.9</v>
      </c>
      <c r="E403" s="3">
        <v>1594.4</v>
      </c>
      <c r="F403" s="3">
        <v>1593.7</v>
      </c>
      <c r="G403" s="3">
        <v>1595.1</v>
      </c>
      <c r="H403" s="3">
        <v>1602</v>
      </c>
      <c r="I403" s="3">
        <v>1601.57</v>
      </c>
      <c r="J403" s="3">
        <v>1780.1</v>
      </c>
      <c r="K403" s="3">
        <v>1302.75</v>
      </c>
      <c r="L403" s="4">
        <v>1863558</v>
      </c>
      <c r="M403" s="3">
        <v>2984621931.3000002</v>
      </c>
      <c r="N403" s="4">
        <v>63524</v>
      </c>
      <c r="O403">
        <f t="shared" si="6"/>
        <v>5.208006525694895E-3</v>
      </c>
    </row>
    <row r="404" spans="1:15" ht="14.25" customHeight="1" x14ac:dyDescent="0.3">
      <c r="A404" s="2">
        <v>46063</v>
      </c>
      <c r="B404" t="s">
        <v>15</v>
      </c>
      <c r="C404" s="3">
        <v>1595</v>
      </c>
      <c r="D404" s="3">
        <v>1602.4</v>
      </c>
      <c r="E404" s="3">
        <v>1567.8</v>
      </c>
      <c r="F404" s="3">
        <v>1602</v>
      </c>
      <c r="G404" s="3">
        <v>1569.5</v>
      </c>
      <c r="H404" s="3">
        <v>1573.1</v>
      </c>
      <c r="I404" s="3">
        <v>1586.43</v>
      </c>
      <c r="J404" s="3">
        <v>1780.1</v>
      </c>
      <c r="K404" s="3">
        <v>1302.75</v>
      </c>
      <c r="L404" s="4">
        <v>3234785</v>
      </c>
      <c r="M404" s="3">
        <v>5131770634.1000004</v>
      </c>
      <c r="N404" s="4">
        <v>101563</v>
      </c>
      <c r="O404">
        <f t="shared" si="6"/>
        <v>-1.8039950062422028E-2</v>
      </c>
    </row>
    <row r="405" spans="1:15" ht="14.25" customHeight="1" x14ac:dyDescent="0.3">
      <c r="A405" s="2">
        <v>46064</v>
      </c>
      <c r="B405" t="s">
        <v>15</v>
      </c>
      <c r="C405" s="3">
        <v>1574</v>
      </c>
      <c r="D405" s="3">
        <v>1578.1</v>
      </c>
      <c r="E405" s="3">
        <v>1546.1</v>
      </c>
      <c r="F405" s="3">
        <v>1573.1</v>
      </c>
      <c r="G405" s="3">
        <v>1549</v>
      </c>
      <c r="H405" s="3">
        <v>1551.6</v>
      </c>
      <c r="I405" s="3">
        <v>1556.12</v>
      </c>
      <c r="J405" s="3">
        <v>1780.1</v>
      </c>
      <c r="K405" s="3">
        <v>1302.75</v>
      </c>
      <c r="L405" s="4">
        <v>2944646</v>
      </c>
      <c r="M405" s="3">
        <v>4582231790.6999998</v>
      </c>
      <c r="N405" s="4">
        <v>146047</v>
      </c>
      <c r="O405">
        <f t="shared" si="6"/>
        <v>-1.3667281164579494E-2</v>
      </c>
    </row>
    <row r="406" spans="1:15" ht="14.25" customHeight="1" x14ac:dyDescent="0.3">
      <c r="A406" s="2">
        <v>46065</v>
      </c>
      <c r="B406" t="s">
        <v>15</v>
      </c>
      <c r="C406" s="3">
        <v>1529</v>
      </c>
      <c r="D406" s="3">
        <v>1535</v>
      </c>
      <c r="E406" s="3">
        <v>1469.5</v>
      </c>
      <c r="F406" s="3">
        <v>1551.6</v>
      </c>
      <c r="G406" s="3">
        <v>1470.9</v>
      </c>
      <c r="H406" s="3">
        <v>1476.1</v>
      </c>
      <c r="I406" s="3">
        <v>1492.68</v>
      </c>
      <c r="J406" s="3">
        <v>1780.1</v>
      </c>
      <c r="K406" s="3">
        <v>1302.75</v>
      </c>
      <c r="L406" s="4">
        <v>5397659</v>
      </c>
      <c r="M406" s="3">
        <v>8057003574.6000004</v>
      </c>
      <c r="N406" s="4">
        <v>282325</v>
      </c>
      <c r="O406">
        <f t="shared" si="6"/>
        <v>-4.8659448311420474E-2</v>
      </c>
    </row>
    <row r="407" spans="1:15" ht="14.25" customHeight="1" x14ac:dyDescent="0.3">
      <c r="A407" s="2">
        <v>46066</v>
      </c>
      <c r="B407" t="s">
        <v>15</v>
      </c>
      <c r="C407" s="3">
        <v>1423</v>
      </c>
      <c r="D407" s="3">
        <v>1476.8</v>
      </c>
      <c r="E407" s="3">
        <v>1396</v>
      </c>
      <c r="F407" s="3">
        <v>1476.1</v>
      </c>
      <c r="G407" s="3">
        <v>1458</v>
      </c>
      <c r="H407" s="3">
        <v>1455.2</v>
      </c>
      <c r="I407" s="3">
        <v>1439.36</v>
      </c>
      <c r="J407" s="3">
        <v>1780.1</v>
      </c>
      <c r="K407" s="3">
        <v>1302.75</v>
      </c>
      <c r="L407" s="4">
        <v>7214938</v>
      </c>
      <c r="M407" s="3">
        <v>10384873283.299999</v>
      </c>
      <c r="N407" s="4">
        <v>258495</v>
      </c>
      <c r="O407">
        <f t="shared" si="6"/>
        <v>-1.4158932321658333E-2</v>
      </c>
    </row>
    <row r="408" spans="1:15" ht="14.25" customHeight="1" x14ac:dyDescent="0.3">
      <c r="A408" s="2">
        <v>46069</v>
      </c>
      <c r="B408" t="s">
        <v>15</v>
      </c>
      <c r="C408" s="3">
        <v>1451.1</v>
      </c>
      <c r="D408" s="3">
        <v>1467</v>
      </c>
      <c r="E408" s="3">
        <v>1446.8</v>
      </c>
      <c r="F408" s="3">
        <v>1455.2</v>
      </c>
      <c r="G408" s="3">
        <v>1465.6</v>
      </c>
      <c r="H408" s="3">
        <v>1461.8</v>
      </c>
      <c r="I408" s="3">
        <v>1456.22</v>
      </c>
      <c r="J408" s="3">
        <v>1780.1</v>
      </c>
      <c r="K408" s="3">
        <v>1302.75</v>
      </c>
      <c r="L408" s="4">
        <v>2388700</v>
      </c>
      <c r="M408" s="3">
        <v>3478478232.4000001</v>
      </c>
      <c r="N408" s="4">
        <v>100918</v>
      </c>
      <c r="O408">
        <f t="shared" si="6"/>
        <v>4.5354590434303933E-3</v>
      </c>
    </row>
    <row r="409" spans="1:15" ht="14.25" customHeight="1" x14ac:dyDescent="0.3">
      <c r="A409" s="2">
        <v>46070</v>
      </c>
      <c r="B409" t="s">
        <v>15</v>
      </c>
      <c r="C409" s="3">
        <v>1464</v>
      </c>
      <c r="D409" s="3">
        <v>1510.7</v>
      </c>
      <c r="E409" s="3">
        <v>1458</v>
      </c>
      <c r="F409" s="3">
        <v>1461.8</v>
      </c>
      <c r="G409" s="3">
        <v>1483.7</v>
      </c>
      <c r="H409" s="3">
        <v>1482.6</v>
      </c>
      <c r="I409" s="3">
        <v>1490.04</v>
      </c>
      <c r="J409" s="3">
        <v>1780.1</v>
      </c>
      <c r="K409" s="3">
        <v>1302.75</v>
      </c>
      <c r="L409" s="4">
        <v>2840341</v>
      </c>
      <c r="M409" s="3">
        <v>4232226281.3000002</v>
      </c>
      <c r="N409" s="4">
        <v>87279</v>
      </c>
      <c r="O409">
        <f t="shared" si="6"/>
        <v>1.4229032699411654E-2</v>
      </c>
    </row>
    <row r="410" spans="1:15" ht="14.25" customHeight="1" x14ac:dyDescent="0.3">
      <c r="A410" s="2">
        <v>46071</v>
      </c>
      <c r="B410" t="s">
        <v>15</v>
      </c>
      <c r="C410" s="3">
        <v>1483.2</v>
      </c>
      <c r="D410" s="3">
        <v>1483.2</v>
      </c>
      <c r="E410" s="3">
        <v>1443.4</v>
      </c>
      <c r="F410" s="3">
        <v>1482.6</v>
      </c>
      <c r="G410" s="3">
        <v>1464.9</v>
      </c>
      <c r="H410" s="3">
        <v>1467.2</v>
      </c>
      <c r="I410" s="3">
        <v>1462.49</v>
      </c>
      <c r="J410" s="3">
        <v>1780.1</v>
      </c>
      <c r="K410" s="3">
        <v>1302.75</v>
      </c>
      <c r="L410" s="4">
        <v>2036245</v>
      </c>
      <c r="M410" s="3">
        <v>2977989599.5999999</v>
      </c>
      <c r="N410" s="4">
        <v>68672</v>
      </c>
      <c r="O410">
        <f t="shared" si="6"/>
        <v>-1.0387157695939474E-2</v>
      </c>
    </row>
    <row r="411" spans="1:15" ht="14.25" customHeight="1" x14ac:dyDescent="0.3">
      <c r="A411" s="2">
        <v>46072</v>
      </c>
      <c r="B411" t="s">
        <v>15</v>
      </c>
      <c r="C411" s="3">
        <v>1470</v>
      </c>
      <c r="D411" s="3">
        <v>1501.8</v>
      </c>
      <c r="E411" s="3">
        <v>1443</v>
      </c>
      <c r="F411" s="3">
        <v>1467.2</v>
      </c>
      <c r="G411" s="3">
        <v>1452.3</v>
      </c>
      <c r="H411" s="3">
        <v>1450.4</v>
      </c>
      <c r="I411" s="3">
        <v>1473.32</v>
      </c>
      <c r="J411" s="3">
        <v>1780.1</v>
      </c>
      <c r="K411" s="3">
        <v>1302.75</v>
      </c>
      <c r="L411" s="4">
        <v>2397127</v>
      </c>
      <c r="M411" s="3">
        <v>3531742519.9000001</v>
      </c>
      <c r="N411" s="4">
        <v>85422</v>
      </c>
      <c r="O411">
        <f t="shared" si="6"/>
        <v>-1.1450381679389282E-2</v>
      </c>
    </row>
    <row r="412" spans="1:15" ht="14.25" customHeight="1" x14ac:dyDescent="0.3">
      <c r="A412" s="2">
        <v>46073</v>
      </c>
      <c r="B412" t="s">
        <v>15</v>
      </c>
      <c r="C412" s="3">
        <v>1443</v>
      </c>
      <c r="D412" s="3">
        <v>1455</v>
      </c>
      <c r="E412" s="3">
        <v>1431</v>
      </c>
      <c r="F412" s="3">
        <v>1450.4</v>
      </c>
      <c r="G412" s="3">
        <v>1438.8</v>
      </c>
      <c r="H412" s="3">
        <v>1436.5</v>
      </c>
      <c r="I412" s="3">
        <v>1441.1</v>
      </c>
      <c r="J412" s="3">
        <v>1780.1</v>
      </c>
      <c r="K412" s="3">
        <v>1302.75</v>
      </c>
      <c r="L412" s="4">
        <v>2392491</v>
      </c>
      <c r="M412" s="3">
        <v>3447829192.3000002</v>
      </c>
      <c r="N412" s="4">
        <v>66868</v>
      </c>
      <c r="O412">
        <f t="shared" si="6"/>
        <v>-9.5835631549917883E-3</v>
      </c>
    </row>
    <row r="413" spans="1:15" ht="14.25" customHeight="1" x14ac:dyDescent="0.3">
      <c r="A413" s="2">
        <v>46076</v>
      </c>
      <c r="B413" t="s">
        <v>15</v>
      </c>
      <c r="C413" s="3">
        <v>1438.2</v>
      </c>
      <c r="D413" s="3">
        <v>1441.6</v>
      </c>
      <c r="E413" s="3">
        <v>1415.5</v>
      </c>
      <c r="F413" s="3">
        <v>1436.5</v>
      </c>
      <c r="G413" s="3">
        <v>1425</v>
      </c>
      <c r="H413" s="3">
        <v>1426.2</v>
      </c>
      <c r="I413" s="3">
        <v>1427.48</v>
      </c>
      <c r="J413" s="3">
        <v>1780.1</v>
      </c>
      <c r="K413" s="3">
        <v>1302.75</v>
      </c>
      <c r="L413" s="4">
        <v>2629763</v>
      </c>
      <c r="M413" s="3">
        <v>3753943985.0999999</v>
      </c>
      <c r="N413" s="4">
        <v>75977</v>
      </c>
      <c r="O413">
        <f t="shared" si="6"/>
        <v>-7.1702053602505774E-3</v>
      </c>
    </row>
    <row r="414" spans="1:15" ht="14.25" customHeight="1" x14ac:dyDescent="0.3">
      <c r="A414" s="2">
        <v>46077</v>
      </c>
      <c r="B414" t="s">
        <v>15</v>
      </c>
      <c r="C414" s="3">
        <v>1402.3</v>
      </c>
      <c r="D414" s="3">
        <v>1406.7</v>
      </c>
      <c r="E414" s="3">
        <v>1322.5</v>
      </c>
      <c r="F414" s="3">
        <v>1426.2</v>
      </c>
      <c r="G414" s="3">
        <v>1343</v>
      </c>
      <c r="H414" s="3">
        <v>1339.2</v>
      </c>
      <c r="I414" s="3">
        <v>1346.66</v>
      </c>
      <c r="J414" s="3">
        <v>1780.1</v>
      </c>
      <c r="K414" s="3">
        <v>1302.75</v>
      </c>
      <c r="L414" s="4">
        <v>10004684</v>
      </c>
      <c r="M414" s="3">
        <v>13472934540.5</v>
      </c>
      <c r="N414" s="4">
        <v>262757</v>
      </c>
      <c r="O414">
        <f t="shared" si="6"/>
        <v>-6.1001262095077828E-2</v>
      </c>
    </row>
    <row r="415" spans="1:15" ht="14.25" customHeight="1" x14ac:dyDescent="0.3">
      <c r="A415" s="2">
        <v>46078</v>
      </c>
      <c r="B415" t="s">
        <v>15</v>
      </c>
      <c r="C415" s="3">
        <v>1355</v>
      </c>
      <c r="D415" s="3">
        <v>1391.4</v>
      </c>
      <c r="E415" s="3">
        <v>1354</v>
      </c>
      <c r="F415" s="3">
        <v>1339.2</v>
      </c>
      <c r="G415" s="3">
        <v>1375.9</v>
      </c>
      <c r="H415" s="3">
        <v>1378.2</v>
      </c>
      <c r="I415" s="3">
        <v>1379.33</v>
      </c>
      <c r="J415" s="3">
        <v>1780.1</v>
      </c>
      <c r="K415" s="3">
        <v>1302.75</v>
      </c>
      <c r="L415" s="4">
        <v>5703505</v>
      </c>
      <c r="M415" s="3">
        <v>7866989822.3999996</v>
      </c>
      <c r="N415" s="4">
        <v>119569</v>
      </c>
      <c r="O415">
        <f t="shared" si="6"/>
        <v>2.9121863799283155E-2</v>
      </c>
    </row>
    <row r="416" spans="1:15" ht="14.25" customHeight="1" x14ac:dyDescent="0.3">
      <c r="A416" s="2">
        <v>46079</v>
      </c>
      <c r="B416" t="s">
        <v>15</v>
      </c>
      <c r="C416" s="3">
        <v>1391</v>
      </c>
      <c r="D416" s="3">
        <v>1405</v>
      </c>
      <c r="E416" s="3">
        <v>1368</v>
      </c>
      <c r="F416" s="3">
        <v>1378.2</v>
      </c>
      <c r="G416" s="3">
        <v>1373</v>
      </c>
      <c r="H416" s="3">
        <v>1373.5</v>
      </c>
      <c r="I416" s="3">
        <v>1383.22</v>
      </c>
      <c r="J416" s="3">
        <v>1780.1</v>
      </c>
      <c r="K416" s="3">
        <v>1302.75</v>
      </c>
      <c r="L416" s="4">
        <v>2329520</v>
      </c>
      <c r="M416" s="3">
        <v>3222234403.0999999</v>
      </c>
      <c r="N416" s="4">
        <v>125163</v>
      </c>
      <c r="O416">
        <f t="shared" si="6"/>
        <v>-3.4102452474242093E-3</v>
      </c>
    </row>
    <row r="417" spans="1:15" ht="14.25" customHeight="1" x14ac:dyDescent="0.3">
      <c r="A417" s="2">
        <v>46080</v>
      </c>
      <c r="B417" t="s">
        <v>15</v>
      </c>
      <c r="C417" s="3">
        <v>1398</v>
      </c>
      <c r="D417" s="3">
        <v>1404.8</v>
      </c>
      <c r="E417" s="3">
        <v>1382</v>
      </c>
      <c r="F417" s="3">
        <v>1373.5</v>
      </c>
      <c r="G417" s="3">
        <v>1382</v>
      </c>
      <c r="H417" s="3">
        <v>1389.1</v>
      </c>
      <c r="I417" s="3">
        <v>1390.09</v>
      </c>
      <c r="J417" s="3">
        <v>1780.1</v>
      </c>
      <c r="K417" s="3">
        <v>1302.75</v>
      </c>
      <c r="L417" s="4">
        <v>8651443</v>
      </c>
      <c r="M417" s="3">
        <v>12026316595.1</v>
      </c>
      <c r="N417" s="4">
        <v>162388</v>
      </c>
      <c r="O417">
        <f t="shared" si="6"/>
        <v>1.1357844921732732E-2</v>
      </c>
    </row>
    <row r="418" spans="1:15" ht="14.25" customHeight="1" x14ac:dyDescent="0.3">
      <c r="A418" s="2">
        <v>46083</v>
      </c>
      <c r="B418" t="s">
        <v>15</v>
      </c>
      <c r="C418" s="3">
        <v>1351</v>
      </c>
      <c r="D418" s="3">
        <v>1386</v>
      </c>
      <c r="E418" s="3">
        <v>1350</v>
      </c>
      <c r="F418" s="3">
        <v>1389.1</v>
      </c>
      <c r="G418" s="3">
        <v>1370.8</v>
      </c>
      <c r="H418" s="3">
        <v>1371</v>
      </c>
      <c r="I418" s="3">
        <v>1369.5</v>
      </c>
      <c r="J418" s="3">
        <v>1780.1</v>
      </c>
      <c r="K418" s="3">
        <v>1302.75</v>
      </c>
      <c r="L418" s="4">
        <v>2088938</v>
      </c>
      <c r="M418" s="3">
        <v>2860802041.5999999</v>
      </c>
      <c r="N418" s="4">
        <v>108564</v>
      </c>
      <c r="O418">
        <f t="shared" si="6"/>
        <v>-1.3030019437045504E-2</v>
      </c>
    </row>
    <row r="419" spans="1:15" ht="14.25" customHeight="1" x14ac:dyDescent="0.3">
      <c r="A419" s="2">
        <v>46085</v>
      </c>
      <c r="B419" t="s">
        <v>15</v>
      </c>
      <c r="C419" s="3">
        <v>1356</v>
      </c>
      <c r="D419" s="3">
        <v>1382</v>
      </c>
      <c r="E419" s="3">
        <v>1356</v>
      </c>
      <c r="F419" s="3">
        <v>1371</v>
      </c>
      <c r="G419" s="3">
        <v>1364</v>
      </c>
      <c r="H419" s="3">
        <v>1364</v>
      </c>
      <c r="I419" s="3">
        <v>1367.86</v>
      </c>
      <c r="J419" s="3">
        <v>1780.1</v>
      </c>
      <c r="K419" s="3">
        <v>1302.75</v>
      </c>
      <c r="L419" s="4">
        <v>3161598</v>
      </c>
      <c r="M419" s="3">
        <v>4324610721.3000002</v>
      </c>
      <c r="N419" s="4">
        <v>151012</v>
      </c>
      <c r="O419">
        <f t="shared" si="6"/>
        <v>-5.1057622173595919E-3</v>
      </c>
    </row>
    <row r="420" spans="1:15" ht="14.25" customHeight="1" x14ac:dyDescent="0.3">
      <c r="A420" s="2">
        <v>46086</v>
      </c>
      <c r="B420" t="s">
        <v>15</v>
      </c>
      <c r="C420" s="3">
        <v>1378.2</v>
      </c>
      <c r="D420" s="3">
        <v>1378.2</v>
      </c>
      <c r="E420" s="3">
        <v>1332.5</v>
      </c>
      <c r="F420" s="3">
        <v>1364</v>
      </c>
      <c r="G420" s="3">
        <v>1355.7</v>
      </c>
      <c r="H420" s="3">
        <v>1354.1</v>
      </c>
      <c r="I420" s="3">
        <v>1346.61</v>
      </c>
      <c r="J420" s="3">
        <v>1780.1</v>
      </c>
      <c r="K420" s="3">
        <v>1302.75</v>
      </c>
      <c r="L420" s="4">
        <v>2217963</v>
      </c>
      <c r="M420" s="3">
        <v>2986738309.1999998</v>
      </c>
      <c r="N420" s="4">
        <v>131063</v>
      </c>
      <c r="O420">
        <f t="shared" si="6"/>
        <v>-7.2580645161290994E-3</v>
      </c>
    </row>
    <row r="421" spans="1:15" ht="14.25" customHeight="1" x14ac:dyDescent="0.3">
      <c r="A421" s="2">
        <v>46087</v>
      </c>
      <c r="B421" t="s">
        <v>15</v>
      </c>
      <c r="C421" s="3">
        <v>1356</v>
      </c>
      <c r="D421" s="3">
        <v>1380.8</v>
      </c>
      <c r="E421" s="3">
        <v>1354.2</v>
      </c>
      <c r="F421" s="3">
        <v>1354.1</v>
      </c>
      <c r="G421" s="3">
        <v>1358</v>
      </c>
      <c r="H421" s="3">
        <v>1356.7</v>
      </c>
      <c r="I421" s="3">
        <v>1364.05</v>
      </c>
      <c r="J421" s="3">
        <v>1780.1</v>
      </c>
      <c r="K421" s="3">
        <v>1302.75</v>
      </c>
      <c r="L421" s="4">
        <v>1871596</v>
      </c>
      <c r="M421" s="3">
        <v>2552957099.1999998</v>
      </c>
      <c r="N421" s="4">
        <v>74907</v>
      </c>
      <c r="O421">
        <f t="shared" si="6"/>
        <v>1.9200945277306968E-3</v>
      </c>
    </row>
    <row r="422" spans="1:15" ht="14.25" customHeight="1" x14ac:dyDescent="0.3">
      <c r="A422" s="2">
        <v>46090</v>
      </c>
      <c r="B422" t="s">
        <v>15</v>
      </c>
      <c r="C422" s="3">
        <v>1330</v>
      </c>
      <c r="D422" s="3">
        <v>1372.7</v>
      </c>
      <c r="E422" s="3">
        <v>1328</v>
      </c>
      <c r="F422" s="3">
        <v>1356.7</v>
      </c>
      <c r="G422" s="3">
        <v>1362.4</v>
      </c>
      <c r="H422" s="3">
        <v>1358.6</v>
      </c>
      <c r="I422" s="3">
        <v>1355.54</v>
      </c>
      <c r="J422" s="3">
        <v>1780.1</v>
      </c>
      <c r="K422" s="3">
        <v>1302.75</v>
      </c>
      <c r="L422" s="4">
        <v>2256550</v>
      </c>
      <c r="M422" s="3">
        <v>3058842317.9000001</v>
      </c>
      <c r="N422" s="4">
        <v>110627</v>
      </c>
      <c r="O422">
        <f t="shared" si="6"/>
        <v>1.4004569912286161E-3</v>
      </c>
    </row>
    <row r="423" spans="1:15" ht="14.25" customHeight="1" x14ac:dyDescent="0.3">
      <c r="A423" s="2">
        <v>46091</v>
      </c>
      <c r="B423" t="s">
        <v>15</v>
      </c>
      <c r="C423" s="3">
        <v>1361</v>
      </c>
      <c r="D423" s="3">
        <v>1364.4</v>
      </c>
      <c r="E423" s="3">
        <v>1345</v>
      </c>
      <c r="F423" s="3">
        <v>1358.6</v>
      </c>
      <c r="G423" s="3">
        <v>1362.5</v>
      </c>
      <c r="H423" s="3">
        <v>1361.5</v>
      </c>
      <c r="I423" s="3">
        <v>1356.02</v>
      </c>
      <c r="J423" s="3">
        <v>1780.1</v>
      </c>
      <c r="K423" s="3">
        <v>1302.75</v>
      </c>
      <c r="L423" s="4">
        <v>1671877</v>
      </c>
      <c r="M423" s="3">
        <v>2267103442.1999998</v>
      </c>
      <c r="N423" s="4">
        <v>88793</v>
      </c>
      <c r="O423">
        <f t="shared" si="6"/>
        <v>2.13455027233924E-3</v>
      </c>
    </row>
    <row r="424" spans="1:15" ht="14.25" customHeight="1" x14ac:dyDescent="0.3">
      <c r="A424" s="2">
        <v>46092</v>
      </c>
      <c r="B424" t="s">
        <v>15</v>
      </c>
      <c r="C424" s="3">
        <v>1367.2</v>
      </c>
      <c r="D424" s="3">
        <v>1376</v>
      </c>
      <c r="E424" s="3">
        <v>1346.9</v>
      </c>
      <c r="F424" s="3">
        <v>1361.5</v>
      </c>
      <c r="G424" s="3">
        <v>1350.6</v>
      </c>
      <c r="H424" s="3">
        <v>1350.3</v>
      </c>
      <c r="I424" s="3">
        <v>1355.4</v>
      </c>
      <c r="J424" s="3">
        <v>1780.1</v>
      </c>
      <c r="K424" s="3">
        <v>1302.75</v>
      </c>
      <c r="L424" s="4">
        <v>1837000</v>
      </c>
      <c r="M424" s="3">
        <v>2489870483</v>
      </c>
      <c r="N424" s="4">
        <v>92591</v>
      </c>
      <c r="O424">
        <f t="shared" si="6"/>
        <v>-8.2262210796915508E-3</v>
      </c>
    </row>
    <row r="425" spans="1:15" ht="14.25" customHeight="1" x14ac:dyDescent="0.3">
      <c r="A425" s="2">
        <v>46093</v>
      </c>
      <c r="B425" t="s">
        <v>15</v>
      </c>
      <c r="C425" s="3">
        <v>1350</v>
      </c>
      <c r="D425" s="3">
        <v>1363.4</v>
      </c>
      <c r="E425" s="3">
        <v>1341</v>
      </c>
      <c r="F425" s="3">
        <v>1350.3</v>
      </c>
      <c r="G425" s="3">
        <v>1357</v>
      </c>
      <c r="H425" s="3">
        <v>1358.1</v>
      </c>
      <c r="I425" s="3">
        <v>1355.47</v>
      </c>
      <c r="J425" s="3">
        <v>1780.1</v>
      </c>
      <c r="K425" s="3">
        <v>1302.75</v>
      </c>
      <c r="L425" s="4">
        <v>2616965</v>
      </c>
      <c r="M425" s="3">
        <v>3547225863.0999999</v>
      </c>
      <c r="N425" s="4">
        <v>125512</v>
      </c>
      <c r="O425">
        <f t="shared" si="6"/>
        <v>5.7764941124194289E-3</v>
      </c>
    </row>
    <row r="426" spans="1:15" ht="14.25" customHeight="1" x14ac:dyDescent="0.3">
      <c r="A426" s="2">
        <v>46094</v>
      </c>
      <c r="B426" t="s">
        <v>15</v>
      </c>
      <c r="C426" s="3">
        <v>1350</v>
      </c>
      <c r="D426" s="3">
        <v>1356.7</v>
      </c>
      <c r="E426" s="3">
        <v>1321</v>
      </c>
      <c r="F426" s="3">
        <v>1358.1</v>
      </c>
      <c r="G426" s="3">
        <v>1329.1</v>
      </c>
      <c r="H426" s="3">
        <v>1325.4</v>
      </c>
      <c r="I426" s="3">
        <v>1336.25</v>
      </c>
      <c r="J426" s="3">
        <v>1780.1</v>
      </c>
      <c r="K426" s="3">
        <v>1302.75</v>
      </c>
      <c r="L426" s="4">
        <v>2190786</v>
      </c>
      <c r="M426" s="3">
        <v>2927429024.8000002</v>
      </c>
      <c r="N426" s="4">
        <v>97539</v>
      </c>
      <c r="O426">
        <f t="shared" si="6"/>
        <v>-2.4077755688093529E-2</v>
      </c>
    </row>
    <row r="427" spans="1:15" ht="14.25" customHeight="1" x14ac:dyDescent="0.3">
      <c r="A427" s="2">
        <v>46097</v>
      </c>
      <c r="B427" t="s">
        <v>15</v>
      </c>
      <c r="C427" s="3">
        <v>1312.8</v>
      </c>
      <c r="D427" s="3">
        <v>1337.7</v>
      </c>
      <c r="E427" s="3">
        <v>1302.4000000000001</v>
      </c>
      <c r="F427" s="3">
        <v>1325.4</v>
      </c>
      <c r="G427" s="3">
        <v>1328.3</v>
      </c>
      <c r="H427" s="3">
        <v>1328.6</v>
      </c>
      <c r="I427" s="3">
        <v>1322.95</v>
      </c>
      <c r="J427" s="3">
        <v>1780.1</v>
      </c>
      <c r="K427" s="3">
        <v>1302.4000000000001</v>
      </c>
      <c r="L427" s="4">
        <v>3618375</v>
      </c>
      <c r="M427" s="3">
        <v>4786935170.6000004</v>
      </c>
      <c r="N427" s="4">
        <v>125684</v>
      </c>
      <c r="O427">
        <f t="shared" si="6"/>
        <v>2.4143654745735761E-3</v>
      </c>
    </row>
    <row r="428" spans="1:15" ht="14.25" customHeight="1" x14ac:dyDescent="0.3">
      <c r="A428" s="2">
        <v>46098</v>
      </c>
      <c r="B428" t="s">
        <v>15</v>
      </c>
      <c r="C428" s="3">
        <v>1328.6</v>
      </c>
      <c r="D428" s="3">
        <v>1328.6</v>
      </c>
      <c r="E428" s="3">
        <v>1297.7</v>
      </c>
      <c r="F428" s="3">
        <v>1328.6</v>
      </c>
      <c r="G428" s="3">
        <v>1320.8</v>
      </c>
      <c r="H428" s="3">
        <v>1321.1</v>
      </c>
      <c r="I428" s="3">
        <v>1318.68</v>
      </c>
      <c r="J428" s="3">
        <v>1780.1</v>
      </c>
      <c r="K428" s="3">
        <v>1297.7</v>
      </c>
      <c r="L428" s="4">
        <v>2285672</v>
      </c>
      <c r="M428" s="3">
        <v>3014068844.4000001</v>
      </c>
      <c r="N428" s="4">
        <v>109302</v>
      </c>
      <c r="O428">
        <f t="shared" si="6"/>
        <v>-5.645039891615234E-3</v>
      </c>
    </row>
    <row r="429" spans="1:15" ht="14.25" customHeight="1" x14ac:dyDescent="0.3">
      <c r="A429" s="2">
        <v>46099</v>
      </c>
      <c r="B429" t="s">
        <v>15</v>
      </c>
      <c r="C429" s="3">
        <v>1326.5</v>
      </c>
      <c r="D429" s="3">
        <v>1378.4</v>
      </c>
      <c r="E429" s="3">
        <v>1326.5</v>
      </c>
      <c r="F429" s="3">
        <v>1321.1</v>
      </c>
      <c r="G429" s="3">
        <v>1358</v>
      </c>
      <c r="H429" s="3">
        <v>1357.2</v>
      </c>
      <c r="I429" s="3">
        <v>1362.83</v>
      </c>
      <c r="J429" s="3">
        <v>1780.1</v>
      </c>
      <c r="K429" s="3">
        <v>1297.7</v>
      </c>
      <c r="L429" s="4">
        <v>2564106</v>
      </c>
      <c r="M429" s="3">
        <v>3494441703.8000002</v>
      </c>
      <c r="N429" s="4">
        <v>142744</v>
      </c>
      <c r="O429">
        <f t="shared" si="6"/>
        <v>2.7325713420634425E-2</v>
      </c>
    </row>
    <row r="430" spans="1:15" ht="14.25" customHeight="1" x14ac:dyDescent="0.3">
      <c r="A430" s="2">
        <v>46100</v>
      </c>
      <c r="B430" t="s">
        <v>15</v>
      </c>
      <c r="C430" s="3">
        <v>1341.4</v>
      </c>
      <c r="D430" s="3">
        <v>1354.2</v>
      </c>
      <c r="E430" s="3">
        <v>1309.2</v>
      </c>
      <c r="F430" s="3">
        <v>1357.2</v>
      </c>
      <c r="G430" s="3">
        <v>1318</v>
      </c>
      <c r="H430" s="3">
        <v>1311.8</v>
      </c>
      <c r="I430" s="3">
        <v>1325.85</v>
      </c>
      <c r="J430" s="3">
        <v>1780.1</v>
      </c>
      <c r="K430" s="3">
        <v>1297.7</v>
      </c>
      <c r="L430" s="4">
        <v>1663249</v>
      </c>
      <c r="M430" s="3">
        <v>2205217342.8000002</v>
      </c>
      <c r="N430" s="4">
        <v>98485</v>
      </c>
      <c r="O430">
        <f t="shared" si="6"/>
        <v>-3.3451223106395589E-2</v>
      </c>
    </row>
    <row r="431" spans="1:15" ht="14.25" customHeight="1" x14ac:dyDescent="0.3">
      <c r="A431" s="2">
        <v>46101</v>
      </c>
      <c r="B431" t="s">
        <v>15</v>
      </c>
      <c r="C431" s="3">
        <v>1334.9</v>
      </c>
      <c r="D431" s="3">
        <v>1352.5</v>
      </c>
      <c r="E431" s="3">
        <v>1328.9</v>
      </c>
      <c r="F431" s="3">
        <v>1311.8</v>
      </c>
      <c r="G431" s="3">
        <v>1339.9</v>
      </c>
      <c r="H431" s="3">
        <v>1333.7</v>
      </c>
      <c r="I431" s="3">
        <v>1337.81</v>
      </c>
      <c r="J431" s="3">
        <v>1780.1</v>
      </c>
      <c r="K431" s="3">
        <v>1297.7</v>
      </c>
      <c r="L431" s="4">
        <v>5050431</v>
      </c>
      <c r="M431" s="3">
        <v>6756539286.1000004</v>
      </c>
      <c r="N431" s="4">
        <v>144232</v>
      </c>
      <c r="O431">
        <f t="shared" si="6"/>
        <v>1.669461808202477E-2</v>
      </c>
    </row>
    <row r="432" spans="1:15" ht="14.25" customHeight="1" x14ac:dyDescent="0.3">
      <c r="A432" s="2">
        <v>46104</v>
      </c>
      <c r="B432" t="s">
        <v>15</v>
      </c>
      <c r="C432" s="3">
        <v>1314.8</v>
      </c>
      <c r="D432" s="3">
        <v>1365</v>
      </c>
      <c r="E432" s="3">
        <v>1310</v>
      </c>
      <c r="F432" s="3">
        <v>1333.7</v>
      </c>
      <c r="G432" s="3">
        <v>1357.1</v>
      </c>
      <c r="H432" s="3">
        <v>1358.6</v>
      </c>
      <c r="I432" s="3">
        <v>1352.36</v>
      </c>
      <c r="J432" s="3">
        <v>1780.1</v>
      </c>
      <c r="K432" s="3">
        <v>1297.7</v>
      </c>
      <c r="L432" s="4">
        <v>5166409</v>
      </c>
      <c r="M432" s="3">
        <v>6986833334.6999998</v>
      </c>
      <c r="N432" s="4">
        <v>173461</v>
      </c>
      <c r="O432">
        <f t="shared" si="6"/>
        <v>1.8669865786908497E-2</v>
      </c>
    </row>
    <row r="433" spans="1:15" ht="14.25" customHeight="1" x14ac:dyDescent="0.3">
      <c r="A433" s="2">
        <v>46105</v>
      </c>
      <c r="B433" t="s">
        <v>15</v>
      </c>
      <c r="C433" s="3">
        <v>1380</v>
      </c>
      <c r="D433" s="3">
        <v>1394</v>
      </c>
      <c r="E433" s="3">
        <v>1360</v>
      </c>
      <c r="F433" s="3">
        <v>1358.6</v>
      </c>
      <c r="G433" s="3">
        <v>1375</v>
      </c>
      <c r="H433" s="3">
        <v>1373.3</v>
      </c>
      <c r="I433" s="3">
        <v>1378.06</v>
      </c>
      <c r="J433" s="3">
        <v>1780.1</v>
      </c>
      <c r="K433" s="3">
        <v>1297.7</v>
      </c>
      <c r="L433" s="4">
        <v>3555664</v>
      </c>
      <c r="M433" s="3">
        <v>4899927997.3000002</v>
      </c>
      <c r="N433" s="4">
        <v>117264</v>
      </c>
      <c r="O433">
        <f t="shared" si="6"/>
        <v>1.0819961725305496E-2</v>
      </c>
    </row>
    <row r="434" spans="1:15" ht="14.25" customHeight="1" x14ac:dyDescent="0.3">
      <c r="A434" s="2">
        <v>46106</v>
      </c>
      <c r="B434" t="s">
        <v>15</v>
      </c>
      <c r="C434" s="3">
        <v>1348</v>
      </c>
      <c r="D434" s="3">
        <v>1411.4</v>
      </c>
      <c r="E434" s="3">
        <v>1348</v>
      </c>
      <c r="F434" s="3">
        <v>1373.3</v>
      </c>
      <c r="G434" s="3">
        <v>1385.6</v>
      </c>
      <c r="H434" s="3">
        <v>1381.3</v>
      </c>
      <c r="I434" s="3">
        <v>1383.83</v>
      </c>
      <c r="J434" s="3">
        <v>1780.1</v>
      </c>
      <c r="K434" s="3">
        <v>1297.7</v>
      </c>
      <c r="L434" s="4">
        <v>4167275</v>
      </c>
      <c r="M434" s="3">
        <v>5766802478.8000002</v>
      </c>
      <c r="N434" s="4">
        <v>215488</v>
      </c>
      <c r="O434">
        <f t="shared" si="6"/>
        <v>5.825384111264837E-3</v>
      </c>
    </row>
    <row r="435" spans="1:15" ht="14.25" customHeight="1" x14ac:dyDescent="0.3">
      <c r="A435" s="2">
        <v>46108</v>
      </c>
      <c r="B435" t="s">
        <v>15</v>
      </c>
      <c r="C435" s="3">
        <v>1377</v>
      </c>
      <c r="D435" s="3">
        <v>1407.4</v>
      </c>
      <c r="E435" s="3">
        <v>1359.8</v>
      </c>
      <c r="F435" s="3">
        <v>1381.3</v>
      </c>
      <c r="G435" s="3">
        <v>1360.1</v>
      </c>
      <c r="H435" s="3">
        <v>1364.4</v>
      </c>
      <c r="I435" s="3">
        <v>1376.5</v>
      </c>
      <c r="J435" s="3">
        <v>1780.1</v>
      </c>
      <c r="K435" s="3">
        <v>1297.7</v>
      </c>
      <c r="L435" s="4">
        <v>8956139</v>
      </c>
      <c r="M435" s="3">
        <v>12328167695.799999</v>
      </c>
      <c r="N435" s="4">
        <v>195122</v>
      </c>
      <c r="O435">
        <f t="shared" si="6"/>
        <v>-1.2234851227104803E-2</v>
      </c>
    </row>
    <row r="436" spans="1:15" ht="14.25" customHeight="1" x14ac:dyDescent="0.3">
      <c r="A436" s="2">
        <v>46111</v>
      </c>
      <c r="B436" t="s">
        <v>15</v>
      </c>
      <c r="C436" s="3">
        <v>1350</v>
      </c>
      <c r="D436" s="3">
        <v>1359.2</v>
      </c>
      <c r="E436" s="3">
        <v>1336.2</v>
      </c>
      <c r="F436" s="3">
        <v>1364.4</v>
      </c>
      <c r="G436" s="3">
        <v>1345.1</v>
      </c>
      <c r="H436" s="3">
        <v>1341.6</v>
      </c>
      <c r="I436" s="3">
        <v>1345.87</v>
      </c>
      <c r="J436" s="3">
        <v>1780.1</v>
      </c>
      <c r="K436" s="3">
        <v>1297.7</v>
      </c>
      <c r="L436" s="4">
        <v>5541018</v>
      </c>
      <c r="M436" s="3">
        <v>7457495502</v>
      </c>
      <c r="N436" s="4">
        <v>115344</v>
      </c>
      <c r="O436">
        <f t="shared" si="6"/>
        <v>-1.6710642040457475E-2</v>
      </c>
    </row>
    <row r="437" spans="1:15" ht="14.25" customHeight="1" x14ac:dyDescent="0.3">
      <c r="A437" s="2">
        <v>46113</v>
      </c>
      <c r="B437" t="s">
        <v>15</v>
      </c>
      <c r="C437" s="3">
        <v>1399.7</v>
      </c>
      <c r="D437" s="3">
        <v>1399.7</v>
      </c>
      <c r="E437" s="3">
        <v>1349</v>
      </c>
      <c r="F437" s="3">
        <v>1341.6</v>
      </c>
      <c r="G437" s="3">
        <v>1356</v>
      </c>
      <c r="H437" s="3">
        <v>1354.4</v>
      </c>
      <c r="I437" s="3">
        <v>1367.96</v>
      </c>
      <c r="J437" s="3">
        <v>1780.1</v>
      </c>
      <c r="K437" s="3">
        <v>1297.7</v>
      </c>
      <c r="L437" s="4">
        <v>2469237</v>
      </c>
      <c r="M437" s="3">
        <v>3377810450.8000002</v>
      </c>
      <c r="N437" s="4">
        <v>105006</v>
      </c>
      <c r="O437">
        <f t="shared" si="6"/>
        <v>9.5408467501492122E-3</v>
      </c>
    </row>
    <row r="438" spans="1:15" ht="14.25" customHeight="1" x14ac:dyDescent="0.3">
      <c r="A438" s="2">
        <v>46114</v>
      </c>
      <c r="B438" t="s">
        <v>15</v>
      </c>
      <c r="C438" s="3">
        <v>1347</v>
      </c>
      <c r="D438" s="3">
        <v>1412.8</v>
      </c>
      <c r="E438" s="3">
        <v>1341.2</v>
      </c>
      <c r="F438" s="3">
        <v>1354.4</v>
      </c>
      <c r="G438" s="3">
        <v>1395</v>
      </c>
      <c r="H438" s="3">
        <v>1402.2</v>
      </c>
      <c r="I438" s="3">
        <v>1384.54</v>
      </c>
      <c r="J438" s="3">
        <v>1780.1</v>
      </c>
      <c r="K438" s="3">
        <v>1297.7</v>
      </c>
      <c r="L438" s="4">
        <v>6509389</v>
      </c>
      <c r="M438" s="3">
        <v>9012495302.2999992</v>
      </c>
      <c r="N438" s="4">
        <v>156129</v>
      </c>
      <c r="O438">
        <f t="shared" si="6"/>
        <v>3.5292380389840484E-2</v>
      </c>
    </row>
    <row r="439" spans="1:15" ht="14.25" customHeight="1" x14ac:dyDescent="0.3">
      <c r="A439" s="2">
        <v>46118</v>
      </c>
      <c r="B439" t="s">
        <v>15</v>
      </c>
      <c r="C439" s="3">
        <v>1397</v>
      </c>
      <c r="D439" s="3">
        <v>1422.3</v>
      </c>
      <c r="E439" s="3">
        <v>1394.1</v>
      </c>
      <c r="F439" s="3">
        <v>1402.2</v>
      </c>
      <c r="G439" s="3">
        <v>1400</v>
      </c>
      <c r="H439" s="3">
        <v>1403.3</v>
      </c>
      <c r="I439" s="3">
        <v>1406.71</v>
      </c>
      <c r="J439" s="3">
        <v>1780.1</v>
      </c>
      <c r="K439" s="3">
        <v>1297.7</v>
      </c>
      <c r="L439" s="4">
        <v>2134581</v>
      </c>
      <c r="M439" s="3">
        <v>3002730845.5999999</v>
      </c>
      <c r="N439" s="4">
        <v>89590</v>
      </c>
      <c r="O439">
        <f t="shared" si="6"/>
        <v>7.8448152902575166E-4</v>
      </c>
    </row>
    <row r="440" spans="1:15" ht="14.25" customHeight="1" x14ac:dyDescent="0.3">
      <c r="A440" s="2">
        <v>46119</v>
      </c>
      <c r="B440" t="s">
        <v>15</v>
      </c>
      <c r="C440" s="3">
        <v>1391</v>
      </c>
      <c r="D440" s="3">
        <v>1446.5</v>
      </c>
      <c r="E440" s="3">
        <v>1388.1</v>
      </c>
      <c r="F440" s="3">
        <v>1403.3</v>
      </c>
      <c r="G440" s="3">
        <v>1440.5</v>
      </c>
      <c r="H440" s="3">
        <v>1441.6</v>
      </c>
      <c r="I440" s="3">
        <v>1435.93</v>
      </c>
      <c r="J440" s="3">
        <v>1780.1</v>
      </c>
      <c r="K440" s="3">
        <v>1297.7</v>
      </c>
      <c r="L440" s="4">
        <v>3459049</v>
      </c>
      <c r="M440" s="3">
        <v>4966967193.8000002</v>
      </c>
      <c r="N440" s="4">
        <v>130355</v>
      </c>
      <c r="O440">
        <f t="shared" si="6"/>
        <v>2.7292809805458531E-2</v>
      </c>
    </row>
    <row r="441" spans="1:15" ht="14.25" customHeight="1" x14ac:dyDescent="0.3">
      <c r="A441" s="2">
        <v>46120</v>
      </c>
      <c r="B441" t="s">
        <v>15</v>
      </c>
      <c r="C441" s="3">
        <v>1449.9</v>
      </c>
      <c r="D441" s="3">
        <v>1466</v>
      </c>
      <c r="E441" s="3">
        <v>1431.9</v>
      </c>
      <c r="F441" s="3">
        <v>1441.6</v>
      </c>
      <c r="G441" s="3">
        <v>1453.9</v>
      </c>
      <c r="H441" s="3">
        <v>1461</v>
      </c>
      <c r="I441" s="3">
        <v>1450.32</v>
      </c>
      <c r="J441" s="3">
        <v>1780.1</v>
      </c>
      <c r="K441" s="3">
        <v>1297.7</v>
      </c>
      <c r="L441" s="4">
        <v>4239052</v>
      </c>
      <c r="M441" s="3">
        <v>6147986493</v>
      </c>
      <c r="N441" s="4">
        <v>176059</v>
      </c>
      <c r="O441">
        <f t="shared" si="6"/>
        <v>1.3457269700333027E-2</v>
      </c>
    </row>
    <row r="442" spans="1:15" ht="14.25" customHeight="1" x14ac:dyDescent="0.3">
      <c r="A442" s="2">
        <v>46121</v>
      </c>
      <c r="B442" t="s">
        <v>15</v>
      </c>
      <c r="C442" s="3">
        <v>1458.9</v>
      </c>
      <c r="D442" s="3">
        <v>1469</v>
      </c>
      <c r="E442" s="3">
        <v>1436</v>
      </c>
      <c r="F442" s="3">
        <v>1461</v>
      </c>
      <c r="G442" s="3">
        <v>1465.8</v>
      </c>
      <c r="H442" s="3">
        <v>1464.9</v>
      </c>
      <c r="I442" s="3">
        <v>1453.12</v>
      </c>
      <c r="J442" s="3">
        <v>1780.1</v>
      </c>
      <c r="K442" s="3">
        <v>1297.7</v>
      </c>
      <c r="L442" s="4">
        <v>3101205</v>
      </c>
      <c r="M442" s="3">
        <v>4506426555.8000002</v>
      </c>
      <c r="N442" s="4">
        <v>122283</v>
      </c>
      <c r="O442">
        <f t="shared" si="6"/>
        <v>2.6694045174538612E-3</v>
      </c>
    </row>
    <row r="443" spans="1:15" ht="14.25" customHeight="1" x14ac:dyDescent="0.3">
      <c r="A443" s="2">
        <v>46122</v>
      </c>
      <c r="B443" t="s">
        <v>15</v>
      </c>
      <c r="C443" s="3">
        <v>1452</v>
      </c>
      <c r="D443" s="3">
        <v>1457.6</v>
      </c>
      <c r="E443" s="3">
        <v>1421.1</v>
      </c>
      <c r="F443" s="3">
        <v>1464.9</v>
      </c>
      <c r="G443" s="3">
        <v>1451</v>
      </c>
      <c r="H443" s="3">
        <v>1451.2</v>
      </c>
      <c r="I443" s="3">
        <v>1438.64</v>
      </c>
      <c r="J443" s="3">
        <v>1780.1</v>
      </c>
      <c r="K443" s="3">
        <v>1297.7</v>
      </c>
      <c r="L443" s="4">
        <v>3450066</v>
      </c>
      <c r="M443" s="3">
        <v>4963415693.3999996</v>
      </c>
      <c r="N443" s="4">
        <v>227938</v>
      </c>
      <c r="O443">
        <f t="shared" si="6"/>
        <v>-9.3521742098437062E-3</v>
      </c>
    </row>
    <row r="444" spans="1:15" ht="14.25" customHeight="1" x14ac:dyDescent="0.3">
      <c r="A444" s="2">
        <v>46125</v>
      </c>
      <c r="B444" t="s">
        <v>15</v>
      </c>
      <c r="C444" s="3">
        <v>1441</v>
      </c>
      <c r="D444" s="3">
        <v>1447.8</v>
      </c>
      <c r="E444" s="3">
        <v>1417.5</v>
      </c>
      <c r="F444" s="3">
        <v>1451.2</v>
      </c>
      <c r="G444" s="3">
        <v>1428.5</v>
      </c>
      <c r="H444" s="3">
        <v>1429.4</v>
      </c>
      <c r="I444" s="3">
        <v>1427.35</v>
      </c>
      <c r="J444" s="3">
        <v>1780.1</v>
      </c>
      <c r="K444" s="3">
        <v>1297.7</v>
      </c>
      <c r="L444" s="4">
        <v>2252652</v>
      </c>
      <c r="M444" s="3">
        <v>3215316491.5999999</v>
      </c>
      <c r="N444" s="4">
        <v>106276</v>
      </c>
      <c r="O444">
        <f t="shared" si="6"/>
        <v>-1.5022050716648258E-2</v>
      </c>
    </row>
    <row r="445" spans="1:15" ht="14.25" customHeight="1" x14ac:dyDescent="0.3">
      <c r="A445" s="2">
        <v>46127</v>
      </c>
      <c r="B445" t="s">
        <v>15</v>
      </c>
      <c r="C445" s="3">
        <v>1445</v>
      </c>
      <c r="D445" s="3">
        <v>1474.9</v>
      </c>
      <c r="E445" s="3">
        <v>1437.1</v>
      </c>
      <c r="F445" s="3">
        <v>1429.4</v>
      </c>
      <c r="G445" s="3">
        <v>1450.3</v>
      </c>
      <c r="H445" s="3">
        <v>1451.3</v>
      </c>
      <c r="I445" s="3">
        <v>1450.85</v>
      </c>
      <c r="J445" s="3">
        <v>1780.1</v>
      </c>
      <c r="K445" s="3">
        <v>1297.7</v>
      </c>
      <c r="L445" s="4">
        <v>3993858</v>
      </c>
      <c r="M445" s="3">
        <v>5794470556.1999998</v>
      </c>
      <c r="N445" s="4">
        <v>125253</v>
      </c>
      <c r="O445">
        <f t="shared" si="6"/>
        <v>1.5321113754022571E-2</v>
      </c>
    </row>
    <row r="446" spans="1:15" ht="14.25" customHeight="1" x14ac:dyDescent="0.3">
      <c r="A446" s="2">
        <v>46128</v>
      </c>
      <c r="B446" t="s">
        <v>15</v>
      </c>
      <c r="C446" s="3">
        <v>1460</v>
      </c>
      <c r="D446" s="3">
        <v>1468.7</v>
      </c>
      <c r="E446" s="3">
        <v>1435.1</v>
      </c>
      <c r="F446" s="3">
        <v>1451.3</v>
      </c>
      <c r="G446" s="3">
        <v>1448.5</v>
      </c>
      <c r="H446" s="3">
        <v>1450.2</v>
      </c>
      <c r="I446" s="3">
        <v>1446.11</v>
      </c>
      <c r="J446" s="3">
        <v>1780.1</v>
      </c>
      <c r="K446" s="3">
        <v>1297.7</v>
      </c>
      <c r="L446" s="4">
        <v>5229848</v>
      </c>
      <c r="M446" s="3">
        <v>7562935607.1999998</v>
      </c>
      <c r="N446" s="4">
        <v>152645</v>
      </c>
      <c r="O446">
        <f t="shared" si="6"/>
        <v>-7.5794115620471923E-4</v>
      </c>
    </row>
    <row r="447" spans="1:15" ht="14.25" customHeight="1" x14ac:dyDescent="0.3">
      <c r="A447" s="2">
        <v>46129</v>
      </c>
      <c r="B447" t="s">
        <v>15</v>
      </c>
      <c r="C447" s="3">
        <v>1443.3</v>
      </c>
      <c r="D447" s="3">
        <v>1458</v>
      </c>
      <c r="E447" s="3">
        <v>1430</v>
      </c>
      <c r="F447" s="3">
        <v>1450.2</v>
      </c>
      <c r="G447" s="3">
        <v>1443</v>
      </c>
      <c r="H447" s="3">
        <v>1442.3</v>
      </c>
      <c r="I447" s="3">
        <v>1438.28</v>
      </c>
      <c r="J447" s="3">
        <v>1780.1</v>
      </c>
      <c r="K447" s="3">
        <v>1297.7</v>
      </c>
      <c r="L447" s="4">
        <v>3319268</v>
      </c>
      <c r="M447" s="3">
        <v>4774045020.3000002</v>
      </c>
      <c r="N447" s="4">
        <v>104096</v>
      </c>
      <c r="O447">
        <f t="shared" si="6"/>
        <v>-5.4475244793822167E-3</v>
      </c>
    </row>
    <row r="448" spans="1:15" ht="14.25" customHeight="1" x14ac:dyDescent="0.3">
      <c r="A448" s="2">
        <v>46132</v>
      </c>
      <c r="B448" t="s">
        <v>15</v>
      </c>
      <c r="C448" s="3">
        <v>1445.9</v>
      </c>
      <c r="D448" s="3">
        <v>1451.9</v>
      </c>
      <c r="E448" s="3">
        <v>1424</v>
      </c>
      <c r="F448" s="3">
        <v>1442.3</v>
      </c>
      <c r="G448" s="3">
        <v>1424.4</v>
      </c>
      <c r="H448" s="3">
        <v>1428.3</v>
      </c>
      <c r="I448" s="3">
        <v>1434.33</v>
      </c>
      <c r="J448" s="3">
        <v>1780.1</v>
      </c>
      <c r="K448" s="3">
        <v>1297.7</v>
      </c>
      <c r="L448" s="4">
        <v>2352656</v>
      </c>
      <c r="M448" s="3">
        <v>3374486762.0999999</v>
      </c>
      <c r="N448" s="4">
        <v>99253</v>
      </c>
      <c r="O448">
        <f t="shared" si="6"/>
        <v>-9.7067184358316586E-3</v>
      </c>
    </row>
    <row r="449" spans="1:15" ht="14.25" customHeight="1" x14ac:dyDescent="0.3">
      <c r="A449" s="2">
        <v>46133</v>
      </c>
      <c r="B449" t="s">
        <v>15</v>
      </c>
      <c r="C449" s="3">
        <v>1430</v>
      </c>
      <c r="D449" s="3">
        <v>1455</v>
      </c>
      <c r="E449" s="3">
        <v>1422.4</v>
      </c>
      <c r="F449" s="3">
        <v>1428.3</v>
      </c>
      <c r="G449" s="3">
        <v>1439</v>
      </c>
      <c r="H449" s="3">
        <v>1441.2</v>
      </c>
      <c r="I449" s="3">
        <v>1440.59</v>
      </c>
      <c r="J449" s="3">
        <v>1780.1</v>
      </c>
      <c r="K449" s="3">
        <v>1297.7</v>
      </c>
      <c r="L449" s="4">
        <v>3091487</v>
      </c>
      <c r="M449" s="3">
        <v>4453559346</v>
      </c>
      <c r="N449" s="4">
        <v>96067</v>
      </c>
      <c r="O449">
        <f t="shared" si="6"/>
        <v>9.031716026045012E-3</v>
      </c>
    </row>
    <row r="450" spans="1:15" ht="14.25" customHeight="1" x14ac:dyDescent="0.3">
      <c r="A450" s="2">
        <v>46134</v>
      </c>
      <c r="B450" t="s">
        <v>15</v>
      </c>
      <c r="C450" s="3">
        <v>1345</v>
      </c>
      <c r="D450" s="3">
        <v>1358</v>
      </c>
      <c r="E450" s="3">
        <v>1281</v>
      </c>
      <c r="F450" s="3">
        <v>1441.2</v>
      </c>
      <c r="G450" s="3">
        <v>1286.4000000000001</v>
      </c>
      <c r="H450" s="3">
        <v>1285.3</v>
      </c>
      <c r="I450" s="3">
        <v>1304.43</v>
      </c>
      <c r="J450" s="3">
        <v>1780.1</v>
      </c>
      <c r="K450" s="3">
        <v>1281</v>
      </c>
      <c r="L450" s="4">
        <v>33066256</v>
      </c>
      <c r="M450" s="3">
        <v>43132618848.400002</v>
      </c>
      <c r="N450" s="4">
        <v>685701</v>
      </c>
      <c r="O450">
        <f t="shared" si="6"/>
        <v>-0.10817374410213716</v>
      </c>
    </row>
    <row r="451" spans="1:15" ht="14.25" customHeight="1" x14ac:dyDescent="0.3">
      <c r="A451" s="2">
        <v>46135</v>
      </c>
      <c r="B451" t="s">
        <v>15</v>
      </c>
      <c r="C451" s="3">
        <v>1290</v>
      </c>
      <c r="D451" s="3">
        <v>1294.3</v>
      </c>
      <c r="E451" s="3">
        <v>1272</v>
      </c>
      <c r="F451" s="3">
        <v>1285.3</v>
      </c>
      <c r="G451" s="3">
        <v>1276.2</v>
      </c>
      <c r="H451" s="3">
        <v>1277.5999999999999</v>
      </c>
      <c r="I451" s="3">
        <v>1279.21</v>
      </c>
      <c r="J451" s="3">
        <v>1780.1</v>
      </c>
      <c r="K451" s="3">
        <v>1272</v>
      </c>
      <c r="L451" s="4">
        <v>8304759</v>
      </c>
      <c r="M451" s="3">
        <v>10623555874.299999</v>
      </c>
      <c r="N451" s="4">
        <v>210855</v>
      </c>
      <c r="O451">
        <f t="shared" ref="O451:O496" si="7">(H451-H450)/H450</f>
        <v>-5.9908192639850973E-3</v>
      </c>
    </row>
    <row r="452" spans="1:15" ht="14.25" customHeight="1" x14ac:dyDescent="0.3">
      <c r="A452" s="2">
        <v>46136</v>
      </c>
      <c r="B452" t="s">
        <v>15</v>
      </c>
      <c r="C452" s="3">
        <v>1264.4000000000001</v>
      </c>
      <c r="D452" s="3">
        <v>1264.8</v>
      </c>
      <c r="E452" s="3">
        <v>1198.0999999999999</v>
      </c>
      <c r="F452" s="3">
        <v>1277.5999999999999</v>
      </c>
      <c r="G452" s="3">
        <v>1202.5</v>
      </c>
      <c r="H452" s="3">
        <v>1203.2</v>
      </c>
      <c r="I452" s="3">
        <v>1217.49</v>
      </c>
      <c r="J452" s="3">
        <v>1780.1</v>
      </c>
      <c r="K452" s="3">
        <v>1198.0999999999999</v>
      </c>
      <c r="L452" s="4">
        <v>10903519</v>
      </c>
      <c r="M452" s="3">
        <v>13274909643.6</v>
      </c>
      <c r="N452" s="4">
        <v>340026</v>
      </c>
      <c r="O452">
        <f t="shared" si="7"/>
        <v>-5.8234189104570969E-2</v>
      </c>
    </row>
    <row r="453" spans="1:15" ht="14.25" customHeight="1" x14ac:dyDescent="0.3">
      <c r="A453" s="2">
        <v>46139</v>
      </c>
      <c r="B453" t="s">
        <v>15</v>
      </c>
      <c r="C453" s="3">
        <v>1209</v>
      </c>
      <c r="D453" s="3">
        <v>1232</v>
      </c>
      <c r="E453" s="3">
        <v>1201</v>
      </c>
      <c r="F453" s="3">
        <v>1203.2</v>
      </c>
      <c r="G453" s="3">
        <v>1230.2</v>
      </c>
      <c r="H453" s="3">
        <v>1228.2</v>
      </c>
      <c r="I453" s="3">
        <v>1218.1500000000001</v>
      </c>
      <c r="J453" s="3">
        <v>1780.1</v>
      </c>
      <c r="K453" s="3">
        <v>1198.0999999999999</v>
      </c>
      <c r="L453" s="4">
        <v>6066942</v>
      </c>
      <c r="M453" s="3">
        <v>7390475443.6999998</v>
      </c>
      <c r="N453" s="4">
        <v>197227</v>
      </c>
      <c r="O453">
        <f t="shared" si="7"/>
        <v>2.0777925531914893E-2</v>
      </c>
    </row>
    <row r="454" spans="1:15" ht="14.25" customHeight="1" x14ac:dyDescent="0.3">
      <c r="A454" s="2">
        <v>46140</v>
      </c>
      <c r="B454" t="s">
        <v>15</v>
      </c>
      <c r="C454" s="3">
        <v>1227.9000000000001</v>
      </c>
      <c r="D454" s="3">
        <v>1232.7</v>
      </c>
      <c r="E454" s="3">
        <v>1192.3</v>
      </c>
      <c r="F454" s="3">
        <v>1228.2</v>
      </c>
      <c r="G454" s="3">
        <v>1199.8</v>
      </c>
      <c r="H454" s="3">
        <v>1196</v>
      </c>
      <c r="I454" s="3">
        <v>1202.5899999999999</v>
      </c>
      <c r="J454" s="3">
        <v>1780.1</v>
      </c>
      <c r="K454" s="3">
        <v>1192.3</v>
      </c>
      <c r="L454" s="4">
        <v>6643295</v>
      </c>
      <c r="M454" s="3">
        <v>7989144451.3000002</v>
      </c>
      <c r="N454" s="4">
        <v>147386</v>
      </c>
      <c r="O454">
        <f t="shared" si="7"/>
        <v>-2.6217228464419512E-2</v>
      </c>
    </row>
    <row r="455" spans="1:15" ht="14.25" customHeight="1" x14ac:dyDescent="0.3">
      <c r="A455" s="2">
        <v>46141</v>
      </c>
      <c r="B455" t="s">
        <v>15</v>
      </c>
      <c r="C455" s="3">
        <v>1200</v>
      </c>
      <c r="D455" s="3">
        <v>1210.8</v>
      </c>
      <c r="E455" s="3">
        <v>1192.0999999999999</v>
      </c>
      <c r="F455" s="3">
        <v>1196</v>
      </c>
      <c r="G455" s="3">
        <v>1198</v>
      </c>
      <c r="H455" s="3">
        <v>1200.2</v>
      </c>
      <c r="I455" s="3">
        <v>1202.3800000000001</v>
      </c>
      <c r="J455" s="3">
        <v>1780.1</v>
      </c>
      <c r="K455" s="3">
        <v>1192.0999999999999</v>
      </c>
      <c r="L455" s="4">
        <v>4777201</v>
      </c>
      <c r="M455" s="3">
        <v>5743997313.8000002</v>
      </c>
      <c r="N455" s="4">
        <v>128407</v>
      </c>
      <c r="O455">
        <f t="shared" si="7"/>
        <v>3.511705685618767E-3</v>
      </c>
    </row>
    <row r="456" spans="1:15" ht="14.25" customHeight="1" x14ac:dyDescent="0.3">
      <c r="A456" s="2">
        <v>46142</v>
      </c>
      <c r="B456" t="s">
        <v>15</v>
      </c>
      <c r="C456" s="3">
        <v>1200</v>
      </c>
      <c r="D456" s="3">
        <v>1213.7</v>
      </c>
      <c r="E456" s="3">
        <v>1184</v>
      </c>
      <c r="F456" s="3">
        <v>1200.2</v>
      </c>
      <c r="G456" s="3">
        <v>1201.4000000000001</v>
      </c>
      <c r="H456" s="3">
        <v>1199.0999999999999</v>
      </c>
      <c r="I456" s="3">
        <v>1200.95</v>
      </c>
      <c r="J456" s="3">
        <v>1780.1</v>
      </c>
      <c r="K456" s="3">
        <v>1184</v>
      </c>
      <c r="L456" s="4">
        <v>5070033</v>
      </c>
      <c r="M456" s="3">
        <v>6088837497.6999998</v>
      </c>
      <c r="N456" s="4">
        <v>127757</v>
      </c>
      <c r="O456">
        <f t="shared" si="7"/>
        <v>-9.1651391434772241E-4</v>
      </c>
    </row>
    <row r="457" spans="1:15" ht="14.25" customHeight="1" x14ac:dyDescent="0.3">
      <c r="A457" s="2">
        <v>46146</v>
      </c>
      <c r="B457" t="s">
        <v>15</v>
      </c>
      <c r="C457" s="3">
        <v>1208</v>
      </c>
      <c r="D457" s="3">
        <v>1213.5</v>
      </c>
      <c r="E457" s="3">
        <v>1191.4000000000001</v>
      </c>
      <c r="F457" s="3">
        <v>1199.0999999999999</v>
      </c>
      <c r="G457" s="3">
        <v>1200</v>
      </c>
      <c r="H457" s="3">
        <v>1200.5</v>
      </c>
      <c r="I457" s="3">
        <v>1199.3</v>
      </c>
      <c r="J457" s="3">
        <v>1780.1</v>
      </c>
      <c r="K457" s="3">
        <v>1184</v>
      </c>
      <c r="L457" s="4">
        <v>3318673</v>
      </c>
      <c r="M457" s="3">
        <v>3980081359.5999999</v>
      </c>
      <c r="N457" s="4">
        <v>120491</v>
      </c>
      <c r="O457">
        <f t="shared" si="7"/>
        <v>1.1675423234092995E-3</v>
      </c>
    </row>
    <row r="458" spans="1:15" ht="14.25" customHeight="1" x14ac:dyDescent="0.3">
      <c r="A458" s="2">
        <v>46147</v>
      </c>
      <c r="B458" t="s">
        <v>15</v>
      </c>
      <c r="C458" s="3">
        <v>1200</v>
      </c>
      <c r="D458" s="3">
        <v>1205.4000000000001</v>
      </c>
      <c r="E458" s="3">
        <v>1190</v>
      </c>
      <c r="F458" s="3">
        <v>1200.5</v>
      </c>
      <c r="G458" s="3">
        <v>1200.3</v>
      </c>
      <c r="H458" s="3">
        <v>1200.2</v>
      </c>
      <c r="I458" s="3">
        <v>1199.4000000000001</v>
      </c>
      <c r="J458" s="3">
        <v>1780.1</v>
      </c>
      <c r="K458" s="3">
        <v>1184</v>
      </c>
      <c r="L458" s="4">
        <v>2459953</v>
      </c>
      <c r="M458" s="3">
        <v>2950467173.1999998</v>
      </c>
      <c r="N458" s="4">
        <v>100748</v>
      </c>
      <c r="O458">
        <f t="shared" si="7"/>
        <v>-2.4989587671799625E-4</v>
      </c>
    </row>
    <row r="459" spans="1:15" ht="14.25" customHeight="1" x14ac:dyDescent="0.3">
      <c r="A459" s="2">
        <v>46148</v>
      </c>
      <c r="B459" t="s">
        <v>15</v>
      </c>
      <c r="C459" s="3">
        <v>1208</v>
      </c>
      <c r="D459" s="3">
        <v>1212</v>
      </c>
      <c r="E459" s="3">
        <v>1186.4000000000001</v>
      </c>
      <c r="F459" s="3">
        <v>1200.2</v>
      </c>
      <c r="G459" s="3">
        <v>1190.9000000000001</v>
      </c>
      <c r="H459" s="3">
        <v>1189.0999999999999</v>
      </c>
      <c r="I459" s="3">
        <v>1194.8699999999999</v>
      </c>
      <c r="J459" s="3">
        <v>1780.1</v>
      </c>
      <c r="K459" s="3">
        <v>1184</v>
      </c>
      <c r="L459" s="4">
        <v>3541520</v>
      </c>
      <c r="M459" s="3">
        <v>4231660348.0999999</v>
      </c>
      <c r="N459" s="4">
        <v>89971</v>
      </c>
      <c r="O459">
        <f t="shared" si="7"/>
        <v>-9.2484585902350737E-3</v>
      </c>
    </row>
    <row r="460" spans="1:15" ht="14.25" customHeight="1" x14ac:dyDescent="0.3">
      <c r="A460" s="2">
        <v>46149</v>
      </c>
      <c r="B460" t="s">
        <v>15</v>
      </c>
      <c r="C460" s="3">
        <v>1195</v>
      </c>
      <c r="D460" s="3">
        <v>1196</v>
      </c>
      <c r="E460" s="3">
        <v>1181.0999999999999</v>
      </c>
      <c r="F460" s="3">
        <v>1189.0999999999999</v>
      </c>
      <c r="G460" s="3">
        <v>1182.4000000000001</v>
      </c>
      <c r="H460" s="3">
        <v>1183.4000000000001</v>
      </c>
      <c r="I460" s="3">
        <v>1185.93</v>
      </c>
      <c r="J460" s="3">
        <v>1780.1</v>
      </c>
      <c r="K460" s="3">
        <v>1181.0999999999999</v>
      </c>
      <c r="L460" s="4">
        <v>3725309</v>
      </c>
      <c r="M460" s="3">
        <v>4417958582.6000004</v>
      </c>
      <c r="N460" s="4">
        <v>94392</v>
      </c>
      <c r="O460">
        <f t="shared" si="7"/>
        <v>-4.7935413337816994E-3</v>
      </c>
    </row>
    <row r="461" spans="1:15" ht="14.25" customHeight="1" x14ac:dyDescent="0.3">
      <c r="A461" s="2">
        <v>46150</v>
      </c>
      <c r="B461" t="s">
        <v>15</v>
      </c>
      <c r="C461" s="3">
        <v>1179.8</v>
      </c>
      <c r="D461" s="3">
        <v>1202.8</v>
      </c>
      <c r="E461" s="3">
        <v>1176.8</v>
      </c>
      <c r="F461" s="3">
        <v>1183.4000000000001</v>
      </c>
      <c r="G461" s="3">
        <v>1199</v>
      </c>
      <c r="H461" s="3">
        <v>1198.4000000000001</v>
      </c>
      <c r="I461" s="3">
        <v>1194.9000000000001</v>
      </c>
      <c r="J461" s="3">
        <v>1780.1</v>
      </c>
      <c r="K461" s="3">
        <v>1176.8</v>
      </c>
      <c r="L461" s="4">
        <v>2813749</v>
      </c>
      <c r="M461" s="3">
        <v>3362135322.5</v>
      </c>
      <c r="N461" s="4">
        <v>79508</v>
      </c>
      <c r="O461">
        <f t="shared" si="7"/>
        <v>1.2675342234240324E-2</v>
      </c>
    </row>
    <row r="462" spans="1:15" ht="14.25" customHeight="1" x14ac:dyDescent="0.3">
      <c r="A462" s="2">
        <v>46153</v>
      </c>
      <c r="B462" t="s">
        <v>15</v>
      </c>
      <c r="C462" s="3">
        <v>1196.9000000000001</v>
      </c>
      <c r="D462" s="3">
        <v>1206.3</v>
      </c>
      <c r="E462" s="3">
        <v>1191.0999999999999</v>
      </c>
      <c r="F462" s="3">
        <v>1198.4000000000001</v>
      </c>
      <c r="G462" s="3">
        <v>1195</v>
      </c>
      <c r="H462" s="3">
        <v>1194.9000000000001</v>
      </c>
      <c r="I462" s="3">
        <v>1200.25</v>
      </c>
      <c r="J462" s="3">
        <v>1780.1</v>
      </c>
      <c r="K462" s="3">
        <v>1176.8</v>
      </c>
      <c r="L462" s="4">
        <v>2505962</v>
      </c>
      <c r="M462" s="3">
        <v>3007773889.1999998</v>
      </c>
      <c r="N462" s="4">
        <v>95624</v>
      </c>
      <c r="O462">
        <f t="shared" si="7"/>
        <v>-2.9205607476635513E-3</v>
      </c>
    </row>
    <row r="463" spans="1:15" ht="14.25" customHeight="1" x14ac:dyDescent="0.3">
      <c r="A463" s="2">
        <v>46154</v>
      </c>
      <c r="B463" t="s">
        <v>15</v>
      </c>
      <c r="C463" s="3">
        <v>1183</v>
      </c>
      <c r="D463" s="3">
        <v>1184</v>
      </c>
      <c r="E463" s="3">
        <v>1142.5999999999999</v>
      </c>
      <c r="F463" s="3">
        <v>1194.9000000000001</v>
      </c>
      <c r="G463" s="3">
        <v>1147</v>
      </c>
      <c r="H463" s="3">
        <v>1145.8</v>
      </c>
      <c r="I463" s="3">
        <v>1154.1199999999999</v>
      </c>
      <c r="J463" s="3">
        <v>1780.1</v>
      </c>
      <c r="K463" s="3">
        <v>1142.5999999999999</v>
      </c>
      <c r="L463" s="4">
        <v>3959561</v>
      </c>
      <c r="M463" s="3">
        <v>4569791458</v>
      </c>
      <c r="N463" s="4">
        <v>127002</v>
      </c>
      <c r="O463">
        <f t="shared" si="7"/>
        <v>-4.1091304711691465E-2</v>
      </c>
    </row>
    <row r="464" spans="1:15" ht="14.25" customHeight="1" x14ac:dyDescent="0.3">
      <c r="A464" s="2">
        <v>46155</v>
      </c>
      <c r="B464" t="s">
        <v>15</v>
      </c>
      <c r="C464" s="3">
        <v>1146.3</v>
      </c>
      <c r="D464" s="3">
        <v>1154.5999999999999</v>
      </c>
      <c r="E464" s="3">
        <v>1137.0999999999999</v>
      </c>
      <c r="F464" s="3">
        <v>1145.8</v>
      </c>
      <c r="G464" s="3">
        <v>1145</v>
      </c>
      <c r="H464" s="3">
        <v>1143.2</v>
      </c>
      <c r="I464" s="3">
        <v>1145.7</v>
      </c>
      <c r="J464" s="3">
        <v>1780.1</v>
      </c>
      <c r="K464" s="3">
        <v>1137.0999999999999</v>
      </c>
      <c r="L464" s="4">
        <v>2635034</v>
      </c>
      <c r="M464" s="3">
        <v>3018964420.8000002</v>
      </c>
      <c r="N464" s="4">
        <v>82384</v>
      </c>
      <c r="O464">
        <f t="shared" si="7"/>
        <v>-2.2691569209285297E-3</v>
      </c>
    </row>
    <row r="465" spans="1:15" ht="14.25" customHeight="1" x14ac:dyDescent="0.3">
      <c r="A465" s="2">
        <v>46156</v>
      </c>
      <c r="B465" t="s">
        <v>15</v>
      </c>
      <c r="C465" s="3">
        <v>1139</v>
      </c>
      <c r="D465" s="3">
        <v>1143.2</v>
      </c>
      <c r="E465" s="3">
        <v>1103.4000000000001</v>
      </c>
      <c r="F465" s="3">
        <v>1143.2</v>
      </c>
      <c r="G465" s="3">
        <v>1123.9000000000001</v>
      </c>
      <c r="H465" s="3">
        <v>1124</v>
      </c>
      <c r="I465" s="3">
        <v>1119.5999999999999</v>
      </c>
      <c r="J465" s="3">
        <v>1780.1</v>
      </c>
      <c r="K465" s="3">
        <v>1103.4000000000001</v>
      </c>
      <c r="L465" s="4">
        <v>5837032</v>
      </c>
      <c r="M465" s="3">
        <v>6535136410</v>
      </c>
      <c r="N465" s="4">
        <v>150084</v>
      </c>
      <c r="O465">
        <f t="shared" si="7"/>
        <v>-1.6794961511546577E-2</v>
      </c>
    </row>
    <row r="466" spans="1:15" ht="14.25" customHeight="1" x14ac:dyDescent="0.3">
      <c r="A466" s="2">
        <v>46157</v>
      </c>
      <c r="B466" t="s">
        <v>15</v>
      </c>
      <c r="C466" s="3">
        <v>1121.9000000000001</v>
      </c>
      <c r="D466" s="3">
        <v>1152</v>
      </c>
      <c r="E466" s="3">
        <v>1121.8</v>
      </c>
      <c r="F466" s="3">
        <v>1124</v>
      </c>
      <c r="G466" s="3">
        <v>1131</v>
      </c>
      <c r="H466" s="3">
        <v>1132.5999999999999</v>
      </c>
      <c r="I466" s="3">
        <v>1136.8</v>
      </c>
      <c r="J466" s="3">
        <v>1780.1</v>
      </c>
      <c r="K466" s="3">
        <v>1103.4000000000001</v>
      </c>
      <c r="L466" s="4">
        <v>3729249</v>
      </c>
      <c r="M466" s="3">
        <v>4239413697.9000001</v>
      </c>
      <c r="N466" s="4">
        <v>70408</v>
      </c>
      <c r="O466">
        <f t="shared" si="7"/>
        <v>7.6512455516013428E-3</v>
      </c>
    </row>
    <row r="467" spans="1:15" ht="14.25" customHeight="1" x14ac:dyDescent="0.3">
      <c r="A467" s="2">
        <v>46160</v>
      </c>
      <c r="B467" t="s">
        <v>15</v>
      </c>
      <c r="C467" s="3">
        <v>1129</v>
      </c>
      <c r="D467" s="3">
        <v>1149.5</v>
      </c>
      <c r="E467" s="3">
        <v>1121.4000000000001</v>
      </c>
      <c r="F467" s="3">
        <v>1132.5999999999999</v>
      </c>
      <c r="G467" s="3">
        <v>1146.5</v>
      </c>
      <c r="H467" s="3">
        <v>1146.5999999999999</v>
      </c>
      <c r="I467" s="3">
        <v>1138.54</v>
      </c>
      <c r="J467" s="3">
        <v>1780.1</v>
      </c>
      <c r="K467" s="3">
        <v>1103.4000000000001</v>
      </c>
      <c r="L467" s="4">
        <v>2588569</v>
      </c>
      <c r="M467" s="3">
        <v>2947180022</v>
      </c>
      <c r="N467" s="4">
        <v>98631</v>
      </c>
      <c r="O467">
        <f t="shared" si="7"/>
        <v>1.2360939431396788E-2</v>
      </c>
    </row>
    <row r="468" spans="1:15" ht="14.25" customHeight="1" x14ac:dyDescent="0.3">
      <c r="A468" s="2">
        <v>46161</v>
      </c>
      <c r="B468" t="s">
        <v>15</v>
      </c>
      <c r="C468" s="3">
        <v>1156</v>
      </c>
      <c r="D468" s="3">
        <v>1198.3</v>
      </c>
      <c r="E468" s="3">
        <v>1152.3</v>
      </c>
      <c r="F468" s="3">
        <v>1146.5999999999999</v>
      </c>
      <c r="G468" s="3">
        <v>1180</v>
      </c>
      <c r="H468" s="3">
        <v>1179.4000000000001</v>
      </c>
      <c r="I468" s="3">
        <v>1180.95</v>
      </c>
      <c r="J468" s="3">
        <v>1780.1</v>
      </c>
      <c r="K468" s="3">
        <v>1103.4000000000001</v>
      </c>
      <c r="L468" s="4">
        <v>5756760</v>
      </c>
      <c r="M468" s="3">
        <v>6798455091.5</v>
      </c>
      <c r="N468" s="4">
        <v>168240</v>
      </c>
      <c r="O468">
        <f t="shared" si="7"/>
        <v>2.8606314320600196E-2</v>
      </c>
    </row>
    <row r="469" spans="1:15" ht="14.25" customHeight="1" x14ac:dyDescent="0.3">
      <c r="A469" s="2">
        <v>46162</v>
      </c>
      <c r="B469" t="s">
        <v>15</v>
      </c>
      <c r="C469" s="3">
        <v>1166.2</v>
      </c>
      <c r="D469" s="3">
        <v>1181</v>
      </c>
      <c r="E469" s="3">
        <v>1162.4000000000001</v>
      </c>
      <c r="F469" s="3">
        <v>1179.4000000000001</v>
      </c>
      <c r="G469" s="3">
        <v>1172.2</v>
      </c>
      <c r="H469" s="3">
        <v>1169.8</v>
      </c>
      <c r="I469" s="3">
        <v>1172.82</v>
      </c>
      <c r="J469" s="3">
        <v>1780.1</v>
      </c>
      <c r="K469" s="3">
        <v>1103.4000000000001</v>
      </c>
      <c r="L469" s="4">
        <v>1415960</v>
      </c>
      <c r="M469" s="3">
        <v>1660660137.0999999</v>
      </c>
      <c r="N469" s="4">
        <v>47007</v>
      </c>
      <c r="O469">
        <f t="shared" si="7"/>
        <v>-8.139732067152905E-3</v>
      </c>
    </row>
    <row r="470" spans="1:15" ht="14.25" customHeight="1" x14ac:dyDescent="0.3">
      <c r="A470" s="2">
        <v>46163</v>
      </c>
      <c r="B470" t="s">
        <v>15</v>
      </c>
      <c r="C470" s="3">
        <v>1173.7</v>
      </c>
      <c r="D470" s="3">
        <v>1180.5999999999999</v>
      </c>
      <c r="E470" s="3">
        <v>1163.2</v>
      </c>
      <c r="F470" s="3">
        <v>1169.8</v>
      </c>
      <c r="G470" s="3">
        <v>1168</v>
      </c>
      <c r="H470" s="3">
        <v>1168.2</v>
      </c>
      <c r="I470" s="3">
        <v>1170.33</v>
      </c>
      <c r="J470" s="3">
        <v>1780.1</v>
      </c>
      <c r="K470" s="3">
        <v>1103.4000000000001</v>
      </c>
      <c r="L470" s="4">
        <v>2245247</v>
      </c>
      <c r="M470" s="3">
        <v>2627671522.0999999</v>
      </c>
      <c r="N470" s="4">
        <v>73843</v>
      </c>
      <c r="O470">
        <f t="shared" si="7"/>
        <v>-1.3677551718241658E-3</v>
      </c>
    </row>
    <row r="471" spans="1:15" ht="14.25" customHeight="1" x14ac:dyDescent="0.3">
      <c r="A471" s="2">
        <v>46164</v>
      </c>
      <c r="B471" t="s">
        <v>15</v>
      </c>
      <c r="C471" s="3">
        <v>1169.9000000000001</v>
      </c>
      <c r="D471" s="3">
        <v>1176</v>
      </c>
      <c r="E471" s="3">
        <v>1159.9000000000001</v>
      </c>
      <c r="F471" s="3">
        <v>1168.2</v>
      </c>
      <c r="G471" s="3">
        <v>1167</v>
      </c>
      <c r="H471" s="3">
        <v>1164</v>
      </c>
      <c r="I471" s="3">
        <v>1165.48</v>
      </c>
      <c r="J471" s="3">
        <v>1780.1</v>
      </c>
      <c r="K471" s="3">
        <v>1103.4000000000001</v>
      </c>
      <c r="L471" s="4">
        <v>2044782</v>
      </c>
      <c r="M471" s="3">
        <v>2383156741.1999998</v>
      </c>
      <c r="N471" s="4">
        <v>66675</v>
      </c>
      <c r="O471">
        <f t="shared" si="7"/>
        <v>-3.5952747817154986E-3</v>
      </c>
    </row>
    <row r="472" spans="1:15" ht="14.25" customHeight="1" x14ac:dyDescent="0.3">
      <c r="A472" s="2">
        <v>46167</v>
      </c>
      <c r="B472" t="s">
        <v>15</v>
      </c>
      <c r="C472" s="3">
        <v>1168</v>
      </c>
      <c r="D472" s="3">
        <v>1178</v>
      </c>
      <c r="E472" s="3">
        <v>1162.0999999999999</v>
      </c>
      <c r="F472" s="3">
        <v>1164</v>
      </c>
      <c r="G472" s="3">
        <v>1167.0999999999999</v>
      </c>
      <c r="H472" s="3">
        <v>1165.7</v>
      </c>
      <c r="I472" s="3">
        <v>1168.76</v>
      </c>
      <c r="J472" s="3">
        <v>1780.1</v>
      </c>
      <c r="K472" s="3">
        <v>1103.4000000000001</v>
      </c>
      <c r="L472" s="4">
        <v>1419803</v>
      </c>
      <c r="M472" s="3">
        <v>1659412913</v>
      </c>
      <c r="N472" s="4">
        <v>48459</v>
      </c>
      <c r="O472">
        <f t="shared" si="7"/>
        <v>1.4604810996563964E-3</v>
      </c>
    </row>
    <row r="473" spans="1:15" ht="14.25" customHeight="1" x14ac:dyDescent="0.3">
      <c r="A473" s="2">
        <v>46168</v>
      </c>
      <c r="B473" t="s">
        <v>15</v>
      </c>
      <c r="C473" s="3">
        <v>1165.7</v>
      </c>
      <c r="D473" s="3">
        <v>1173.7</v>
      </c>
      <c r="E473" s="3">
        <v>1160</v>
      </c>
      <c r="F473" s="3">
        <v>1165.7</v>
      </c>
      <c r="G473" s="3">
        <v>1162.9000000000001</v>
      </c>
      <c r="H473" s="3">
        <v>1161.9000000000001</v>
      </c>
      <c r="I473" s="3">
        <v>1165.98</v>
      </c>
      <c r="J473" s="3">
        <v>1780.1</v>
      </c>
      <c r="K473" s="3">
        <v>1103.4000000000001</v>
      </c>
      <c r="L473" s="4">
        <v>1196820</v>
      </c>
      <c r="M473" s="3">
        <v>1395469868.5</v>
      </c>
      <c r="N473" s="4">
        <v>51436</v>
      </c>
      <c r="O473">
        <f t="shared" si="7"/>
        <v>-3.2598438706356305E-3</v>
      </c>
    </row>
    <row r="474" spans="1:15" ht="14.25" customHeight="1" x14ac:dyDescent="0.3">
      <c r="A474" s="2">
        <v>46169</v>
      </c>
      <c r="B474" t="s">
        <v>15</v>
      </c>
      <c r="C474" s="3">
        <v>1155.3</v>
      </c>
      <c r="D474" s="3">
        <v>1169.8</v>
      </c>
      <c r="E474" s="3">
        <v>1153.7</v>
      </c>
      <c r="F474" s="3">
        <v>1161.9000000000001</v>
      </c>
      <c r="G474" s="3">
        <v>1166.9000000000001</v>
      </c>
      <c r="H474" s="3">
        <v>1165.2</v>
      </c>
      <c r="I474" s="3">
        <v>1162.9100000000001</v>
      </c>
      <c r="J474" s="3">
        <v>1780.1</v>
      </c>
      <c r="K474" s="3">
        <v>1103.4000000000001</v>
      </c>
      <c r="L474" s="4">
        <v>1004168</v>
      </c>
      <c r="M474" s="3">
        <v>1167755084.9000001</v>
      </c>
      <c r="N474" s="4">
        <v>55376</v>
      </c>
      <c r="O474">
        <f t="shared" si="7"/>
        <v>2.8401755744900201E-3</v>
      </c>
    </row>
    <row r="475" spans="1:15" ht="14.25" customHeight="1" x14ac:dyDescent="0.3">
      <c r="A475" s="2">
        <v>46171</v>
      </c>
      <c r="B475" t="s">
        <v>15</v>
      </c>
      <c r="C475" s="3">
        <v>1180</v>
      </c>
      <c r="D475" s="3">
        <v>1191.7</v>
      </c>
      <c r="E475" s="3">
        <v>1177</v>
      </c>
      <c r="F475" s="3">
        <v>1165.2</v>
      </c>
      <c r="G475" s="3">
        <v>1182</v>
      </c>
      <c r="H475" s="3">
        <v>1183.8</v>
      </c>
      <c r="I475" s="3">
        <v>1184.28</v>
      </c>
      <c r="J475" s="3">
        <v>1780.1</v>
      </c>
      <c r="K475" s="3">
        <v>1103.4000000000001</v>
      </c>
      <c r="L475" s="4">
        <v>12446602</v>
      </c>
      <c r="M475" s="3">
        <v>14740211031.4</v>
      </c>
      <c r="N475" s="4">
        <v>119951</v>
      </c>
      <c r="O475">
        <f t="shared" si="7"/>
        <v>1.596292481977335E-2</v>
      </c>
    </row>
    <row r="476" spans="1:15" ht="14.25" customHeight="1" x14ac:dyDescent="0.3">
      <c r="A476" s="2">
        <v>46174</v>
      </c>
      <c r="B476" t="s">
        <v>15</v>
      </c>
      <c r="C476" s="3">
        <v>1190.0999999999999</v>
      </c>
      <c r="D476" s="3">
        <v>1212.8</v>
      </c>
      <c r="E476" s="3">
        <v>1190.0999999999999</v>
      </c>
      <c r="F476" s="3">
        <v>1183.8</v>
      </c>
      <c r="G476" s="3">
        <v>1194.0999999999999</v>
      </c>
      <c r="H476" s="3">
        <v>1195.0999999999999</v>
      </c>
      <c r="I476" s="3">
        <v>1200.49</v>
      </c>
      <c r="J476" s="3">
        <v>1780.1</v>
      </c>
      <c r="K476" s="3">
        <v>1103.4000000000001</v>
      </c>
      <c r="L476" s="4">
        <v>5970435</v>
      </c>
      <c r="M476" s="3">
        <v>7167447152.8000002</v>
      </c>
      <c r="N476" s="4">
        <v>103382</v>
      </c>
      <c r="O476">
        <f t="shared" si="7"/>
        <v>9.5455313397532979E-3</v>
      </c>
    </row>
    <row r="477" spans="1:15" ht="14.25" customHeight="1" x14ac:dyDescent="0.3">
      <c r="A477" s="2">
        <v>46175</v>
      </c>
      <c r="B477" t="s">
        <v>15</v>
      </c>
      <c r="C477" s="3">
        <v>1210</v>
      </c>
      <c r="D477" s="3">
        <v>1257</v>
      </c>
      <c r="E477" s="3">
        <v>1202.2</v>
      </c>
      <c r="F477" s="3">
        <v>1195.0999999999999</v>
      </c>
      <c r="G477" s="3">
        <v>1244.9000000000001</v>
      </c>
      <c r="H477" s="3">
        <v>1243.5</v>
      </c>
      <c r="I477" s="3">
        <v>1236.8</v>
      </c>
      <c r="J477" s="3">
        <v>1780.1</v>
      </c>
      <c r="K477" s="3">
        <v>1103.4000000000001</v>
      </c>
      <c r="L477" s="4">
        <v>7663067</v>
      </c>
      <c r="M477" s="3">
        <v>9477682591.6000004</v>
      </c>
      <c r="N477" s="4">
        <v>330959</v>
      </c>
      <c r="O477">
        <f t="shared" si="7"/>
        <v>4.0498703037402807E-2</v>
      </c>
    </row>
    <row r="478" spans="1:15" ht="14.25" customHeight="1" x14ac:dyDescent="0.3">
      <c r="A478" s="2">
        <v>46176</v>
      </c>
      <c r="B478" t="s">
        <v>15</v>
      </c>
      <c r="C478" s="3">
        <v>1228.8</v>
      </c>
      <c r="D478" s="3">
        <v>1230</v>
      </c>
      <c r="E478" s="3">
        <v>1176.8</v>
      </c>
      <c r="F478" s="3">
        <v>1243.5</v>
      </c>
      <c r="G478" s="3">
        <v>1177.5</v>
      </c>
      <c r="H478" s="3">
        <v>1179</v>
      </c>
      <c r="I478" s="3">
        <v>1193.69</v>
      </c>
      <c r="J478" s="3">
        <v>1780.1</v>
      </c>
      <c r="K478" s="3">
        <v>1103.4000000000001</v>
      </c>
      <c r="L478" s="4">
        <v>4800922</v>
      </c>
      <c r="M478" s="3">
        <v>5730809610.8999996</v>
      </c>
      <c r="N478" s="4">
        <v>159882</v>
      </c>
      <c r="O478">
        <f t="shared" si="7"/>
        <v>-5.1869722557297951E-2</v>
      </c>
    </row>
    <row r="479" spans="1:15" ht="14.25" customHeight="1" x14ac:dyDescent="0.3">
      <c r="A479" s="2">
        <v>46177</v>
      </c>
      <c r="B479" t="s">
        <v>15</v>
      </c>
      <c r="C479" s="3">
        <v>1166.4000000000001</v>
      </c>
      <c r="D479" s="3">
        <v>1176.5</v>
      </c>
      <c r="E479" s="3">
        <v>1158.2</v>
      </c>
      <c r="F479" s="3">
        <v>1179</v>
      </c>
      <c r="G479" s="3">
        <v>1173.5999999999999</v>
      </c>
      <c r="H479" s="3">
        <v>1168.3</v>
      </c>
      <c r="I479" s="3">
        <v>1168.81</v>
      </c>
      <c r="J479" s="3">
        <v>1780.1</v>
      </c>
      <c r="K479" s="3">
        <v>1103.4000000000001</v>
      </c>
      <c r="L479" s="4">
        <v>2025595</v>
      </c>
      <c r="M479" s="3">
        <v>2367543305.5</v>
      </c>
      <c r="N479" s="4">
        <v>76509</v>
      </c>
      <c r="O479">
        <f t="shared" si="7"/>
        <v>-9.0754877014419377E-3</v>
      </c>
    </row>
    <row r="480" spans="1:15" ht="14.25" customHeight="1" x14ac:dyDescent="0.3">
      <c r="A480" s="2">
        <v>46178</v>
      </c>
      <c r="B480" t="s">
        <v>15</v>
      </c>
      <c r="C480" s="3">
        <v>1179</v>
      </c>
      <c r="D480" s="3">
        <v>1182.5</v>
      </c>
      <c r="E480" s="3">
        <v>1147</v>
      </c>
      <c r="F480" s="3">
        <v>1168.3</v>
      </c>
      <c r="G480" s="3">
        <v>1155.0999999999999</v>
      </c>
      <c r="H480" s="3">
        <v>1154.7</v>
      </c>
      <c r="I480" s="3">
        <v>1156.81</v>
      </c>
      <c r="J480" s="3">
        <v>1780.1</v>
      </c>
      <c r="K480" s="3">
        <v>1103.4000000000001</v>
      </c>
      <c r="L480" s="4">
        <v>1971395</v>
      </c>
      <c r="M480" s="3">
        <v>2280522182</v>
      </c>
      <c r="N480" s="4">
        <v>64251</v>
      </c>
      <c r="O480">
        <f t="shared" si="7"/>
        <v>-1.16408456732003E-2</v>
      </c>
    </row>
    <row r="481" spans="1:15" ht="14.25" customHeight="1" x14ac:dyDescent="0.3">
      <c r="A481" s="2">
        <v>46181</v>
      </c>
      <c r="B481" t="s">
        <v>15</v>
      </c>
      <c r="C481" s="3">
        <v>1141.9000000000001</v>
      </c>
      <c r="D481" s="3">
        <v>1159</v>
      </c>
      <c r="E481" s="3">
        <v>1132.3</v>
      </c>
      <c r="F481" s="3">
        <v>1154.7</v>
      </c>
      <c r="G481" s="3">
        <v>1151.8</v>
      </c>
      <c r="H481" s="3">
        <v>1151.3</v>
      </c>
      <c r="I481" s="3">
        <v>1149.6400000000001</v>
      </c>
      <c r="J481" s="3">
        <v>1780.1</v>
      </c>
      <c r="K481" s="3">
        <v>1103.4000000000001</v>
      </c>
      <c r="L481" s="4">
        <v>1546444</v>
      </c>
      <c r="M481" s="3">
        <v>1777849556.5999999</v>
      </c>
      <c r="N481" s="4">
        <v>60890</v>
      </c>
      <c r="O481">
        <f t="shared" si="7"/>
        <v>-2.9444877457349018E-3</v>
      </c>
    </row>
    <row r="482" spans="1:15" ht="14.25" customHeight="1" x14ac:dyDescent="0.3">
      <c r="A482" s="2">
        <v>46182</v>
      </c>
      <c r="B482" t="s">
        <v>15</v>
      </c>
      <c r="C482" s="3">
        <v>1158.7</v>
      </c>
      <c r="D482" s="3">
        <v>1159</v>
      </c>
      <c r="E482" s="3">
        <v>1136.4000000000001</v>
      </c>
      <c r="F482" s="3">
        <v>1151.3</v>
      </c>
      <c r="G482" s="3">
        <v>1148.3</v>
      </c>
      <c r="H482" s="3">
        <v>1146.3</v>
      </c>
      <c r="I482" s="3">
        <v>1143.49</v>
      </c>
      <c r="J482" s="3">
        <v>1780.1</v>
      </c>
      <c r="K482" s="3">
        <v>1103.4000000000001</v>
      </c>
      <c r="L482" s="4">
        <v>2225582</v>
      </c>
      <c r="M482" s="3">
        <v>2544932274.5</v>
      </c>
      <c r="N482" s="4">
        <v>83896</v>
      </c>
      <c r="O482">
        <f t="shared" si="7"/>
        <v>-4.3429167028576398E-3</v>
      </c>
    </row>
    <row r="483" spans="1:15" ht="14.25" customHeight="1" x14ac:dyDescent="0.3">
      <c r="A483" s="2">
        <v>46183</v>
      </c>
      <c r="B483" t="s">
        <v>15</v>
      </c>
      <c r="C483" s="3">
        <v>1140.8</v>
      </c>
      <c r="D483" s="3">
        <v>1152</v>
      </c>
      <c r="E483" s="3">
        <v>1130</v>
      </c>
      <c r="F483" s="3">
        <v>1146.3</v>
      </c>
      <c r="G483" s="3">
        <v>1130.9000000000001</v>
      </c>
      <c r="H483" s="3">
        <v>1132.0999999999999</v>
      </c>
      <c r="I483" s="3">
        <v>1141.6199999999999</v>
      </c>
      <c r="J483" s="3">
        <v>1780.1</v>
      </c>
      <c r="K483" s="3">
        <v>1103.4000000000001</v>
      </c>
      <c r="L483" s="4">
        <v>1600595</v>
      </c>
      <c r="M483" s="3">
        <v>1827278265.9000001</v>
      </c>
      <c r="N483" s="4">
        <v>59740</v>
      </c>
      <c r="O483">
        <f t="shared" si="7"/>
        <v>-1.2387682107650743E-2</v>
      </c>
    </row>
    <row r="484" spans="1:15" ht="14.25" customHeight="1" x14ac:dyDescent="0.3">
      <c r="A484" s="2">
        <v>46184</v>
      </c>
      <c r="B484" t="s">
        <v>15</v>
      </c>
      <c r="C484" s="3">
        <v>1112.9000000000001</v>
      </c>
      <c r="D484" s="3">
        <v>1114</v>
      </c>
      <c r="E484" s="3">
        <v>1089.5</v>
      </c>
      <c r="F484" s="3">
        <v>1132.0999999999999</v>
      </c>
      <c r="G484" s="3">
        <v>1113.9000000000001</v>
      </c>
      <c r="H484" s="3">
        <v>1110.2</v>
      </c>
      <c r="I484" s="3">
        <v>1104.07</v>
      </c>
      <c r="J484" s="3">
        <v>1780.1</v>
      </c>
      <c r="K484" s="3">
        <v>1089.5</v>
      </c>
      <c r="L484" s="4">
        <v>3435236</v>
      </c>
      <c r="M484" s="3">
        <v>3792735148.1999998</v>
      </c>
      <c r="N484" s="4">
        <v>117700</v>
      </c>
      <c r="O484">
        <f t="shared" si="7"/>
        <v>-1.9344580867414422E-2</v>
      </c>
    </row>
    <row r="485" spans="1:15" ht="14.25" customHeight="1" x14ac:dyDescent="0.3">
      <c r="A485" s="2">
        <v>46185</v>
      </c>
      <c r="B485" t="s">
        <v>15</v>
      </c>
      <c r="C485" s="3">
        <v>1120</v>
      </c>
      <c r="D485" s="3">
        <v>1122.5</v>
      </c>
      <c r="E485" s="3">
        <v>1100.5</v>
      </c>
      <c r="F485" s="3">
        <v>1110.2</v>
      </c>
      <c r="G485" s="3">
        <v>1110</v>
      </c>
      <c r="H485" s="3">
        <v>1109.5999999999999</v>
      </c>
      <c r="I485" s="3">
        <v>1107.93</v>
      </c>
      <c r="J485" s="3">
        <v>1780.1</v>
      </c>
      <c r="K485" s="3">
        <v>1089.5</v>
      </c>
      <c r="L485" s="4">
        <v>2203987</v>
      </c>
      <c r="M485" s="3">
        <v>2441863261.6999998</v>
      </c>
      <c r="N485" s="4">
        <v>68191</v>
      </c>
      <c r="O485">
        <f t="shared" si="7"/>
        <v>-5.4044316339410591E-4</v>
      </c>
    </row>
    <row r="486" spans="1:15" ht="14.25" customHeight="1" x14ac:dyDescent="0.3">
      <c r="A486" s="2">
        <v>46188</v>
      </c>
      <c r="B486" t="s">
        <v>15</v>
      </c>
      <c r="C486" s="3">
        <v>1123.5</v>
      </c>
      <c r="D486" s="3">
        <v>1128</v>
      </c>
      <c r="E486" s="3">
        <v>1113</v>
      </c>
      <c r="F486" s="3">
        <v>1109.5999999999999</v>
      </c>
      <c r="G486" s="3">
        <v>1122.3</v>
      </c>
      <c r="H486" s="3">
        <v>1119.3</v>
      </c>
      <c r="I486" s="3">
        <v>1120.27</v>
      </c>
      <c r="J486" s="3">
        <v>1780.1</v>
      </c>
      <c r="K486" s="3">
        <v>1089.5</v>
      </c>
      <c r="L486" s="4">
        <v>2361006</v>
      </c>
      <c r="M486" s="3">
        <v>2644959403.1999998</v>
      </c>
      <c r="N486" s="4">
        <v>64008</v>
      </c>
      <c r="O486">
        <f t="shared" si="7"/>
        <v>8.7418889689978782E-3</v>
      </c>
    </row>
    <row r="487" spans="1:15" ht="14.25" customHeight="1" x14ac:dyDescent="0.3">
      <c r="A487" s="2">
        <v>46189</v>
      </c>
      <c r="B487" t="s">
        <v>15</v>
      </c>
      <c r="C487" s="3">
        <v>1141</v>
      </c>
      <c r="D487" s="3">
        <v>1161.9000000000001</v>
      </c>
      <c r="E487" s="3">
        <v>1137.5</v>
      </c>
      <c r="F487" s="3">
        <v>1119.3</v>
      </c>
      <c r="G487" s="3">
        <v>1160.5</v>
      </c>
      <c r="H487" s="3">
        <v>1159</v>
      </c>
      <c r="I487" s="3">
        <v>1150.83</v>
      </c>
      <c r="J487" s="3">
        <v>1780.1</v>
      </c>
      <c r="K487" s="3">
        <v>1089.5</v>
      </c>
      <c r="L487" s="4">
        <v>8343470</v>
      </c>
      <c r="M487" s="3">
        <v>9601935139.2000008</v>
      </c>
      <c r="N487" s="4">
        <v>178723</v>
      </c>
      <c r="O487">
        <f t="shared" si="7"/>
        <v>3.5468596444206239E-2</v>
      </c>
    </row>
    <row r="488" spans="1:15" ht="14.25" customHeight="1" x14ac:dyDescent="0.3">
      <c r="A488" s="2">
        <v>46190</v>
      </c>
      <c r="B488" t="s">
        <v>15</v>
      </c>
      <c r="C488" s="3">
        <v>1169</v>
      </c>
      <c r="D488" s="3">
        <v>1173.5999999999999</v>
      </c>
      <c r="E488" s="3">
        <v>1159.3</v>
      </c>
      <c r="F488" s="3">
        <v>1159</v>
      </c>
      <c r="G488" s="3">
        <v>1165</v>
      </c>
      <c r="H488" s="3">
        <v>1166.8</v>
      </c>
      <c r="I488" s="3">
        <v>1165.82</v>
      </c>
      <c r="J488" s="3">
        <v>1780.1</v>
      </c>
      <c r="K488" s="3">
        <v>1089.5</v>
      </c>
      <c r="L488" s="4">
        <v>2263670</v>
      </c>
      <c r="M488" s="3">
        <v>2639039473.5999999</v>
      </c>
      <c r="N488" s="4">
        <v>69724</v>
      </c>
      <c r="O488">
        <f t="shared" si="7"/>
        <v>6.7299396031060867E-3</v>
      </c>
    </row>
    <row r="489" spans="1:15" ht="14.25" customHeight="1" x14ac:dyDescent="0.3">
      <c r="A489" s="2">
        <v>46191</v>
      </c>
      <c r="B489" t="s">
        <v>15</v>
      </c>
      <c r="C489" s="3">
        <v>1152</v>
      </c>
      <c r="D489" s="3">
        <v>1168.8</v>
      </c>
      <c r="E489" s="3">
        <v>1136.0999999999999</v>
      </c>
      <c r="F489" s="3">
        <v>1166.8</v>
      </c>
      <c r="G489" s="3">
        <v>1159.5999999999999</v>
      </c>
      <c r="H489" s="3">
        <v>1161.8</v>
      </c>
      <c r="I489" s="3">
        <v>1158.45</v>
      </c>
      <c r="J489" s="3">
        <v>1780.1</v>
      </c>
      <c r="K489" s="3">
        <v>1089.5</v>
      </c>
      <c r="L489" s="4">
        <v>3368037</v>
      </c>
      <c r="M489" s="3">
        <v>3901708815.9000001</v>
      </c>
      <c r="N489" s="4">
        <v>94065</v>
      </c>
      <c r="O489">
        <f t="shared" si="7"/>
        <v>-4.2852245457661985E-3</v>
      </c>
    </row>
    <row r="490" spans="1:15" ht="14.25" customHeight="1" x14ac:dyDescent="0.3">
      <c r="A490" s="2">
        <v>46192</v>
      </c>
      <c r="B490" t="s">
        <v>15</v>
      </c>
      <c r="C490" s="3">
        <v>1110</v>
      </c>
      <c r="D490" s="3">
        <v>1136</v>
      </c>
      <c r="E490" s="3">
        <v>1091.4000000000001</v>
      </c>
      <c r="F490" s="3">
        <v>1161.8</v>
      </c>
      <c r="G490" s="3">
        <v>1135.9000000000001</v>
      </c>
      <c r="H490" s="3">
        <v>1131.7</v>
      </c>
      <c r="I490" s="3">
        <v>1118.44</v>
      </c>
      <c r="J490" s="3">
        <v>1780.1</v>
      </c>
      <c r="K490" s="3">
        <v>1089.5</v>
      </c>
      <c r="L490" s="4">
        <v>10014063</v>
      </c>
      <c r="M490" s="3">
        <v>11200126630.799999</v>
      </c>
      <c r="N490" s="4">
        <v>191632</v>
      </c>
      <c r="O490">
        <f t="shared" si="7"/>
        <v>-2.5908073678774238E-2</v>
      </c>
    </row>
    <row r="491" spans="1:15" ht="14.25" customHeight="1" x14ac:dyDescent="0.3">
      <c r="A491" s="2">
        <v>46195</v>
      </c>
      <c r="B491" t="s">
        <v>15</v>
      </c>
      <c r="C491" s="3">
        <v>1136</v>
      </c>
      <c r="D491" s="3">
        <v>1148.7</v>
      </c>
      <c r="E491" s="3">
        <v>1127</v>
      </c>
      <c r="F491" s="3">
        <v>1131.7</v>
      </c>
      <c r="G491" s="3">
        <v>1128.7</v>
      </c>
      <c r="H491" s="3">
        <v>1130.5</v>
      </c>
      <c r="I491" s="3">
        <v>1137.6099999999999</v>
      </c>
      <c r="J491" s="3">
        <v>1780.1</v>
      </c>
      <c r="K491" s="3">
        <v>1089.5</v>
      </c>
      <c r="L491" s="4">
        <v>2312385</v>
      </c>
      <c r="M491" s="3">
        <v>2630584436.9000001</v>
      </c>
      <c r="N491" s="4">
        <v>92284</v>
      </c>
      <c r="O491">
        <f t="shared" si="7"/>
        <v>-1.0603516833083374E-3</v>
      </c>
    </row>
    <row r="492" spans="1:15" ht="14.25" customHeight="1" x14ac:dyDescent="0.3">
      <c r="A492" s="2">
        <v>46196</v>
      </c>
      <c r="B492" t="s">
        <v>15</v>
      </c>
      <c r="C492" s="3">
        <v>1121.5999999999999</v>
      </c>
      <c r="D492" s="3">
        <v>1125.8</v>
      </c>
      <c r="E492" s="3">
        <v>1105.5</v>
      </c>
      <c r="F492" s="3">
        <v>1130.5</v>
      </c>
      <c r="G492" s="3">
        <v>1108</v>
      </c>
      <c r="H492" s="3">
        <v>1109.5</v>
      </c>
      <c r="I492" s="3">
        <v>1112.95</v>
      </c>
      <c r="J492" s="3">
        <v>1780.1</v>
      </c>
      <c r="K492" s="3">
        <v>1089.5</v>
      </c>
      <c r="L492" s="4">
        <v>3235632</v>
      </c>
      <c r="M492" s="3">
        <v>3601088271</v>
      </c>
      <c r="N492" s="4">
        <v>108311</v>
      </c>
      <c r="O492">
        <f t="shared" si="7"/>
        <v>-1.8575851393188854E-2</v>
      </c>
    </row>
    <row r="493" spans="1:15" ht="14.25" customHeight="1" x14ac:dyDescent="0.3">
      <c r="A493" s="2">
        <v>46197</v>
      </c>
      <c r="B493" t="s">
        <v>15</v>
      </c>
      <c r="C493" s="3">
        <v>1097.5999999999999</v>
      </c>
      <c r="D493" s="3">
        <v>1121.5</v>
      </c>
      <c r="E493" s="3">
        <v>1093.2</v>
      </c>
      <c r="F493" s="3">
        <v>1109.5</v>
      </c>
      <c r="G493" s="3">
        <v>1114</v>
      </c>
      <c r="H493" s="3">
        <v>1113.9000000000001</v>
      </c>
      <c r="I493" s="3">
        <v>1111.1600000000001</v>
      </c>
      <c r="J493" s="3">
        <v>1780.1</v>
      </c>
      <c r="K493" s="3">
        <v>1089.5</v>
      </c>
      <c r="L493" s="4">
        <v>3503015</v>
      </c>
      <c r="M493" s="3">
        <v>3892393853.5</v>
      </c>
      <c r="N493" s="4">
        <v>107061</v>
      </c>
      <c r="O493">
        <f t="shared" si="7"/>
        <v>3.9657503379901676E-3</v>
      </c>
    </row>
    <row r="494" spans="1:15" ht="14.25" customHeight="1" x14ac:dyDescent="0.3">
      <c r="A494" s="2">
        <v>46198</v>
      </c>
      <c r="B494" t="s">
        <v>15</v>
      </c>
      <c r="C494" s="3">
        <v>1133</v>
      </c>
      <c r="D494" s="3">
        <v>1133.5</v>
      </c>
      <c r="E494" s="3">
        <v>1097.5</v>
      </c>
      <c r="F494" s="3">
        <v>1113.9000000000001</v>
      </c>
      <c r="G494" s="3">
        <v>1100.5</v>
      </c>
      <c r="H494" s="3">
        <v>1100.7</v>
      </c>
      <c r="I494" s="3">
        <v>1112.79</v>
      </c>
      <c r="J494" s="3">
        <v>1780.1</v>
      </c>
      <c r="K494" s="3">
        <v>1089.5</v>
      </c>
      <c r="L494" s="4">
        <v>5877425</v>
      </c>
      <c r="M494" s="3">
        <v>6540337165.3000002</v>
      </c>
      <c r="N494" s="4">
        <v>180085</v>
      </c>
      <c r="O494">
        <f t="shared" si="7"/>
        <v>-1.1850255857796969E-2</v>
      </c>
    </row>
    <row r="495" spans="1:15" ht="14.25" customHeight="1" x14ac:dyDescent="0.3">
      <c r="A495" s="2">
        <v>46202</v>
      </c>
      <c r="B495" t="s">
        <v>15</v>
      </c>
      <c r="C495" s="3">
        <v>1095.5999999999999</v>
      </c>
      <c r="D495" s="3">
        <v>1108.3</v>
      </c>
      <c r="E495" s="3">
        <v>1086</v>
      </c>
      <c r="F495" s="3">
        <v>1100.7</v>
      </c>
      <c r="G495" s="3">
        <v>1103.5999999999999</v>
      </c>
      <c r="H495" s="3">
        <v>1102.4000000000001</v>
      </c>
      <c r="I495" s="3">
        <v>1097.93</v>
      </c>
      <c r="J495" s="3">
        <v>1780.1</v>
      </c>
      <c r="K495" s="3">
        <v>1086</v>
      </c>
      <c r="L495" s="4">
        <v>5186504</v>
      </c>
      <c r="M495" s="3">
        <v>5694393480.3000002</v>
      </c>
      <c r="N495" s="4">
        <v>148261</v>
      </c>
      <c r="O495">
        <f t="shared" si="7"/>
        <v>1.5444716998274238E-3</v>
      </c>
    </row>
    <row r="496" spans="1:15" ht="14.25" customHeight="1" x14ac:dyDescent="0.3">
      <c r="A496" s="2">
        <v>46203</v>
      </c>
      <c r="B496" t="s">
        <v>15</v>
      </c>
      <c r="C496" s="3">
        <v>1102.5</v>
      </c>
      <c r="D496" s="3">
        <v>1105.7</v>
      </c>
      <c r="E496" s="3">
        <v>1068.5999999999999</v>
      </c>
      <c r="F496" s="3">
        <v>1102.4000000000001</v>
      </c>
      <c r="G496" s="3">
        <v>1072</v>
      </c>
      <c r="H496" s="3">
        <v>1071.8</v>
      </c>
      <c r="I496" s="3">
        <v>1079.17</v>
      </c>
      <c r="J496" s="3">
        <v>1780.1</v>
      </c>
      <c r="K496" s="3">
        <v>1068.5999999999999</v>
      </c>
      <c r="L496" s="4">
        <v>3794233</v>
      </c>
      <c r="M496" s="3">
        <v>4094623302</v>
      </c>
      <c r="N496" s="4">
        <v>129291</v>
      </c>
      <c r="O496">
        <f t="shared" si="7"/>
        <v>-2.7757619738751935E-2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96"/>
  <sheetViews>
    <sheetView zoomScaleNormal="100" workbookViewId="0">
      <selection sqref="A1:XFD1"/>
    </sheetView>
  </sheetViews>
  <sheetFormatPr defaultColWidth="8.6640625" defaultRowHeight="14.4" x14ac:dyDescent="0.3"/>
  <cols>
    <col min="1" max="1" width="9.88671875" customWidth="1"/>
    <col min="2" max="2" width="6.44140625" customWidth="1"/>
    <col min="3" max="5" width="7" customWidth="1"/>
    <col min="6" max="6" width="11.44140625" customWidth="1"/>
    <col min="7" max="11" width="7" customWidth="1"/>
    <col min="12" max="12" width="11.33203125" customWidth="1"/>
    <col min="13" max="13" width="18" customWidth="1"/>
    <col min="14" max="14" width="14.21875" customWidth="1"/>
    <col min="15" max="15" width="12.6640625" bestFit="1" customWidth="1"/>
  </cols>
  <sheetData>
    <row r="1" spans="1:15" s="10" customFormat="1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 ht="14.25" customHeight="1" x14ac:dyDescent="0.3">
      <c r="A2" s="2">
        <v>45474</v>
      </c>
      <c r="B2" t="s">
        <v>15</v>
      </c>
      <c r="C2">
        <v>426.3</v>
      </c>
      <c r="D2">
        <v>430.25</v>
      </c>
      <c r="E2">
        <v>424.65</v>
      </c>
      <c r="F2">
        <v>424.9</v>
      </c>
      <c r="G2">
        <v>428.5</v>
      </c>
      <c r="H2">
        <v>429.05</v>
      </c>
      <c r="I2">
        <v>427.61</v>
      </c>
      <c r="J2">
        <v>499.7</v>
      </c>
      <c r="K2">
        <v>399.35</v>
      </c>
      <c r="L2" s="4">
        <v>12894747</v>
      </c>
      <c r="M2" s="3">
        <v>5513976701.3500004</v>
      </c>
      <c r="N2" s="4">
        <v>132870</v>
      </c>
    </row>
    <row r="3" spans="1:15" ht="14.25" customHeight="1" x14ac:dyDescent="0.3">
      <c r="A3" s="2">
        <v>45475</v>
      </c>
      <c r="B3" t="s">
        <v>15</v>
      </c>
      <c r="C3">
        <v>430</v>
      </c>
      <c r="D3">
        <v>430.65</v>
      </c>
      <c r="E3">
        <v>422.55</v>
      </c>
      <c r="F3">
        <v>429.05</v>
      </c>
      <c r="G3">
        <v>425.75</v>
      </c>
      <c r="H3">
        <v>425.5</v>
      </c>
      <c r="I3">
        <v>426.86</v>
      </c>
      <c r="J3">
        <v>499.7</v>
      </c>
      <c r="K3">
        <v>399.35</v>
      </c>
      <c r="L3" s="4">
        <v>10763335</v>
      </c>
      <c r="M3" s="3">
        <v>4594402665.6000004</v>
      </c>
      <c r="N3" s="4">
        <v>174096</v>
      </c>
      <c r="O3">
        <f t="shared" ref="O3:O66" si="0">(H3-H2)/H2</f>
        <v>-8.2740939284465936E-3</v>
      </c>
    </row>
    <row r="4" spans="1:15" ht="14.25" customHeight="1" x14ac:dyDescent="0.3">
      <c r="A4" s="2">
        <v>45476</v>
      </c>
      <c r="B4" t="s">
        <v>15</v>
      </c>
      <c r="C4">
        <v>426.1</v>
      </c>
      <c r="D4">
        <v>429.65</v>
      </c>
      <c r="E4">
        <v>425.5</v>
      </c>
      <c r="F4">
        <v>425.5</v>
      </c>
      <c r="G4">
        <v>428.5</v>
      </c>
      <c r="H4">
        <v>428.3</v>
      </c>
      <c r="I4">
        <v>427.88</v>
      </c>
      <c r="J4">
        <v>499.7</v>
      </c>
      <c r="K4">
        <v>399.35</v>
      </c>
      <c r="L4" s="4">
        <v>7159756</v>
      </c>
      <c r="M4" s="3">
        <v>3063503681.75</v>
      </c>
      <c r="N4" s="4">
        <v>116001</v>
      </c>
      <c r="O4">
        <f t="shared" si="0"/>
        <v>6.5804935370153026E-3</v>
      </c>
    </row>
    <row r="5" spans="1:15" ht="14.25" customHeight="1" x14ac:dyDescent="0.3">
      <c r="A5" s="2">
        <v>45477</v>
      </c>
      <c r="B5" t="s">
        <v>15</v>
      </c>
      <c r="C5">
        <v>430</v>
      </c>
      <c r="D5">
        <v>431.5</v>
      </c>
      <c r="E5">
        <v>427.05</v>
      </c>
      <c r="F5">
        <v>428.3</v>
      </c>
      <c r="G5">
        <v>429.25</v>
      </c>
      <c r="H5">
        <v>429.05</v>
      </c>
      <c r="I5">
        <v>429.39</v>
      </c>
      <c r="J5">
        <v>499.7</v>
      </c>
      <c r="K5">
        <v>399.35</v>
      </c>
      <c r="L5" s="4">
        <v>9127340</v>
      </c>
      <c r="M5" s="3">
        <v>3919190556.6500001</v>
      </c>
      <c r="N5" s="4">
        <v>125047</v>
      </c>
      <c r="O5">
        <f t="shared" si="0"/>
        <v>1.7511090357226243E-3</v>
      </c>
    </row>
    <row r="6" spans="1:15" ht="14.25" customHeight="1" x14ac:dyDescent="0.3">
      <c r="A6" s="2">
        <v>45478</v>
      </c>
      <c r="B6" t="s">
        <v>15</v>
      </c>
      <c r="C6">
        <v>429</v>
      </c>
      <c r="D6">
        <v>434</v>
      </c>
      <c r="E6">
        <v>427.6</v>
      </c>
      <c r="F6">
        <v>429.05</v>
      </c>
      <c r="G6">
        <v>433.5</v>
      </c>
      <c r="H6">
        <v>433.65</v>
      </c>
      <c r="I6">
        <v>431.98</v>
      </c>
      <c r="J6">
        <v>499.7</v>
      </c>
      <c r="K6">
        <v>399.35</v>
      </c>
      <c r="L6" s="4">
        <v>12929586</v>
      </c>
      <c r="M6" s="3">
        <v>5585359681.3999996</v>
      </c>
      <c r="N6" s="4">
        <v>151709</v>
      </c>
      <c r="O6">
        <f t="shared" si="0"/>
        <v>1.0721361146719417E-2</v>
      </c>
    </row>
    <row r="7" spans="1:15" ht="14.25" customHeight="1" x14ac:dyDescent="0.3">
      <c r="A7" s="2">
        <v>45481</v>
      </c>
      <c r="B7" t="s">
        <v>15</v>
      </c>
      <c r="C7">
        <v>435.15</v>
      </c>
      <c r="D7">
        <v>444.55</v>
      </c>
      <c r="E7">
        <v>433.65</v>
      </c>
      <c r="F7">
        <v>433.65</v>
      </c>
      <c r="G7">
        <v>443.8</v>
      </c>
      <c r="H7">
        <v>443.6</v>
      </c>
      <c r="I7">
        <v>439.76</v>
      </c>
      <c r="J7">
        <v>499.7</v>
      </c>
      <c r="K7">
        <v>399.35</v>
      </c>
      <c r="L7" s="4">
        <v>20521107</v>
      </c>
      <c r="M7" s="3">
        <v>9024461950.6499996</v>
      </c>
      <c r="N7" s="4">
        <v>194693</v>
      </c>
      <c r="O7">
        <f t="shared" si="0"/>
        <v>2.2944771128790606E-2</v>
      </c>
    </row>
    <row r="8" spans="1:15" ht="14.25" customHeight="1" x14ac:dyDescent="0.3">
      <c r="A8" s="2">
        <v>45482</v>
      </c>
      <c r="B8" t="s">
        <v>15</v>
      </c>
      <c r="C8">
        <v>447.6</v>
      </c>
      <c r="D8">
        <v>455</v>
      </c>
      <c r="E8">
        <v>444</v>
      </c>
      <c r="F8">
        <v>443.6</v>
      </c>
      <c r="G8">
        <v>451.5</v>
      </c>
      <c r="H8">
        <v>452.6</v>
      </c>
      <c r="I8">
        <v>450.54</v>
      </c>
      <c r="J8">
        <v>499.7</v>
      </c>
      <c r="K8">
        <v>399.35</v>
      </c>
      <c r="L8" s="4">
        <v>26470260</v>
      </c>
      <c r="M8" s="3">
        <v>11925976364.799999</v>
      </c>
      <c r="N8" s="4">
        <v>240760</v>
      </c>
      <c r="O8">
        <f t="shared" si="0"/>
        <v>2.0288548241659151E-2</v>
      </c>
    </row>
    <row r="9" spans="1:15" ht="14.25" customHeight="1" x14ac:dyDescent="0.3">
      <c r="A9" s="2">
        <v>45483</v>
      </c>
      <c r="B9" t="s">
        <v>15</v>
      </c>
      <c r="C9">
        <v>453.7</v>
      </c>
      <c r="D9">
        <v>455.35</v>
      </c>
      <c r="E9">
        <v>446.5</v>
      </c>
      <c r="F9">
        <v>452.6</v>
      </c>
      <c r="G9">
        <v>450.3</v>
      </c>
      <c r="H9">
        <v>451.45</v>
      </c>
      <c r="I9">
        <v>450.95</v>
      </c>
      <c r="J9">
        <v>499.7</v>
      </c>
      <c r="K9">
        <v>399.35</v>
      </c>
      <c r="L9" s="4">
        <v>11618210</v>
      </c>
      <c r="M9" s="3">
        <v>5239257713.5500002</v>
      </c>
      <c r="N9" s="4">
        <v>155469</v>
      </c>
      <c r="O9">
        <f t="shared" si="0"/>
        <v>-2.5408749447636634E-3</v>
      </c>
    </row>
    <row r="10" spans="1:15" ht="14.25" customHeight="1" x14ac:dyDescent="0.3">
      <c r="A10" s="2">
        <v>45484</v>
      </c>
      <c r="B10" t="s">
        <v>15</v>
      </c>
      <c r="C10">
        <v>450</v>
      </c>
      <c r="D10">
        <v>459.5</v>
      </c>
      <c r="E10">
        <v>448.7</v>
      </c>
      <c r="F10">
        <v>451.45</v>
      </c>
      <c r="G10">
        <v>458.6</v>
      </c>
      <c r="H10">
        <v>458.65</v>
      </c>
      <c r="I10">
        <v>456.02</v>
      </c>
      <c r="J10">
        <v>499.7</v>
      </c>
      <c r="K10">
        <v>399.35</v>
      </c>
      <c r="L10" s="4">
        <v>18831345</v>
      </c>
      <c r="M10" s="3">
        <v>8587437642.6999998</v>
      </c>
      <c r="N10" s="4">
        <v>283781</v>
      </c>
      <c r="O10">
        <f t="shared" si="0"/>
        <v>1.5948610034333788E-2</v>
      </c>
    </row>
    <row r="11" spans="1:15" ht="14.25" customHeight="1" x14ac:dyDescent="0.3">
      <c r="A11" s="2">
        <v>45485</v>
      </c>
      <c r="B11" t="s">
        <v>15</v>
      </c>
      <c r="C11">
        <v>458.65</v>
      </c>
      <c r="D11">
        <v>463.25</v>
      </c>
      <c r="E11">
        <v>455.85</v>
      </c>
      <c r="F11">
        <v>458.65</v>
      </c>
      <c r="G11">
        <v>459.05</v>
      </c>
      <c r="H11">
        <v>459.05</v>
      </c>
      <c r="I11">
        <v>458.95</v>
      </c>
      <c r="J11">
        <v>499.7</v>
      </c>
      <c r="K11">
        <v>399.35</v>
      </c>
      <c r="L11" s="4">
        <v>18962800</v>
      </c>
      <c r="M11" s="3">
        <v>8703017234.7000008</v>
      </c>
      <c r="N11" s="4">
        <v>215367</v>
      </c>
      <c r="O11">
        <f t="shared" si="0"/>
        <v>8.7212471383415265E-4</v>
      </c>
    </row>
    <row r="12" spans="1:15" ht="14.25" customHeight="1" x14ac:dyDescent="0.3">
      <c r="A12" s="2">
        <v>45488</v>
      </c>
      <c r="B12" t="s">
        <v>15</v>
      </c>
      <c r="C12">
        <v>459.05</v>
      </c>
      <c r="D12">
        <v>466.45</v>
      </c>
      <c r="E12">
        <v>457.2</v>
      </c>
      <c r="F12">
        <v>459.05</v>
      </c>
      <c r="G12">
        <v>462.05</v>
      </c>
      <c r="H12">
        <v>463.4</v>
      </c>
      <c r="I12">
        <v>462.88</v>
      </c>
      <c r="J12">
        <v>499.7</v>
      </c>
      <c r="K12">
        <v>399.35</v>
      </c>
      <c r="L12" s="4">
        <v>16251032</v>
      </c>
      <c r="M12" s="3">
        <v>7522328040.6000004</v>
      </c>
      <c r="N12" s="4">
        <v>154358</v>
      </c>
      <c r="O12">
        <f t="shared" si="0"/>
        <v>9.4760919289836962E-3</v>
      </c>
    </row>
    <row r="13" spans="1:15" ht="14.25" customHeight="1" x14ac:dyDescent="0.3">
      <c r="A13" s="2">
        <v>45489</v>
      </c>
      <c r="B13" t="s">
        <v>15</v>
      </c>
      <c r="C13">
        <v>463.45</v>
      </c>
      <c r="D13">
        <v>466.75</v>
      </c>
      <c r="E13">
        <v>461.4</v>
      </c>
      <c r="F13">
        <v>463.4</v>
      </c>
      <c r="G13">
        <v>465.7</v>
      </c>
      <c r="H13">
        <v>465.55</v>
      </c>
      <c r="I13">
        <v>464.53</v>
      </c>
      <c r="J13">
        <v>499.7</v>
      </c>
      <c r="K13">
        <v>399.35</v>
      </c>
      <c r="L13" s="4">
        <v>12996711</v>
      </c>
      <c r="M13" s="3">
        <v>6037370502.75</v>
      </c>
      <c r="N13" s="4">
        <v>137391</v>
      </c>
      <c r="O13">
        <f t="shared" si="0"/>
        <v>4.6396201985326587E-3</v>
      </c>
    </row>
    <row r="14" spans="1:15" ht="14.25" customHeight="1" x14ac:dyDescent="0.3">
      <c r="A14" s="2">
        <v>45491</v>
      </c>
      <c r="B14" t="s">
        <v>15</v>
      </c>
      <c r="C14">
        <v>463</v>
      </c>
      <c r="D14">
        <v>470.9</v>
      </c>
      <c r="E14">
        <v>462.65</v>
      </c>
      <c r="F14">
        <v>465.55</v>
      </c>
      <c r="G14">
        <v>470.5</v>
      </c>
      <c r="H14">
        <v>470.25</v>
      </c>
      <c r="I14">
        <v>467.91</v>
      </c>
      <c r="J14">
        <v>499.7</v>
      </c>
      <c r="K14">
        <v>399.35</v>
      </c>
      <c r="L14" s="4">
        <v>21094737</v>
      </c>
      <c r="M14" s="3">
        <v>9870374413.5</v>
      </c>
      <c r="N14" s="4">
        <v>196712</v>
      </c>
      <c r="O14">
        <f t="shared" si="0"/>
        <v>1.0095585866179762E-2</v>
      </c>
    </row>
    <row r="15" spans="1:15" ht="14.25" customHeight="1" x14ac:dyDescent="0.3">
      <c r="A15" s="2">
        <v>45492</v>
      </c>
      <c r="B15" t="s">
        <v>15</v>
      </c>
      <c r="C15">
        <v>471</v>
      </c>
      <c r="D15">
        <v>479.4</v>
      </c>
      <c r="E15">
        <v>469.4</v>
      </c>
      <c r="F15">
        <v>470.25</v>
      </c>
      <c r="G15">
        <v>473.15</v>
      </c>
      <c r="H15">
        <v>474.55</v>
      </c>
      <c r="I15">
        <v>474.65</v>
      </c>
      <c r="J15">
        <v>499.7</v>
      </c>
      <c r="K15">
        <v>399.35</v>
      </c>
      <c r="L15" s="4">
        <v>24977373</v>
      </c>
      <c r="M15" s="3">
        <v>11855389560.85</v>
      </c>
      <c r="N15" s="4">
        <v>268257</v>
      </c>
      <c r="O15">
        <f t="shared" si="0"/>
        <v>9.1440723019670638E-3</v>
      </c>
    </row>
    <row r="16" spans="1:15" ht="14.25" customHeight="1" x14ac:dyDescent="0.3">
      <c r="A16" s="2">
        <v>45495</v>
      </c>
      <c r="B16" t="s">
        <v>15</v>
      </c>
      <c r="C16">
        <v>474.6</v>
      </c>
      <c r="D16">
        <v>479.45</v>
      </c>
      <c r="E16">
        <v>465.85</v>
      </c>
      <c r="F16">
        <v>474.55</v>
      </c>
      <c r="G16">
        <v>466.3</v>
      </c>
      <c r="H16">
        <v>466.55</v>
      </c>
      <c r="I16">
        <v>470.1</v>
      </c>
      <c r="J16">
        <v>499.7</v>
      </c>
      <c r="K16">
        <v>399.35</v>
      </c>
      <c r="L16" s="4">
        <v>18066586</v>
      </c>
      <c r="M16" s="3">
        <v>8493064235.3500004</v>
      </c>
      <c r="N16" s="4">
        <v>232860</v>
      </c>
      <c r="O16">
        <f t="shared" si="0"/>
        <v>-1.6858076072068275E-2</v>
      </c>
    </row>
    <row r="17" spans="1:15" ht="14.25" customHeight="1" x14ac:dyDescent="0.3">
      <c r="A17" s="2">
        <v>45496</v>
      </c>
      <c r="B17" t="s">
        <v>15</v>
      </c>
      <c r="C17">
        <v>466.55</v>
      </c>
      <c r="D17">
        <v>497.4</v>
      </c>
      <c r="E17">
        <v>466.4</v>
      </c>
      <c r="F17">
        <v>466.55</v>
      </c>
      <c r="G17">
        <v>496.95</v>
      </c>
      <c r="H17">
        <v>492.2</v>
      </c>
      <c r="I17">
        <v>483.29</v>
      </c>
      <c r="J17">
        <v>499.7</v>
      </c>
      <c r="K17">
        <v>399.35</v>
      </c>
      <c r="L17" s="4">
        <v>54044423</v>
      </c>
      <c r="M17" s="3">
        <v>26118922052.349998</v>
      </c>
      <c r="N17" s="4">
        <v>499337</v>
      </c>
      <c r="O17">
        <f t="shared" si="0"/>
        <v>5.4978030221841126E-2</v>
      </c>
    </row>
    <row r="18" spans="1:15" ht="14.25" customHeight="1" x14ac:dyDescent="0.3">
      <c r="A18" s="2">
        <v>45497</v>
      </c>
      <c r="B18" t="s">
        <v>15</v>
      </c>
      <c r="C18">
        <v>496</v>
      </c>
      <c r="D18">
        <v>510.65</v>
      </c>
      <c r="E18">
        <v>490.65</v>
      </c>
      <c r="F18">
        <v>492.2</v>
      </c>
      <c r="G18">
        <v>494</v>
      </c>
      <c r="H18">
        <v>494.05</v>
      </c>
      <c r="I18">
        <v>500.33</v>
      </c>
      <c r="J18">
        <v>510.65</v>
      </c>
      <c r="K18">
        <v>399.35</v>
      </c>
      <c r="L18" s="4">
        <v>42073323</v>
      </c>
      <c r="M18" s="3">
        <v>21050681452.400002</v>
      </c>
      <c r="N18" s="4">
        <v>400376</v>
      </c>
      <c r="O18">
        <f t="shared" si="0"/>
        <v>3.7586347013409648E-3</v>
      </c>
    </row>
    <row r="19" spans="1:15" ht="14.25" customHeight="1" x14ac:dyDescent="0.3">
      <c r="A19" s="2">
        <v>45498</v>
      </c>
      <c r="B19" t="s">
        <v>15</v>
      </c>
      <c r="C19">
        <v>490</v>
      </c>
      <c r="D19">
        <v>496</v>
      </c>
      <c r="E19">
        <v>484.65</v>
      </c>
      <c r="F19">
        <v>494.05</v>
      </c>
      <c r="G19">
        <v>490.2</v>
      </c>
      <c r="H19">
        <v>489.95</v>
      </c>
      <c r="I19">
        <v>490.32</v>
      </c>
      <c r="J19">
        <v>510.65</v>
      </c>
      <c r="K19">
        <v>399.35</v>
      </c>
      <c r="L19" s="4">
        <v>17878994</v>
      </c>
      <c r="M19" s="3">
        <v>8766383593.6000004</v>
      </c>
      <c r="N19" s="4">
        <v>227325</v>
      </c>
      <c r="O19">
        <f t="shared" si="0"/>
        <v>-8.2987551867220368E-3</v>
      </c>
    </row>
    <row r="20" spans="1:15" ht="14.25" customHeight="1" x14ac:dyDescent="0.3">
      <c r="A20" s="2">
        <v>45499</v>
      </c>
      <c r="B20" t="s">
        <v>15</v>
      </c>
      <c r="C20">
        <v>494.05</v>
      </c>
      <c r="D20">
        <v>506.4</v>
      </c>
      <c r="E20">
        <v>487.4</v>
      </c>
      <c r="F20">
        <v>489.95</v>
      </c>
      <c r="G20">
        <v>501.55</v>
      </c>
      <c r="H20">
        <v>502.2</v>
      </c>
      <c r="I20">
        <v>498.22</v>
      </c>
      <c r="J20">
        <v>510.65</v>
      </c>
      <c r="K20">
        <v>399.35</v>
      </c>
      <c r="L20" s="4">
        <v>20736094</v>
      </c>
      <c r="M20" s="3">
        <v>10331062809.700001</v>
      </c>
      <c r="N20" s="4">
        <v>204107</v>
      </c>
      <c r="O20">
        <f t="shared" si="0"/>
        <v>2.5002551280742934E-2</v>
      </c>
    </row>
    <row r="21" spans="1:15" ht="14.25" customHeight="1" x14ac:dyDescent="0.3">
      <c r="A21" s="2">
        <v>45502</v>
      </c>
      <c r="B21" t="s">
        <v>15</v>
      </c>
      <c r="C21">
        <v>505.5</v>
      </c>
      <c r="D21">
        <v>506.2</v>
      </c>
      <c r="E21">
        <v>494.05</v>
      </c>
      <c r="F21">
        <v>502.2</v>
      </c>
      <c r="G21">
        <v>496.25</v>
      </c>
      <c r="H21">
        <v>496.05</v>
      </c>
      <c r="I21">
        <v>498.4</v>
      </c>
      <c r="J21">
        <v>510.65</v>
      </c>
      <c r="K21">
        <v>399.35</v>
      </c>
      <c r="L21" s="4">
        <v>12496895</v>
      </c>
      <c r="M21" s="3">
        <v>6228464277.8000002</v>
      </c>
      <c r="N21" s="4">
        <v>159533</v>
      </c>
      <c r="O21">
        <f t="shared" si="0"/>
        <v>-1.2246117084826718E-2</v>
      </c>
    </row>
    <row r="22" spans="1:15" ht="14.25" customHeight="1" x14ac:dyDescent="0.3">
      <c r="A22" s="2">
        <v>45503</v>
      </c>
      <c r="B22" t="s">
        <v>15</v>
      </c>
      <c r="C22">
        <v>496.3</v>
      </c>
      <c r="D22">
        <v>497.8</v>
      </c>
      <c r="E22">
        <v>488.65</v>
      </c>
      <c r="F22">
        <v>496.05</v>
      </c>
      <c r="G22">
        <v>490.5</v>
      </c>
      <c r="H22">
        <v>489.9</v>
      </c>
      <c r="I22">
        <v>491.81</v>
      </c>
      <c r="J22">
        <v>510.65</v>
      </c>
      <c r="K22">
        <v>399.35</v>
      </c>
      <c r="L22" s="4">
        <v>13375906</v>
      </c>
      <c r="M22" s="3">
        <v>6578425923</v>
      </c>
      <c r="N22" s="4">
        <v>171911</v>
      </c>
      <c r="O22">
        <f t="shared" si="0"/>
        <v>-1.239794375566986E-2</v>
      </c>
    </row>
    <row r="23" spans="1:15" ht="14.25" customHeight="1" x14ac:dyDescent="0.3">
      <c r="A23" s="2">
        <v>45504</v>
      </c>
      <c r="B23" t="s">
        <v>15</v>
      </c>
      <c r="C23">
        <v>492.45</v>
      </c>
      <c r="D23">
        <v>497.95</v>
      </c>
      <c r="E23">
        <v>490.5</v>
      </c>
      <c r="F23">
        <v>489.9</v>
      </c>
      <c r="G23">
        <v>495.5</v>
      </c>
      <c r="H23">
        <v>495.35</v>
      </c>
      <c r="I23">
        <v>494.03</v>
      </c>
      <c r="J23">
        <v>510.65</v>
      </c>
      <c r="K23">
        <v>399.35</v>
      </c>
      <c r="L23" s="4">
        <v>11538215</v>
      </c>
      <c r="M23" s="3">
        <v>5700270817.3999996</v>
      </c>
      <c r="N23" s="4">
        <v>184885</v>
      </c>
      <c r="O23">
        <f t="shared" si="0"/>
        <v>1.1124719330475701E-2</v>
      </c>
    </row>
    <row r="24" spans="1:15" ht="14.25" customHeight="1" x14ac:dyDescent="0.3">
      <c r="A24" s="2">
        <v>45505</v>
      </c>
      <c r="B24" t="s">
        <v>15</v>
      </c>
      <c r="C24">
        <v>495.95</v>
      </c>
      <c r="D24">
        <v>496.75</v>
      </c>
      <c r="E24">
        <v>490.95</v>
      </c>
      <c r="F24">
        <v>495.35</v>
      </c>
      <c r="G24">
        <v>493.05</v>
      </c>
      <c r="H24">
        <v>493.7</v>
      </c>
      <c r="I24">
        <v>493.72</v>
      </c>
      <c r="J24">
        <v>510.65</v>
      </c>
      <c r="K24">
        <v>399.35</v>
      </c>
      <c r="L24" s="4">
        <v>11665529</v>
      </c>
      <c r="M24" s="3">
        <v>5759553105.75</v>
      </c>
      <c r="N24" s="4">
        <v>167982</v>
      </c>
      <c r="O24">
        <f t="shared" si="0"/>
        <v>-3.3309780962956174E-3</v>
      </c>
    </row>
    <row r="25" spans="1:15" ht="14.25" customHeight="1" x14ac:dyDescent="0.3">
      <c r="A25" s="2">
        <v>45506</v>
      </c>
      <c r="B25" t="s">
        <v>15</v>
      </c>
      <c r="C25">
        <v>484.8</v>
      </c>
      <c r="D25">
        <v>499.45</v>
      </c>
      <c r="E25">
        <v>484.8</v>
      </c>
      <c r="F25">
        <v>493.7</v>
      </c>
      <c r="G25">
        <v>488.85</v>
      </c>
      <c r="H25">
        <v>489.1</v>
      </c>
      <c r="I25">
        <v>491.08</v>
      </c>
      <c r="J25">
        <v>510.65</v>
      </c>
      <c r="K25">
        <v>399.35</v>
      </c>
      <c r="L25" s="4">
        <v>21320064</v>
      </c>
      <c r="M25" s="3">
        <v>10469940924.65</v>
      </c>
      <c r="N25" s="4">
        <v>253754</v>
      </c>
      <c r="O25">
        <f t="shared" si="0"/>
        <v>-9.3173992303017331E-3</v>
      </c>
    </row>
    <row r="26" spans="1:15" ht="14.25" customHeight="1" x14ac:dyDescent="0.3">
      <c r="A26" s="2">
        <v>45509</v>
      </c>
      <c r="B26" t="s">
        <v>15</v>
      </c>
      <c r="C26">
        <v>480.05</v>
      </c>
      <c r="D26">
        <v>491.9</v>
      </c>
      <c r="E26">
        <v>479.55</v>
      </c>
      <c r="F26">
        <v>489.1</v>
      </c>
      <c r="G26">
        <v>485.9</v>
      </c>
      <c r="H26">
        <v>486</v>
      </c>
      <c r="I26">
        <v>485.81</v>
      </c>
      <c r="J26">
        <v>510.65</v>
      </c>
      <c r="K26">
        <v>399.35</v>
      </c>
      <c r="L26" s="4">
        <v>24094139</v>
      </c>
      <c r="M26" s="3">
        <v>11705282411.049999</v>
      </c>
      <c r="N26" s="4">
        <v>240878</v>
      </c>
      <c r="O26">
        <f t="shared" si="0"/>
        <v>-6.3381721529340062E-3</v>
      </c>
    </row>
    <row r="27" spans="1:15" ht="14.25" customHeight="1" x14ac:dyDescent="0.3">
      <c r="A27" s="2">
        <v>45510</v>
      </c>
      <c r="B27" t="s">
        <v>15</v>
      </c>
      <c r="C27">
        <v>486.25</v>
      </c>
      <c r="D27">
        <v>491.7</v>
      </c>
      <c r="E27">
        <v>484.05</v>
      </c>
      <c r="F27">
        <v>486</v>
      </c>
      <c r="G27">
        <v>487.8</v>
      </c>
      <c r="H27">
        <v>486.3</v>
      </c>
      <c r="I27">
        <v>487.52</v>
      </c>
      <c r="J27">
        <v>510.65</v>
      </c>
      <c r="K27">
        <v>399.35</v>
      </c>
      <c r="L27" s="4">
        <v>13722855</v>
      </c>
      <c r="M27" s="3">
        <v>6690115892.1000004</v>
      </c>
      <c r="N27" s="4">
        <v>165576</v>
      </c>
      <c r="O27">
        <f t="shared" si="0"/>
        <v>6.1728395061730736E-4</v>
      </c>
    </row>
    <row r="28" spans="1:15" ht="14.25" customHeight="1" x14ac:dyDescent="0.3">
      <c r="A28" s="2">
        <v>45511</v>
      </c>
      <c r="B28" t="s">
        <v>15</v>
      </c>
      <c r="C28">
        <v>490</v>
      </c>
      <c r="D28">
        <v>495.6</v>
      </c>
      <c r="E28">
        <v>488.1</v>
      </c>
      <c r="F28">
        <v>486.3</v>
      </c>
      <c r="G28">
        <v>492.75</v>
      </c>
      <c r="H28">
        <v>492.65</v>
      </c>
      <c r="I28">
        <v>491.96</v>
      </c>
      <c r="J28">
        <v>510.65</v>
      </c>
      <c r="K28">
        <v>399.35</v>
      </c>
      <c r="L28" s="4">
        <v>10900585</v>
      </c>
      <c r="M28" s="3">
        <v>5362650358.25</v>
      </c>
      <c r="N28" s="4">
        <v>173490</v>
      </c>
      <c r="O28">
        <f t="shared" si="0"/>
        <v>1.3057783261361229E-2</v>
      </c>
    </row>
    <row r="29" spans="1:15" ht="14.25" customHeight="1" x14ac:dyDescent="0.3">
      <c r="A29" s="2">
        <v>45512</v>
      </c>
      <c r="B29" t="s">
        <v>15</v>
      </c>
      <c r="C29">
        <v>494</v>
      </c>
      <c r="D29">
        <v>498</v>
      </c>
      <c r="E29">
        <v>492.5</v>
      </c>
      <c r="F29">
        <v>492.65</v>
      </c>
      <c r="G29">
        <v>494.15</v>
      </c>
      <c r="H29">
        <v>494.75</v>
      </c>
      <c r="I29">
        <v>494.99</v>
      </c>
      <c r="J29">
        <v>510.65</v>
      </c>
      <c r="K29">
        <v>399.35</v>
      </c>
      <c r="L29" s="4">
        <v>20558134</v>
      </c>
      <c r="M29" s="3">
        <v>10175999936.049999</v>
      </c>
      <c r="N29" s="4">
        <v>250724</v>
      </c>
      <c r="O29">
        <f t="shared" si="0"/>
        <v>4.2626611184411302E-3</v>
      </c>
    </row>
    <row r="30" spans="1:15" ht="14.25" customHeight="1" x14ac:dyDescent="0.3">
      <c r="A30" s="2">
        <v>45513</v>
      </c>
      <c r="B30" t="s">
        <v>15</v>
      </c>
      <c r="C30">
        <v>498</v>
      </c>
      <c r="D30">
        <v>498</v>
      </c>
      <c r="E30">
        <v>493.1</v>
      </c>
      <c r="F30">
        <v>494.75</v>
      </c>
      <c r="G30">
        <v>496.15</v>
      </c>
      <c r="H30">
        <v>495.9</v>
      </c>
      <c r="I30">
        <v>495.38</v>
      </c>
      <c r="J30">
        <v>510.65</v>
      </c>
      <c r="K30">
        <v>399.35</v>
      </c>
      <c r="L30" s="4">
        <v>9201793</v>
      </c>
      <c r="M30" s="3">
        <v>4558387017.25</v>
      </c>
      <c r="N30" s="4">
        <v>144367</v>
      </c>
      <c r="O30">
        <f t="shared" si="0"/>
        <v>2.3244062657907577E-3</v>
      </c>
    </row>
    <row r="31" spans="1:15" ht="14.25" customHeight="1" x14ac:dyDescent="0.3">
      <c r="A31" s="2">
        <v>45516</v>
      </c>
      <c r="B31" t="s">
        <v>15</v>
      </c>
      <c r="C31">
        <v>492</v>
      </c>
      <c r="D31">
        <v>500</v>
      </c>
      <c r="E31">
        <v>492</v>
      </c>
      <c r="F31">
        <v>495.9</v>
      </c>
      <c r="G31">
        <v>494.4</v>
      </c>
      <c r="H31">
        <v>494.6</v>
      </c>
      <c r="I31">
        <v>497.04</v>
      </c>
      <c r="J31">
        <v>510.65</v>
      </c>
      <c r="K31">
        <v>399.35</v>
      </c>
      <c r="L31" s="4">
        <v>9076097</v>
      </c>
      <c r="M31" s="3">
        <v>4511189537.9499998</v>
      </c>
      <c r="N31" s="4">
        <v>133143</v>
      </c>
      <c r="O31">
        <f t="shared" si="0"/>
        <v>-2.6214962694090637E-3</v>
      </c>
    </row>
    <row r="32" spans="1:15" ht="14.25" customHeight="1" x14ac:dyDescent="0.3">
      <c r="A32" s="2">
        <v>45517</v>
      </c>
      <c r="B32" t="s">
        <v>15</v>
      </c>
      <c r="C32">
        <v>495.95</v>
      </c>
      <c r="D32">
        <v>497.85</v>
      </c>
      <c r="E32">
        <v>488.25</v>
      </c>
      <c r="F32">
        <v>494.6</v>
      </c>
      <c r="G32">
        <v>491.5</v>
      </c>
      <c r="H32">
        <v>490</v>
      </c>
      <c r="I32">
        <v>493.29</v>
      </c>
      <c r="J32">
        <v>510.65</v>
      </c>
      <c r="K32">
        <v>399.35</v>
      </c>
      <c r="L32" s="4">
        <v>7757706</v>
      </c>
      <c r="M32" s="3">
        <v>3826762550.0500002</v>
      </c>
      <c r="N32" s="4">
        <v>119952</v>
      </c>
      <c r="O32">
        <f t="shared" si="0"/>
        <v>-9.3004448038819711E-3</v>
      </c>
    </row>
    <row r="33" spans="1:15" ht="14.25" customHeight="1" x14ac:dyDescent="0.3">
      <c r="A33" s="2">
        <v>45518</v>
      </c>
      <c r="B33" t="s">
        <v>15</v>
      </c>
      <c r="C33">
        <v>491.95</v>
      </c>
      <c r="D33">
        <v>499</v>
      </c>
      <c r="E33">
        <v>489.9</v>
      </c>
      <c r="F33">
        <v>490</v>
      </c>
      <c r="G33">
        <v>492.55</v>
      </c>
      <c r="H33">
        <v>492.2</v>
      </c>
      <c r="I33">
        <v>494.04</v>
      </c>
      <c r="J33">
        <v>510.65</v>
      </c>
      <c r="K33">
        <v>399.35</v>
      </c>
      <c r="L33" s="4">
        <v>9253598</v>
      </c>
      <c r="M33" s="3">
        <v>4571625348</v>
      </c>
      <c r="N33" s="4">
        <v>150643</v>
      </c>
      <c r="O33">
        <f t="shared" si="0"/>
        <v>4.4897959183673236E-3</v>
      </c>
    </row>
    <row r="34" spans="1:15" ht="14.25" customHeight="1" x14ac:dyDescent="0.3">
      <c r="A34" s="2">
        <v>45520</v>
      </c>
      <c r="B34" t="s">
        <v>15</v>
      </c>
      <c r="C34">
        <v>494.5</v>
      </c>
      <c r="D34">
        <v>504.2</v>
      </c>
      <c r="E34">
        <v>492.65</v>
      </c>
      <c r="F34">
        <v>492.2</v>
      </c>
      <c r="G34">
        <v>502.05</v>
      </c>
      <c r="H34">
        <v>502.65</v>
      </c>
      <c r="I34">
        <v>498.53</v>
      </c>
      <c r="J34">
        <v>510.65</v>
      </c>
      <c r="K34">
        <v>399.35</v>
      </c>
      <c r="L34" s="4">
        <v>13137392</v>
      </c>
      <c r="M34" s="3">
        <v>6549443406.8500004</v>
      </c>
      <c r="N34" s="4">
        <v>164043</v>
      </c>
      <c r="O34">
        <f t="shared" si="0"/>
        <v>2.1231206826493272E-2</v>
      </c>
    </row>
    <row r="35" spans="1:15" ht="14.25" customHeight="1" x14ac:dyDescent="0.3">
      <c r="A35" s="2">
        <v>45523</v>
      </c>
      <c r="B35" t="s">
        <v>15</v>
      </c>
      <c r="C35">
        <v>504.75</v>
      </c>
      <c r="D35">
        <v>509.3</v>
      </c>
      <c r="E35">
        <v>499.6</v>
      </c>
      <c r="F35">
        <v>502.65</v>
      </c>
      <c r="G35">
        <v>499.95</v>
      </c>
      <c r="H35">
        <v>501.45</v>
      </c>
      <c r="I35">
        <v>504.39</v>
      </c>
      <c r="J35">
        <v>510.65</v>
      </c>
      <c r="K35">
        <v>399.35</v>
      </c>
      <c r="L35" s="4">
        <v>10198725</v>
      </c>
      <c r="M35" s="3">
        <v>5144120039.1000004</v>
      </c>
      <c r="N35" s="4">
        <v>166648</v>
      </c>
      <c r="O35">
        <f t="shared" si="0"/>
        <v>-2.3873470605789092E-3</v>
      </c>
    </row>
    <row r="36" spans="1:15" ht="14.25" customHeight="1" x14ac:dyDescent="0.3">
      <c r="A36" s="2">
        <v>45524</v>
      </c>
      <c r="B36" t="s">
        <v>15</v>
      </c>
      <c r="C36">
        <v>501</v>
      </c>
      <c r="D36">
        <v>503.4</v>
      </c>
      <c r="E36">
        <v>497.7</v>
      </c>
      <c r="F36">
        <v>501.45</v>
      </c>
      <c r="G36">
        <v>498.5</v>
      </c>
      <c r="H36">
        <v>498.8</v>
      </c>
      <c r="I36">
        <v>499.95</v>
      </c>
      <c r="J36">
        <v>510.65</v>
      </c>
      <c r="K36">
        <v>399.35</v>
      </c>
      <c r="L36" s="4">
        <v>6633171</v>
      </c>
      <c r="M36" s="3">
        <v>3316278832</v>
      </c>
      <c r="N36" s="4">
        <v>115083</v>
      </c>
      <c r="O36">
        <f t="shared" si="0"/>
        <v>-5.2846744441120298E-3</v>
      </c>
    </row>
    <row r="37" spans="1:15" ht="14.25" customHeight="1" x14ac:dyDescent="0.3">
      <c r="A37" s="2">
        <v>45525</v>
      </c>
      <c r="B37" t="s">
        <v>15</v>
      </c>
      <c r="C37">
        <v>500</v>
      </c>
      <c r="D37">
        <v>509</v>
      </c>
      <c r="E37">
        <v>499.05</v>
      </c>
      <c r="F37">
        <v>498.8</v>
      </c>
      <c r="G37">
        <v>505.8</v>
      </c>
      <c r="H37">
        <v>505.4</v>
      </c>
      <c r="I37">
        <v>505.03</v>
      </c>
      <c r="J37">
        <v>510.65</v>
      </c>
      <c r="K37">
        <v>399.35</v>
      </c>
      <c r="L37" s="4">
        <v>8474830</v>
      </c>
      <c r="M37" s="3">
        <v>4280048280.4499998</v>
      </c>
      <c r="N37" s="4">
        <v>121930</v>
      </c>
      <c r="O37">
        <f t="shared" si="0"/>
        <v>1.323175621491573E-2</v>
      </c>
    </row>
    <row r="38" spans="1:15" ht="14.25" customHeight="1" x14ac:dyDescent="0.3">
      <c r="A38" s="2">
        <v>45526</v>
      </c>
      <c r="B38" t="s">
        <v>15</v>
      </c>
      <c r="C38">
        <v>507.85</v>
      </c>
      <c r="D38">
        <v>508.5</v>
      </c>
      <c r="E38">
        <v>501.45</v>
      </c>
      <c r="F38">
        <v>505.4</v>
      </c>
      <c r="G38">
        <v>505.05</v>
      </c>
      <c r="H38">
        <v>504.55</v>
      </c>
      <c r="I38">
        <v>504.67</v>
      </c>
      <c r="J38">
        <v>510.65</v>
      </c>
      <c r="K38">
        <v>399.35</v>
      </c>
      <c r="L38" s="4">
        <v>8364290</v>
      </c>
      <c r="M38" s="3">
        <v>4221224253.25</v>
      </c>
      <c r="N38" s="4">
        <v>145029</v>
      </c>
      <c r="O38">
        <f t="shared" si="0"/>
        <v>-1.6818361693707281E-3</v>
      </c>
    </row>
    <row r="39" spans="1:15" ht="14.25" customHeight="1" x14ac:dyDescent="0.3">
      <c r="A39" s="2">
        <v>45527</v>
      </c>
      <c r="B39" t="s">
        <v>15</v>
      </c>
      <c r="C39">
        <v>505.05</v>
      </c>
      <c r="D39">
        <v>506.95</v>
      </c>
      <c r="E39">
        <v>499.95</v>
      </c>
      <c r="F39">
        <v>504.55</v>
      </c>
      <c r="G39">
        <v>505.4</v>
      </c>
      <c r="H39">
        <v>505.8</v>
      </c>
      <c r="I39">
        <v>504.2</v>
      </c>
      <c r="J39">
        <v>510.65</v>
      </c>
      <c r="K39">
        <v>399.35</v>
      </c>
      <c r="L39" s="4">
        <v>7891446</v>
      </c>
      <c r="M39" s="3">
        <v>3978880053.3499999</v>
      </c>
      <c r="N39" s="4">
        <v>108800</v>
      </c>
      <c r="O39">
        <f t="shared" si="0"/>
        <v>2.4774551580616392E-3</v>
      </c>
    </row>
    <row r="40" spans="1:15" ht="14.25" customHeight="1" x14ac:dyDescent="0.3">
      <c r="A40" s="2">
        <v>45530</v>
      </c>
      <c r="B40" t="s">
        <v>15</v>
      </c>
      <c r="C40">
        <v>506</v>
      </c>
      <c r="D40">
        <v>508</v>
      </c>
      <c r="E40">
        <v>502</v>
      </c>
      <c r="F40">
        <v>505.8</v>
      </c>
      <c r="G40">
        <v>505.7</v>
      </c>
      <c r="H40">
        <v>505.7</v>
      </c>
      <c r="I40">
        <v>505.93</v>
      </c>
      <c r="J40">
        <v>510.65</v>
      </c>
      <c r="K40">
        <v>399.35</v>
      </c>
      <c r="L40" s="4">
        <v>7825037</v>
      </c>
      <c r="M40" s="3">
        <v>3958900282.5500002</v>
      </c>
      <c r="N40" s="4">
        <v>148265</v>
      </c>
      <c r="O40">
        <f t="shared" si="0"/>
        <v>-1.9770660340059852E-4</v>
      </c>
    </row>
    <row r="41" spans="1:15" ht="14.25" customHeight="1" x14ac:dyDescent="0.3">
      <c r="A41" s="2">
        <v>45531</v>
      </c>
      <c r="B41" t="s">
        <v>15</v>
      </c>
      <c r="C41">
        <v>507.55</v>
      </c>
      <c r="D41">
        <v>507.6</v>
      </c>
      <c r="E41">
        <v>500</v>
      </c>
      <c r="F41">
        <v>505.7</v>
      </c>
      <c r="G41">
        <v>500.4</v>
      </c>
      <c r="H41">
        <v>500.6</v>
      </c>
      <c r="I41">
        <v>502.17</v>
      </c>
      <c r="J41">
        <v>510.65</v>
      </c>
      <c r="K41">
        <v>399.35</v>
      </c>
      <c r="L41" s="4">
        <v>7954114</v>
      </c>
      <c r="M41" s="3">
        <v>3994335939.5999999</v>
      </c>
      <c r="N41" s="4">
        <v>123723</v>
      </c>
      <c r="O41">
        <f t="shared" si="0"/>
        <v>-1.0085030650583283E-2</v>
      </c>
    </row>
    <row r="42" spans="1:15" ht="14.25" customHeight="1" x14ac:dyDescent="0.3">
      <c r="A42" s="2">
        <v>45532</v>
      </c>
      <c r="B42" t="s">
        <v>15</v>
      </c>
      <c r="C42">
        <v>500.4</v>
      </c>
      <c r="D42">
        <v>502.3</v>
      </c>
      <c r="E42">
        <v>496.5</v>
      </c>
      <c r="F42">
        <v>500.6</v>
      </c>
      <c r="G42">
        <v>500.15</v>
      </c>
      <c r="H42">
        <v>497.3</v>
      </c>
      <c r="I42">
        <v>498.8</v>
      </c>
      <c r="J42">
        <v>510.65</v>
      </c>
      <c r="K42">
        <v>399.35</v>
      </c>
      <c r="L42" s="4">
        <v>7782216</v>
      </c>
      <c r="M42" s="3">
        <v>3881794042.1999998</v>
      </c>
      <c r="N42" s="4">
        <v>128939</v>
      </c>
      <c r="O42">
        <f t="shared" si="0"/>
        <v>-6.5920894926088918E-3</v>
      </c>
    </row>
    <row r="43" spans="1:15" ht="14.25" customHeight="1" x14ac:dyDescent="0.3">
      <c r="A43" s="2">
        <v>45533</v>
      </c>
      <c r="B43" t="s">
        <v>15</v>
      </c>
      <c r="C43">
        <v>498</v>
      </c>
      <c r="D43">
        <v>507.7</v>
      </c>
      <c r="E43">
        <v>497.35</v>
      </c>
      <c r="F43">
        <v>497.3</v>
      </c>
      <c r="G43">
        <v>505</v>
      </c>
      <c r="H43">
        <v>505.1</v>
      </c>
      <c r="I43">
        <v>503.72</v>
      </c>
      <c r="J43">
        <v>510.65</v>
      </c>
      <c r="K43">
        <v>399.35</v>
      </c>
      <c r="L43" s="4">
        <v>18670632</v>
      </c>
      <c r="M43" s="3">
        <v>9404844586.2000008</v>
      </c>
      <c r="N43" s="4">
        <v>203893</v>
      </c>
      <c r="O43">
        <f t="shared" si="0"/>
        <v>1.568469736577521E-2</v>
      </c>
    </row>
    <row r="44" spans="1:15" ht="14.25" customHeight="1" x14ac:dyDescent="0.3">
      <c r="A44" s="2">
        <v>45534</v>
      </c>
      <c r="B44" t="s">
        <v>15</v>
      </c>
      <c r="C44">
        <v>501.95</v>
      </c>
      <c r="D44">
        <v>509.15</v>
      </c>
      <c r="E44">
        <v>500.2</v>
      </c>
      <c r="F44">
        <v>505.1</v>
      </c>
      <c r="G44">
        <v>504</v>
      </c>
      <c r="H44">
        <v>501.9</v>
      </c>
      <c r="I44">
        <v>502.57</v>
      </c>
      <c r="J44">
        <v>510.65</v>
      </c>
      <c r="K44">
        <v>399.35</v>
      </c>
      <c r="L44" s="4">
        <v>14947670</v>
      </c>
      <c r="M44" s="3">
        <v>7512253452.8000002</v>
      </c>
      <c r="N44" s="4">
        <v>149051</v>
      </c>
      <c r="O44">
        <f t="shared" si="0"/>
        <v>-6.3353791328450712E-3</v>
      </c>
    </row>
    <row r="45" spans="1:15" ht="14.25" customHeight="1" x14ac:dyDescent="0.3">
      <c r="A45" s="2">
        <v>45537</v>
      </c>
      <c r="B45" t="s">
        <v>15</v>
      </c>
      <c r="C45">
        <v>504</v>
      </c>
      <c r="D45">
        <v>512.9</v>
      </c>
      <c r="E45">
        <v>503.3</v>
      </c>
      <c r="F45">
        <v>501.9</v>
      </c>
      <c r="G45">
        <v>509.85</v>
      </c>
      <c r="H45">
        <v>510.05</v>
      </c>
      <c r="I45">
        <v>509.98</v>
      </c>
      <c r="J45">
        <v>512.9</v>
      </c>
      <c r="K45">
        <v>399.35</v>
      </c>
      <c r="L45" s="4">
        <v>15885469</v>
      </c>
      <c r="M45" s="3">
        <v>8101252606.1499996</v>
      </c>
      <c r="N45" s="4">
        <v>215525</v>
      </c>
      <c r="O45">
        <f t="shared" si="0"/>
        <v>1.6238294480972373E-2</v>
      </c>
    </row>
    <row r="46" spans="1:15" ht="14.25" customHeight="1" x14ac:dyDescent="0.3">
      <c r="A46" s="2">
        <v>45538</v>
      </c>
      <c r="B46" t="s">
        <v>15</v>
      </c>
      <c r="C46">
        <v>510.05</v>
      </c>
      <c r="D46">
        <v>515.95000000000005</v>
      </c>
      <c r="E46">
        <v>507.9</v>
      </c>
      <c r="F46">
        <v>510.05</v>
      </c>
      <c r="G46">
        <v>508.6</v>
      </c>
      <c r="H46">
        <v>509.4</v>
      </c>
      <c r="I46">
        <v>512.57000000000005</v>
      </c>
      <c r="J46">
        <v>515.95000000000005</v>
      </c>
      <c r="K46">
        <v>399.35</v>
      </c>
      <c r="L46" s="4">
        <v>12018677</v>
      </c>
      <c r="M46" s="3">
        <v>6160357721.8999996</v>
      </c>
      <c r="N46" s="4">
        <v>186272</v>
      </c>
      <c r="O46">
        <f t="shared" si="0"/>
        <v>-1.2743848642290639E-3</v>
      </c>
    </row>
    <row r="47" spans="1:15" ht="14.25" customHeight="1" x14ac:dyDescent="0.3">
      <c r="A47" s="2">
        <v>45539</v>
      </c>
      <c r="B47" t="s">
        <v>15</v>
      </c>
      <c r="C47">
        <v>500</v>
      </c>
      <c r="D47">
        <v>510.05</v>
      </c>
      <c r="E47">
        <v>499.95</v>
      </c>
      <c r="F47">
        <v>509.4</v>
      </c>
      <c r="G47">
        <v>507.45</v>
      </c>
      <c r="H47">
        <v>506.35</v>
      </c>
      <c r="I47">
        <v>506.14</v>
      </c>
      <c r="J47">
        <v>515.95000000000005</v>
      </c>
      <c r="K47">
        <v>399.35</v>
      </c>
      <c r="L47" s="4">
        <v>8414967</v>
      </c>
      <c r="M47" s="3">
        <v>4259122977.75</v>
      </c>
      <c r="N47" s="4">
        <v>144592</v>
      </c>
      <c r="O47">
        <f t="shared" si="0"/>
        <v>-5.987436199450245E-3</v>
      </c>
    </row>
    <row r="48" spans="1:15" ht="14.25" customHeight="1" x14ac:dyDescent="0.3">
      <c r="A48" s="2">
        <v>45540</v>
      </c>
      <c r="B48" t="s">
        <v>15</v>
      </c>
      <c r="C48">
        <v>508.35</v>
      </c>
      <c r="D48">
        <v>511.9</v>
      </c>
      <c r="E48">
        <v>507.05</v>
      </c>
      <c r="F48">
        <v>506.35</v>
      </c>
      <c r="G48">
        <v>511.25</v>
      </c>
      <c r="H48">
        <v>511.2</v>
      </c>
      <c r="I48">
        <v>510.32</v>
      </c>
      <c r="J48">
        <v>515.95000000000005</v>
      </c>
      <c r="K48">
        <v>399.35</v>
      </c>
      <c r="L48" s="4">
        <v>10898888</v>
      </c>
      <c r="M48" s="3">
        <v>5561902271.3000002</v>
      </c>
      <c r="N48" s="4">
        <v>137332</v>
      </c>
      <c r="O48">
        <f t="shared" si="0"/>
        <v>9.5783548928606022E-3</v>
      </c>
    </row>
    <row r="49" spans="1:15" ht="14.25" customHeight="1" x14ac:dyDescent="0.3">
      <c r="A49" s="2">
        <v>45541</v>
      </c>
      <c r="B49" t="s">
        <v>15</v>
      </c>
      <c r="C49">
        <v>512</v>
      </c>
      <c r="D49">
        <v>512</v>
      </c>
      <c r="E49">
        <v>497.15</v>
      </c>
      <c r="F49">
        <v>511.2</v>
      </c>
      <c r="G49">
        <v>502.45</v>
      </c>
      <c r="H49">
        <v>501.7</v>
      </c>
      <c r="I49">
        <v>502.2</v>
      </c>
      <c r="J49">
        <v>515.95000000000005</v>
      </c>
      <c r="K49">
        <v>399.35</v>
      </c>
      <c r="L49" s="4">
        <v>13716752</v>
      </c>
      <c r="M49" s="3">
        <v>6888530757.3000002</v>
      </c>
      <c r="N49" s="4">
        <v>226806</v>
      </c>
      <c r="O49">
        <f t="shared" si="0"/>
        <v>-1.8583724569640064E-2</v>
      </c>
    </row>
    <row r="50" spans="1:15" ht="14.25" customHeight="1" x14ac:dyDescent="0.3">
      <c r="A50" s="2">
        <v>45544</v>
      </c>
      <c r="B50" t="s">
        <v>15</v>
      </c>
      <c r="C50">
        <v>502</v>
      </c>
      <c r="D50">
        <v>512.65</v>
      </c>
      <c r="E50">
        <v>500.35</v>
      </c>
      <c r="F50">
        <v>501.7</v>
      </c>
      <c r="G50">
        <v>511.5</v>
      </c>
      <c r="H50">
        <v>511.75</v>
      </c>
      <c r="I50">
        <v>509.47</v>
      </c>
      <c r="J50">
        <v>515.95000000000005</v>
      </c>
      <c r="K50">
        <v>399.35</v>
      </c>
      <c r="L50" s="4">
        <v>13736044</v>
      </c>
      <c r="M50" s="3">
        <v>6998044346.5</v>
      </c>
      <c r="N50" s="4">
        <v>191706</v>
      </c>
      <c r="O50">
        <f t="shared" si="0"/>
        <v>2.0031891568666558E-2</v>
      </c>
    </row>
    <row r="51" spans="1:15" ht="14.25" customHeight="1" x14ac:dyDescent="0.3">
      <c r="A51" s="2">
        <v>45545</v>
      </c>
      <c r="B51" t="s">
        <v>15</v>
      </c>
      <c r="C51">
        <v>511.9</v>
      </c>
      <c r="D51">
        <v>515</v>
      </c>
      <c r="E51">
        <v>508.75</v>
      </c>
      <c r="F51">
        <v>511.75</v>
      </c>
      <c r="G51">
        <v>512.9</v>
      </c>
      <c r="H51">
        <v>513.6</v>
      </c>
      <c r="I51">
        <v>512.86</v>
      </c>
      <c r="J51">
        <v>515.95000000000005</v>
      </c>
      <c r="K51">
        <v>399.35</v>
      </c>
      <c r="L51" s="4">
        <v>10911995</v>
      </c>
      <c r="M51" s="3">
        <v>5596326541.1999998</v>
      </c>
      <c r="N51" s="4">
        <v>173370</v>
      </c>
      <c r="O51">
        <f t="shared" si="0"/>
        <v>3.6150464093796242E-3</v>
      </c>
    </row>
    <row r="52" spans="1:15" ht="14.25" customHeight="1" x14ac:dyDescent="0.3">
      <c r="A52" s="2">
        <v>45546</v>
      </c>
      <c r="B52" t="s">
        <v>15</v>
      </c>
      <c r="C52">
        <v>513</v>
      </c>
      <c r="D52">
        <v>519.5</v>
      </c>
      <c r="E52">
        <v>511.95</v>
      </c>
      <c r="F52">
        <v>513.6</v>
      </c>
      <c r="G52">
        <v>513.1</v>
      </c>
      <c r="H52">
        <v>514.35</v>
      </c>
      <c r="I52">
        <v>516.48</v>
      </c>
      <c r="J52">
        <v>519.5</v>
      </c>
      <c r="K52">
        <v>399.35</v>
      </c>
      <c r="L52" s="4">
        <v>14922832</v>
      </c>
      <c r="M52" s="3">
        <v>7707278241.5</v>
      </c>
      <c r="N52" s="4">
        <v>258825</v>
      </c>
      <c r="O52">
        <f t="shared" si="0"/>
        <v>1.4602803738317756E-3</v>
      </c>
    </row>
    <row r="53" spans="1:15" ht="14.25" customHeight="1" x14ac:dyDescent="0.3">
      <c r="A53" s="2">
        <v>45547</v>
      </c>
      <c r="B53" t="s">
        <v>15</v>
      </c>
      <c r="C53">
        <v>515.1</v>
      </c>
      <c r="D53">
        <v>520.5</v>
      </c>
      <c r="E53">
        <v>508.55</v>
      </c>
      <c r="F53">
        <v>514.35</v>
      </c>
      <c r="G53">
        <v>518.04999999999995</v>
      </c>
      <c r="H53">
        <v>519.5</v>
      </c>
      <c r="I53">
        <v>515.6</v>
      </c>
      <c r="J53">
        <v>520.5</v>
      </c>
      <c r="K53">
        <v>399.35</v>
      </c>
      <c r="L53" s="4">
        <v>18377550</v>
      </c>
      <c r="M53" s="3">
        <v>9475461095.8999996</v>
      </c>
      <c r="N53" s="4">
        <v>208255</v>
      </c>
      <c r="O53">
        <f t="shared" si="0"/>
        <v>1.0012637309225192E-2</v>
      </c>
    </row>
    <row r="54" spans="1:15" ht="14.25" customHeight="1" x14ac:dyDescent="0.3">
      <c r="A54" s="2">
        <v>45548</v>
      </c>
      <c r="B54" t="s">
        <v>15</v>
      </c>
      <c r="C54">
        <v>519.5</v>
      </c>
      <c r="D54">
        <v>520</v>
      </c>
      <c r="E54">
        <v>512</v>
      </c>
      <c r="F54">
        <v>519.5</v>
      </c>
      <c r="G54">
        <v>513.65</v>
      </c>
      <c r="H54">
        <v>513.85</v>
      </c>
      <c r="I54">
        <v>513.80999999999995</v>
      </c>
      <c r="J54">
        <v>520.5</v>
      </c>
      <c r="K54">
        <v>399.35</v>
      </c>
      <c r="L54" s="4">
        <v>8825193</v>
      </c>
      <c r="M54" s="3">
        <v>4534484027.0500002</v>
      </c>
      <c r="N54" s="4">
        <v>139096</v>
      </c>
      <c r="O54">
        <f t="shared" si="0"/>
        <v>-1.0875842155919109E-2</v>
      </c>
    </row>
    <row r="55" spans="1:15" ht="14.25" customHeight="1" x14ac:dyDescent="0.3">
      <c r="A55" s="2">
        <v>45551</v>
      </c>
      <c r="B55" t="s">
        <v>15</v>
      </c>
      <c r="C55">
        <v>515.9</v>
      </c>
      <c r="D55">
        <v>517</v>
      </c>
      <c r="E55">
        <v>509.7</v>
      </c>
      <c r="F55">
        <v>513.85</v>
      </c>
      <c r="G55">
        <v>509.95</v>
      </c>
      <c r="H55">
        <v>511.1</v>
      </c>
      <c r="I55">
        <v>513.15</v>
      </c>
      <c r="J55">
        <v>520.5</v>
      </c>
      <c r="K55">
        <v>399.35</v>
      </c>
      <c r="L55" s="4">
        <v>7531604</v>
      </c>
      <c r="M55" s="3">
        <v>3864831357.3000002</v>
      </c>
      <c r="N55" s="4">
        <v>80552</v>
      </c>
      <c r="O55">
        <f t="shared" si="0"/>
        <v>-5.3517563491291232E-3</v>
      </c>
    </row>
    <row r="56" spans="1:15" ht="14.25" customHeight="1" x14ac:dyDescent="0.3">
      <c r="A56" s="2">
        <v>45552</v>
      </c>
      <c r="B56" t="s">
        <v>15</v>
      </c>
      <c r="C56">
        <v>511.05</v>
      </c>
      <c r="D56">
        <v>513.54999999999995</v>
      </c>
      <c r="E56">
        <v>506.25</v>
      </c>
      <c r="F56">
        <v>511.1</v>
      </c>
      <c r="G56">
        <v>508.25</v>
      </c>
      <c r="H56">
        <v>507.75</v>
      </c>
      <c r="I56">
        <v>508.55</v>
      </c>
      <c r="J56">
        <v>520.5</v>
      </c>
      <c r="K56">
        <v>399.35</v>
      </c>
      <c r="L56" s="4">
        <v>10486015</v>
      </c>
      <c r="M56" s="3">
        <v>5332681431.4499998</v>
      </c>
      <c r="N56" s="4">
        <v>113046</v>
      </c>
      <c r="O56">
        <f t="shared" si="0"/>
        <v>-6.5544903150068926E-3</v>
      </c>
    </row>
    <row r="57" spans="1:15" ht="14.25" customHeight="1" x14ac:dyDescent="0.3">
      <c r="A57" s="2">
        <v>45553</v>
      </c>
      <c r="B57" t="s">
        <v>15</v>
      </c>
      <c r="C57">
        <v>507.85</v>
      </c>
      <c r="D57">
        <v>512.4</v>
      </c>
      <c r="E57">
        <v>505.1</v>
      </c>
      <c r="F57">
        <v>507.75</v>
      </c>
      <c r="G57">
        <v>506.75</v>
      </c>
      <c r="H57">
        <v>507.35</v>
      </c>
      <c r="I57">
        <v>509.15</v>
      </c>
      <c r="J57">
        <v>520.5</v>
      </c>
      <c r="K57">
        <v>399.35</v>
      </c>
      <c r="L57" s="4">
        <v>5429619</v>
      </c>
      <c r="M57" s="3">
        <v>2764506352.0999999</v>
      </c>
      <c r="N57" s="4">
        <v>98908</v>
      </c>
      <c r="O57">
        <f t="shared" si="0"/>
        <v>-7.8778926637120092E-4</v>
      </c>
    </row>
    <row r="58" spans="1:15" ht="14.25" customHeight="1" x14ac:dyDescent="0.3">
      <c r="A58" s="2">
        <v>45554</v>
      </c>
      <c r="B58" t="s">
        <v>15</v>
      </c>
      <c r="C58">
        <v>510</v>
      </c>
      <c r="D58">
        <v>514.79999999999995</v>
      </c>
      <c r="E58">
        <v>507.5</v>
      </c>
      <c r="F58">
        <v>507.35</v>
      </c>
      <c r="G58">
        <v>508.6</v>
      </c>
      <c r="H58">
        <v>508.25</v>
      </c>
      <c r="I58">
        <v>510.59</v>
      </c>
      <c r="J58">
        <v>520.5</v>
      </c>
      <c r="K58">
        <v>399.35</v>
      </c>
      <c r="L58" s="4">
        <v>13925311</v>
      </c>
      <c r="M58" s="3">
        <v>7110066899.1000004</v>
      </c>
      <c r="N58" s="4">
        <v>226927</v>
      </c>
      <c r="O58">
        <f t="shared" si="0"/>
        <v>1.7739233270917063E-3</v>
      </c>
    </row>
    <row r="59" spans="1:15" ht="14.25" customHeight="1" x14ac:dyDescent="0.3">
      <c r="A59" s="2">
        <v>45555</v>
      </c>
      <c r="B59" t="s">
        <v>15</v>
      </c>
      <c r="C59">
        <v>512</v>
      </c>
      <c r="D59">
        <v>517.35</v>
      </c>
      <c r="E59">
        <v>508</v>
      </c>
      <c r="F59">
        <v>508.25</v>
      </c>
      <c r="G59">
        <v>514.15</v>
      </c>
      <c r="H59">
        <v>514.4</v>
      </c>
      <c r="I59">
        <v>513.97</v>
      </c>
      <c r="J59">
        <v>520.5</v>
      </c>
      <c r="K59">
        <v>399.35</v>
      </c>
      <c r="L59" s="4">
        <v>23808194</v>
      </c>
      <c r="M59" s="3">
        <v>12236758568.15</v>
      </c>
      <c r="N59" s="4">
        <v>231527</v>
      </c>
      <c r="O59">
        <f t="shared" si="0"/>
        <v>1.2100344318740732E-2</v>
      </c>
    </row>
    <row r="60" spans="1:15" ht="14.25" customHeight="1" x14ac:dyDescent="0.3">
      <c r="A60" s="2">
        <v>45558</v>
      </c>
      <c r="B60" t="s">
        <v>15</v>
      </c>
      <c r="C60">
        <v>515.45000000000005</v>
      </c>
      <c r="D60">
        <v>519.45000000000005</v>
      </c>
      <c r="E60">
        <v>513.6</v>
      </c>
      <c r="F60">
        <v>514.4</v>
      </c>
      <c r="G60">
        <v>516.75</v>
      </c>
      <c r="H60">
        <v>516.95000000000005</v>
      </c>
      <c r="I60">
        <v>516.88</v>
      </c>
      <c r="J60">
        <v>520.5</v>
      </c>
      <c r="K60">
        <v>399.35</v>
      </c>
      <c r="L60" s="4">
        <v>7804918</v>
      </c>
      <c r="M60" s="3">
        <v>4034241784</v>
      </c>
      <c r="N60" s="4">
        <v>130984</v>
      </c>
      <c r="O60">
        <f t="shared" si="0"/>
        <v>4.9572317262831806E-3</v>
      </c>
    </row>
    <row r="61" spans="1:15" ht="14.25" customHeight="1" x14ac:dyDescent="0.3">
      <c r="A61" s="2">
        <v>45559</v>
      </c>
      <c r="B61" t="s">
        <v>15</v>
      </c>
      <c r="C61">
        <v>517</v>
      </c>
      <c r="D61">
        <v>517.79999999999995</v>
      </c>
      <c r="E61">
        <v>514.15</v>
      </c>
      <c r="F61">
        <v>516.95000000000005</v>
      </c>
      <c r="G61">
        <v>515.5</v>
      </c>
      <c r="H61">
        <v>515.25</v>
      </c>
      <c r="I61">
        <v>515.47</v>
      </c>
      <c r="J61">
        <v>520.5</v>
      </c>
      <c r="K61">
        <v>399.35</v>
      </c>
      <c r="L61" s="4">
        <v>6755320</v>
      </c>
      <c r="M61" s="3">
        <v>3482195547.4000001</v>
      </c>
      <c r="N61" s="4">
        <v>121014</v>
      </c>
      <c r="O61">
        <f t="shared" si="0"/>
        <v>-3.2885191991489414E-3</v>
      </c>
    </row>
    <row r="62" spans="1:15" ht="14.25" customHeight="1" x14ac:dyDescent="0.3">
      <c r="A62" s="2">
        <v>45560</v>
      </c>
      <c r="B62" t="s">
        <v>15</v>
      </c>
      <c r="C62">
        <v>515.5</v>
      </c>
      <c r="D62">
        <v>519.29999999999995</v>
      </c>
      <c r="E62">
        <v>512.29999999999995</v>
      </c>
      <c r="F62">
        <v>515.25</v>
      </c>
      <c r="G62">
        <v>517.65</v>
      </c>
      <c r="H62">
        <v>517.54999999999995</v>
      </c>
      <c r="I62">
        <v>515.66999999999996</v>
      </c>
      <c r="J62">
        <v>520.5</v>
      </c>
      <c r="K62">
        <v>399.35</v>
      </c>
      <c r="L62" s="4">
        <v>8476223</v>
      </c>
      <c r="M62" s="3">
        <v>4370974903.1999998</v>
      </c>
      <c r="N62" s="4">
        <v>155236</v>
      </c>
      <c r="O62">
        <f t="shared" si="0"/>
        <v>4.4638524987869084E-3</v>
      </c>
    </row>
    <row r="63" spans="1:15" ht="14.25" customHeight="1" x14ac:dyDescent="0.3">
      <c r="A63" s="2">
        <v>45561</v>
      </c>
      <c r="B63" t="s">
        <v>15</v>
      </c>
      <c r="C63">
        <v>517.65</v>
      </c>
      <c r="D63">
        <v>523.75</v>
      </c>
      <c r="E63">
        <v>517</v>
      </c>
      <c r="F63">
        <v>517.54999999999995</v>
      </c>
      <c r="G63">
        <v>522.25</v>
      </c>
      <c r="H63">
        <v>522.75</v>
      </c>
      <c r="I63">
        <v>521.19000000000005</v>
      </c>
      <c r="J63">
        <v>523.75</v>
      </c>
      <c r="K63">
        <v>399.35</v>
      </c>
      <c r="L63" s="4">
        <v>15489991</v>
      </c>
      <c r="M63" s="3">
        <v>8073186016.75</v>
      </c>
      <c r="N63" s="4">
        <v>203237</v>
      </c>
      <c r="O63">
        <f t="shared" si="0"/>
        <v>1.0047338421408649E-2</v>
      </c>
    </row>
    <row r="64" spans="1:15" ht="14.25" customHeight="1" x14ac:dyDescent="0.3">
      <c r="A64" s="2">
        <v>45562</v>
      </c>
      <c r="B64" t="s">
        <v>15</v>
      </c>
      <c r="C64">
        <v>520.25</v>
      </c>
      <c r="D64">
        <v>528.5</v>
      </c>
      <c r="E64">
        <v>520.25</v>
      </c>
      <c r="F64">
        <v>522.75</v>
      </c>
      <c r="G64">
        <v>521.70000000000005</v>
      </c>
      <c r="H64">
        <v>522.70000000000005</v>
      </c>
      <c r="I64">
        <v>524.14</v>
      </c>
      <c r="J64">
        <v>528.5</v>
      </c>
      <c r="K64">
        <v>399.35</v>
      </c>
      <c r="L64" s="4">
        <v>17251962</v>
      </c>
      <c r="M64" s="3">
        <v>9042361720.1499996</v>
      </c>
      <c r="N64" s="4">
        <v>169240</v>
      </c>
      <c r="O64">
        <f t="shared" si="0"/>
        <v>-9.5648015303595457E-5</v>
      </c>
    </row>
    <row r="65" spans="1:15" ht="14.25" customHeight="1" x14ac:dyDescent="0.3">
      <c r="A65" s="2">
        <v>45565</v>
      </c>
      <c r="B65" t="s">
        <v>15</v>
      </c>
      <c r="C65">
        <v>520.6</v>
      </c>
      <c r="D65">
        <v>524.35</v>
      </c>
      <c r="E65">
        <v>514.04999999999995</v>
      </c>
      <c r="F65">
        <v>522.70000000000005</v>
      </c>
      <c r="G65">
        <v>518.25</v>
      </c>
      <c r="H65">
        <v>518.15</v>
      </c>
      <c r="I65">
        <v>518.55999999999995</v>
      </c>
      <c r="J65">
        <v>528.5</v>
      </c>
      <c r="K65">
        <v>399.35</v>
      </c>
      <c r="L65" s="4">
        <v>10531347</v>
      </c>
      <c r="M65" s="3">
        <v>5461148445.1000004</v>
      </c>
      <c r="N65" s="4">
        <v>163844</v>
      </c>
      <c r="O65">
        <f t="shared" si="0"/>
        <v>-8.7048019896691555E-3</v>
      </c>
    </row>
    <row r="66" spans="1:15" ht="14.25" customHeight="1" x14ac:dyDescent="0.3">
      <c r="A66" s="2">
        <v>45566</v>
      </c>
      <c r="B66" t="s">
        <v>15</v>
      </c>
      <c r="C66">
        <v>518.15</v>
      </c>
      <c r="D66">
        <v>519.75</v>
      </c>
      <c r="E66">
        <v>514</v>
      </c>
      <c r="F66">
        <v>518.15</v>
      </c>
      <c r="G66">
        <v>516.5</v>
      </c>
      <c r="H66">
        <v>516.20000000000005</v>
      </c>
      <c r="I66">
        <v>515.9</v>
      </c>
      <c r="J66">
        <v>528.5</v>
      </c>
      <c r="K66">
        <v>399.35</v>
      </c>
      <c r="L66" s="4">
        <v>5089315</v>
      </c>
      <c r="M66" s="3">
        <v>2625580578.3499999</v>
      </c>
      <c r="N66" s="4">
        <v>109488</v>
      </c>
      <c r="O66">
        <f t="shared" si="0"/>
        <v>-3.7633889800249578E-3</v>
      </c>
    </row>
    <row r="67" spans="1:15" ht="14.25" customHeight="1" x14ac:dyDescent="0.3">
      <c r="A67" s="2">
        <v>45568</v>
      </c>
      <c r="B67" t="s">
        <v>15</v>
      </c>
      <c r="C67">
        <v>508.55</v>
      </c>
      <c r="D67">
        <v>515.70000000000005</v>
      </c>
      <c r="E67">
        <v>508.1</v>
      </c>
      <c r="F67">
        <v>516.20000000000005</v>
      </c>
      <c r="G67">
        <v>511.75</v>
      </c>
      <c r="H67">
        <v>512.75</v>
      </c>
      <c r="I67">
        <v>512.47</v>
      </c>
      <c r="J67">
        <v>528.5</v>
      </c>
      <c r="K67">
        <v>399.35</v>
      </c>
      <c r="L67" s="4">
        <v>15870147</v>
      </c>
      <c r="M67" s="3">
        <v>8132938477.8999996</v>
      </c>
      <c r="N67" s="4">
        <v>227553</v>
      </c>
      <c r="O67">
        <f t="shared" ref="O67:O130" si="1">(H67-H66)/H66</f>
        <v>-6.6834560247966777E-3</v>
      </c>
    </row>
    <row r="68" spans="1:15" ht="14.25" customHeight="1" x14ac:dyDescent="0.3">
      <c r="A68" s="2">
        <v>45569</v>
      </c>
      <c r="B68" t="s">
        <v>15</v>
      </c>
      <c r="C68">
        <v>510</v>
      </c>
      <c r="D68">
        <v>517.35</v>
      </c>
      <c r="E68">
        <v>501.55</v>
      </c>
      <c r="F68">
        <v>512.75</v>
      </c>
      <c r="G68">
        <v>504.75</v>
      </c>
      <c r="H68">
        <v>503.55</v>
      </c>
      <c r="I68">
        <v>509.93</v>
      </c>
      <c r="J68">
        <v>528.5</v>
      </c>
      <c r="K68">
        <v>399.35</v>
      </c>
      <c r="L68" s="4">
        <v>18228912</v>
      </c>
      <c r="M68" s="3">
        <v>9295409035.5</v>
      </c>
      <c r="N68" s="4">
        <v>292636</v>
      </c>
      <c r="O68">
        <f t="shared" si="1"/>
        <v>-1.7942467089224746E-2</v>
      </c>
    </row>
    <row r="69" spans="1:15" ht="14.25" customHeight="1" x14ac:dyDescent="0.3">
      <c r="A69" s="2">
        <v>45572</v>
      </c>
      <c r="B69" t="s">
        <v>15</v>
      </c>
      <c r="C69">
        <v>507</v>
      </c>
      <c r="D69">
        <v>514.95000000000005</v>
      </c>
      <c r="E69">
        <v>506.75</v>
      </c>
      <c r="F69">
        <v>503.55</v>
      </c>
      <c r="G69">
        <v>510</v>
      </c>
      <c r="H69">
        <v>510.2</v>
      </c>
      <c r="I69">
        <v>511.03</v>
      </c>
      <c r="J69">
        <v>528.5</v>
      </c>
      <c r="K69">
        <v>399.35</v>
      </c>
      <c r="L69" s="4">
        <v>16479772</v>
      </c>
      <c r="M69" s="3">
        <v>8421688874.4499998</v>
      </c>
      <c r="N69" s="4">
        <v>216682</v>
      </c>
      <c r="O69">
        <f t="shared" si="1"/>
        <v>1.320623572634292E-2</v>
      </c>
    </row>
    <row r="70" spans="1:15" ht="14.25" customHeight="1" x14ac:dyDescent="0.3">
      <c r="A70" s="2">
        <v>45573</v>
      </c>
      <c r="B70" t="s">
        <v>15</v>
      </c>
      <c r="C70">
        <v>510</v>
      </c>
      <c r="D70">
        <v>512.54999999999995</v>
      </c>
      <c r="E70">
        <v>506</v>
      </c>
      <c r="F70">
        <v>510.2</v>
      </c>
      <c r="G70">
        <v>508.5</v>
      </c>
      <c r="H70">
        <v>507.95</v>
      </c>
      <c r="I70">
        <v>508.84</v>
      </c>
      <c r="J70">
        <v>528.5</v>
      </c>
      <c r="K70">
        <v>399.35</v>
      </c>
      <c r="L70" s="4">
        <v>9502367</v>
      </c>
      <c r="M70" s="3">
        <v>4835222369.0500002</v>
      </c>
      <c r="N70" s="4">
        <v>140127</v>
      </c>
      <c r="O70">
        <f t="shared" si="1"/>
        <v>-4.4100352802822424E-3</v>
      </c>
    </row>
    <row r="71" spans="1:15" ht="14.25" customHeight="1" x14ac:dyDescent="0.3">
      <c r="A71" s="2">
        <v>45574</v>
      </c>
      <c r="B71" t="s">
        <v>15</v>
      </c>
      <c r="C71">
        <v>509.8</v>
      </c>
      <c r="D71">
        <v>509.8</v>
      </c>
      <c r="E71">
        <v>490.55</v>
      </c>
      <c r="F71">
        <v>507.95</v>
      </c>
      <c r="G71">
        <v>492.5</v>
      </c>
      <c r="H71">
        <v>491.7</v>
      </c>
      <c r="I71">
        <v>499.12</v>
      </c>
      <c r="J71">
        <v>528.5</v>
      </c>
      <c r="K71">
        <v>399.35</v>
      </c>
      <c r="L71" s="4">
        <v>23952459</v>
      </c>
      <c r="M71" s="3">
        <v>11955185952.75</v>
      </c>
      <c r="N71" s="4">
        <v>278280</v>
      </c>
      <c r="O71">
        <f t="shared" si="1"/>
        <v>-3.1991337730091544E-2</v>
      </c>
    </row>
    <row r="72" spans="1:15" ht="14.25" customHeight="1" x14ac:dyDescent="0.3">
      <c r="A72" s="2">
        <v>45575</v>
      </c>
      <c r="B72" t="s">
        <v>15</v>
      </c>
      <c r="C72">
        <v>495.35</v>
      </c>
      <c r="D72">
        <v>495.65</v>
      </c>
      <c r="E72">
        <v>489.45</v>
      </c>
      <c r="F72">
        <v>491.7</v>
      </c>
      <c r="G72">
        <v>493</v>
      </c>
      <c r="H72">
        <v>492.05</v>
      </c>
      <c r="I72">
        <v>492.72</v>
      </c>
      <c r="J72">
        <v>528.5</v>
      </c>
      <c r="K72">
        <v>399.35</v>
      </c>
      <c r="L72" s="4">
        <v>12799333</v>
      </c>
      <c r="M72" s="3">
        <v>6306480747.25</v>
      </c>
      <c r="N72" s="4">
        <v>199193</v>
      </c>
      <c r="O72">
        <f t="shared" si="1"/>
        <v>7.1181614805780505E-4</v>
      </c>
    </row>
    <row r="73" spans="1:15" ht="14.25" customHeight="1" x14ac:dyDescent="0.3">
      <c r="A73" s="2">
        <v>45576</v>
      </c>
      <c r="B73" t="s">
        <v>15</v>
      </c>
      <c r="C73">
        <v>493</v>
      </c>
      <c r="D73">
        <v>493.95</v>
      </c>
      <c r="E73">
        <v>487.4</v>
      </c>
      <c r="F73">
        <v>492.05</v>
      </c>
      <c r="G73">
        <v>488.95</v>
      </c>
      <c r="H73">
        <v>488.2</v>
      </c>
      <c r="I73">
        <v>489.06</v>
      </c>
      <c r="J73">
        <v>528.5</v>
      </c>
      <c r="K73">
        <v>399.35</v>
      </c>
      <c r="L73" s="4">
        <v>14394986</v>
      </c>
      <c r="M73" s="3">
        <v>7039978268.8999996</v>
      </c>
      <c r="N73" s="4">
        <v>158339</v>
      </c>
      <c r="O73">
        <f t="shared" si="1"/>
        <v>-7.8244080886089272E-3</v>
      </c>
    </row>
    <row r="74" spans="1:15" ht="14.25" customHeight="1" x14ac:dyDescent="0.3">
      <c r="A74" s="2">
        <v>45579</v>
      </c>
      <c r="B74" t="s">
        <v>15</v>
      </c>
      <c r="C74">
        <v>491</v>
      </c>
      <c r="D74">
        <v>499</v>
      </c>
      <c r="E74">
        <v>488.65</v>
      </c>
      <c r="F74">
        <v>488.2</v>
      </c>
      <c r="G74">
        <v>496.75</v>
      </c>
      <c r="H74">
        <v>496.95</v>
      </c>
      <c r="I74">
        <v>495.16</v>
      </c>
      <c r="J74">
        <v>528.5</v>
      </c>
      <c r="K74">
        <v>399.35</v>
      </c>
      <c r="L74" s="4">
        <v>6712103</v>
      </c>
      <c r="M74" s="3">
        <v>3323590493.5500002</v>
      </c>
      <c r="N74" s="4">
        <v>128200</v>
      </c>
      <c r="O74">
        <f t="shared" si="1"/>
        <v>1.7922982384268742E-2</v>
      </c>
    </row>
    <row r="75" spans="1:15" ht="14.25" customHeight="1" x14ac:dyDescent="0.3">
      <c r="A75" s="2">
        <v>45580</v>
      </c>
      <c r="B75" t="s">
        <v>15</v>
      </c>
      <c r="C75">
        <v>498</v>
      </c>
      <c r="D75">
        <v>499.4</v>
      </c>
      <c r="E75">
        <v>494.5</v>
      </c>
      <c r="F75">
        <v>496.95</v>
      </c>
      <c r="G75">
        <v>498</v>
      </c>
      <c r="H75">
        <v>498.55</v>
      </c>
      <c r="I75">
        <v>497.33</v>
      </c>
      <c r="J75">
        <v>528.5</v>
      </c>
      <c r="K75">
        <v>399.35</v>
      </c>
      <c r="L75" s="4">
        <v>8037662</v>
      </c>
      <c r="M75" s="3">
        <v>3997396320.9499998</v>
      </c>
      <c r="N75" s="4">
        <v>118170</v>
      </c>
      <c r="O75">
        <f t="shared" si="1"/>
        <v>3.2196398027971077E-3</v>
      </c>
    </row>
    <row r="76" spans="1:15" ht="14.25" customHeight="1" x14ac:dyDescent="0.3">
      <c r="A76" s="2">
        <v>45581</v>
      </c>
      <c r="B76" t="s">
        <v>15</v>
      </c>
      <c r="C76">
        <v>496</v>
      </c>
      <c r="D76">
        <v>498.85</v>
      </c>
      <c r="E76">
        <v>492.35</v>
      </c>
      <c r="F76">
        <v>498.55</v>
      </c>
      <c r="G76">
        <v>493.1</v>
      </c>
      <c r="H76">
        <v>493.2</v>
      </c>
      <c r="I76">
        <v>495.3</v>
      </c>
      <c r="J76">
        <v>528.5</v>
      </c>
      <c r="K76">
        <v>399.35</v>
      </c>
      <c r="L76" s="4">
        <v>6682083</v>
      </c>
      <c r="M76" s="3">
        <v>3309653123.1999998</v>
      </c>
      <c r="N76" s="4">
        <v>117691</v>
      </c>
      <c r="O76">
        <f t="shared" si="1"/>
        <v>-1.0731120248721337E-2</v>
      </c>
    </row>
    <row r="77" spans="1:15" ht="14.25" customHeight="1" x14ac:dyDescent="0.3">
      <c r="A77" s="2">
        <v>45582</v>
      </c>
      <c r="B77" t="s">
        <v>15</v>
      </c>
      <c r="C77">
        <v>495</v>
      </c>
      <c r="D77">
        <v>495</v>
      </c>
      <c r="E77">
        <v>488</v>
      </c>
      <c r="F77">
        <v>493.2</v>
      </c>
      <c r="G77">
        <v>489</v>
      </c>
      <c r="H77">
        <v>488.9</v>
      </c>
      <c r="I77">
        <v>490.71</v>
      </c>
      <c r="J77">
        <v>528.5</v>
      </c>
      <c r="K77">
        <v>399.35</v>
      </c>
      <c r="L77" s="4">
        <v>7385299</v>
      </c>
      <c r="M77" s="3">
        <v>3624029088.4499998</v>
      </c>
      <c r="N77" s="4">
        <v>106788</v>
      </c>
      <c r="O77">
        <f t="shared" si="1"/>
        <v>-8.7185725871857488E-3</v>
      </c>
    </row>
    <row r="78" spans="1:15" ht="14.25" customHeight="1" x14ac:dyDescent="0.3">
      <c r="A78" s="2">
        <v>45583</v>
      </c>
      <c r="B78" t="s">
        <v>15</v>
      </c>
      <c r="C78">
        <v>488.75</v>
      </c>
      <c r="D78">
        <v>491.55</v>
      </c>
      <c r="E78">
        <v>478.4</v>
      </c>
      <c r="F78">
        <v>488.9</v>
      </c>
      <c r="G78">
        <v>486.15</v>
      </c>
      <c r="H78">
        <v>486.7</v>
      </c>
      <c r="I78">
        <v>482.63</v>
      </c>
      <c r="J78">
        <v>528.5</v>
      </c>
      <c r="K78">
        <v>399.35</v>
      </c>
      <c r="L78" s="4">
        <v>21778099</v>
      </c>
      <c r="M78" s="3">
        <v>10510819521.049999</v>
      </c>
      <c r="N78" s="4">
        <v>189101</v>
      </c>
      <c r="O78">
        <f t="shared" si="1"/>
        <v>-4.4998977295970313E-3</v>
      </c>
    </row>
    <row r="79" spans="1:15" ht="14.25" customHeight="1" x14ac:dyDescent="0.3">
      <c r="A79" s="2">
        <v>45586</v>
      </c>
      <c r="B79" t="s">
        <v>15</v>
      </c>
      <c r="C79">
        <v>486.7</v>
      </c>
      <c r="D79">
        <v>487.6</v>
      </c>
      <c r="E79">
        <v>477.35</v>
      </c>
      <c r="F79">
        <v>486.7</v>
      </c>
      <c r="G79">
        <v>483.1</v>
      </c>
      <c r="H79">
        <v>483.65</v>
      </c>
      <c r="I79">
        <v>483.4</v>
      </c>
      <c r="J79">
        <v>528.5</v>
      </c>
      <c r="K79">
        <v>399.35</v>
      </c>
      <c r="L79" s="4">
        <v>7395274</v>
      </c>
      <c r="M79" s="3">
        <v>3574875531.8499999</v>
      </c>
      <c r="N79" s="4">
        <v>135775</v>
      </c>
      <c r="O79">
        <f t="shared" si="1"/>
        <v>-6.2666940620505684E-3</v>
      </c>
    </row>
    <row r="80" spans="1:15" ht="14.25" customHeight="1" x14ac:dyDescent="0.3">
      <c r="A80" s="2">
        <v>45587</v>
      </c>
      <c r="B80" t="s">
        <v>15</v>
      </c>
      <c r="C80">
        <v>483.65</v>
      </c>
      <c r="D80">
        <v>488.4</v>
      </c>
      <c r="E80">
        <v>480.8</v>
      </c>
      <c r="F80">
        <v>483.65</v>
      </c>
      <c r="G80">
        <v>482.5</v>
      </c>
      <c r="H80">
        <v>481.8</v>
      </c>
      <c r="I80">
        <v>483.8</v>
      </c>
      <c r="J80">
        <v>528.5</v>
      </c>
      <c r="K80">
        <v>399.35</v>
      </c>
      <c r="L80" s="4">
        <v>12299288</v>
      </c>
      <c r="M80" s="3">
        <v>5950454269.8000002</v>
      </c>
      <c r="N80" s="4">
        <v>194079</v>
      </c>
      <c r="O80">
        <f t="shared" si="1"/>
        <v>-3.8250801199213604E-3</v>
      </c>
    </row>
    <row r="81" spans="1:15" ht="14.25" customHeight="1" x14ac:dyDescent="0.3">
      <c r="A81" s="2">
        <v>45588</v>
      </c>
      <c r="B81" t="s">
        <v>15</v>
      </c>
      <c r="C81">
        <v>481</v>
      </c>
      <c r="D81">
        <v>483.3</v>
      </c>
      <c r="E81">
        <v>479.5</v>
      </c>
      <c r="F81">
        <v>481.8</v>
      </c>
      <c r="G81">
        <v>480.7</v>
      </c>
      <c r="H81">
        <v>480.35</v>
      </c>
      <c r="I81">
        <v>480.88</v>
      </c>
      <c r="J81">
        <v>528.5</v>
      </c>
      <c r="K81">
        <v>399.35</v>
      </c>
      <c r="L81" s="4">
        <v>10162570</v>
      </c>
      <c r="M81" s="3">
        <v>4887014877.4499998</v>
      </c>
      <c r="N81" s="4">
        <v>130143</v>
      </c>
      <c r="O81">
        <f t="shared" si="1"/>
        <v>-3.0095475300954515E-3</v>
      </c>
    </row>
    <row r="82" spans="1:15" ht="14.25" customHeight="1" x14ac:dyDescent="0.3">
      <c r="A82" s="2">
        <v>45589</v>
      </c>
      <c r="B82" t="s">
        <v>15</v>
      </c>
      <c r="C82">
        <v>482</v>
      </c>
      <c r="D82">
        <v>482.4</v>
      </c>
      <c r="E82">
        <v>470</v>
      </c>
      <c r="F82">
        <v>480.35</v>
      </c>
      <c r="G82">
        <v>470.7</v>
      </c>
      <c r="H82">
        <v>471.7</v>
      </c>
      <c r="I82">
        <v>474.32</v>
      </c>
      <c r="J82">
        <v>528.5</v>
      </c>
      <c r="K82">
        <v>399.35</v>
      </c>
      <c r="L82" s="4">
        <v>13092399</v>
      </c>
      <c r="M82" s="3">
        <v>6209965225.1999998</v>
      </c>
      <c r="N82" s="4">
        <v>240152</v>
      </c>
      <c r="O82">
        <f t="shared" si="1"/>
        <v>-1.8007702716769092E-2</v>
      </c>
    </row>
    <row r="83" spans="1:15" ht="14.25" customHeight="1" x14ac:dyDescent="0.3">
      <c r="A83" s="2">
        <v>45590</v>
      </c>
      <c r="B83" t="s">
        <v>15</v>
      </c>
      <c r="C83">
        <v>475.8</v>
      </c>
      <c r="D83">
        <v>493.5</v>
      </c>
      <c r="E83">
        <v>474.2</v>
      </c>
      <c r="F83">
        <v>471.7</v>
      </c>
      <c r="G83">
        <v>482.25</v>
      </c>
      <c r="H83">
        <v>482.3</v>
      </c>
      <c r="I83">
        <v>486.29</v>
      </c>
      <c r="J83">
        <v>528.5</v>
      </c>
      <c r="K83">
        <v>399.35</v>
      </c>
      <c r="L83" s="4">
        <v>30961625</v>
      </c>
      <c r="M83" s="3">
        <v>15056261874</v>
      </c>
      <c r="N83" s="4">
        <v>379810</v>
      </c>
      <c r="O83">
        <f t="shared" si="1"/>
        <v>2.2471910112359599E-2</v>
      </c>
    </row>
    <row r="84" spans="1:15" ht="14.25" customHeight="1" x14ac:dyDescent="0.3">
      <c r="A84" s="2">
        <v>45593</v>
      </c>
      <c r="B84" t="s">
        <v>15</v>
      </c>
      <c r="C84">
        <v>481.95</v>
      </c>
      <c r="D84">
        <v>485.9</v>
      </c>
      <c r="E84">
        <v>476</v>
      </c>
      <c r="F84">
        <v>482.3</v>
      </c>
      <c r="G84">
        <v>484</v>
      </c>
      <c r="H84">
        <v>484.15</v>
      </c>
      <c r="I84">
        <v>482.79</v>
      </c>
      <c r="J84">
        <v>528.5</v>
      </c>
      <c r="K84">
        <v>399.35</v>
      </c>
      <c r="L84" s="4">
        <v>8614446</v>
      </c>
      <c r="M84" s="3">
        <v>4158985648.8499999</v>
      </c>
      <c r="N84" s="4">
        <v>113970</v>
      </c>
      <c r="O84">
        <f t="shared" si="1"/>
        <v>3.8357868546547084E-3</v>
      </c>
    </row>
    <row r="85" spans="1:15" ht="14.25" customHeight="1" x14ac:dyDescent="0.3">
      <c r="A85" s="2">
        <v>45594</v>
      </c>
      <c r="B85" t="s">
        <v>15</v>
      </c>
      <c r="C85">
        <v>485</v>
      </c>
      <c r="D85">
        <v>489.2</v>
      </c>
      <c r="E85">
        <v>481.3</v>
      </c>
      <c r="F85">
        <v>484.15</v>
      </c>
      <c r="G85">
        <v>488</v>
      </c>
      <c r="H85">
        <v>487.95</v>
      </c>
      <c r="I85">
        <v>486.12</v>
      </c>
      <c r="J85">
        <v>528.5</v>
      </c>
      <c r="K85">
        <v>399.35</v>
      </c>
      <c r="L85" s="4">
        <v>6866704</v>
      </c>
      <c r="M85" s="3">
        <v>3338033179.6500001</v>
      </c>
      <c r="N85" s="4">
        <v>111564</v>
      </c>
      <c r="O85">
        <f t="shared" si="1"/>
        <v>7.8488071878550277E-3</v>
      </c>
    </row>
    <row r="86" spans="1:15" ht="14.25" customHeight="1" x14ac:dyDescent="0.3">
      <c r="A86" s="2">
        <v>45595</v>
      </c>
      <c r="B86" t="s">
        <v>15</v>
      </c>
      <c r="C86">
        <v>487.95</v>
      </c>
      <c r="D86">
        <v>493.25</v>
      </c>
      <c r="E86">
        <v>486.5</v>
      </c>
      <c r="F86">
        <v>487.95</v>
      </c>
      <c r="G86">
        <v>491.8</v>
      </c>
      <c r="H86">
        <v>491.55</v>
      </c>
      <c r="I86">
        <v>490.85</v>
      </c>
      <c r="J86">
        <v>528.5</v>
      </c>
      <c r="K86">
        <v>399.35</v>
      </c>
      <c r="L86" s="4">
        <v>6393835</v>
      </c>
      <c r="M86" s="3">
        <v>3138398995.8499999</v>
      </c>
      <c r="N86" s="4">
        <v>92835</v>
      </c>
      <c r="O86">
        <f t="shared" si="1"/>
        <v>7.3778051029819098E-3</v>
      </c>
    </row>
    <row r="87" spans="1:15" ht="14.25" customHeight="1" x14ac:dyDescent="0.3">
      <c r="A87" s="2">
        <v>45596</v>
      </c>
      <c r="B87" t="s">
        <v>15</v>
      </c>
      <c r="C87">
        <v>492</v>
      </c>
      <c r="D87">
        <v>493</v>
      </c>
      <c r="E87">
        <v>484.7</v>
      </c>
      <c r="F87">
        <v>491.55</v>
      </c>
      <c r="G87">
        <v>489.25</v>
      </c>
      <c r="H87">
        <v>488.8</v>
      </c>
      <c r="I87">
        <v>487.8</v>
      </c>
      <c r="J87">
        <v>528.5</v>
      </c>
      <c r="K87">
        <v>399.35</v>
      </c>
      <c r="L87" s="4">
        <v>7810874</v>
      </c>
      <c r="M87" s="3">
        <v>3810127063.4000001</v>
      </c>
      <c r="N87" s="4">
        <v>161609</v>
      </c>
      <c r="O87">
        <f t="shared" si="1"/>
        <v>-5.5945478588139558E-3</v>
      </c>
    </row>
    <row r="88" spans="1:15" ht="14.25" customHeight="1" x14ac:dyDescent="0.3">
      <c r="A88" s="2">
        <v>45597</v>
      </c>
      <c r="B88" t="s">
        <v>15</v>
      </c>
      <c r="C88">
        <v>491</v>
      </c>
      <c r="D88">
        <v>492.1</v>
      </c>
      <c r="E88">
        <v>489.3</v>
      </c>
      <c r="F88">
        <v>488.8</v>
      </c>
      <c r="G88">
        <v>489.95</v>
      </c>
      <c r="H88">
        <v>490.3</v>
      </c>
      <c r="I88">
        <v>490.89</v>
      </c>
      <c r="J88">
        <v>528.5</v>
      </c>
      <c r="K88">
        <v>399.35</v>
      </c>
      <c r="L88" s="4">
        <v>1461602</v>
      </c>
      <c r="M88" s="3">
        <v>717491831.89999998</v>
      </c>
      <c r="N88" s="4">
        <v>54687</v>
      </c>
      <c r="O88">
        <f t="shared" si="1"/>
        <v>3.0687397708674302E-3</v>
      </c>
    </row>
    <row r="89" spans="1:15" ht="14.25" customHeight="1" x14ac:dyDescent="0.3">
      <c r="A89" s="2">
        <v>45600</v>
      </c>
      <c r="B89" t="s">
        <v>15</v>
      </c>
      <c r="C89">
        <v>493.45</v>
      </c>
      <c r="D89">
        <v>493.45</v>
      </c>
      <c r="E89">
        <v>479.55</v>
      </c>
      <c r="F89">
        <v>490.3</v>
      </c>
      <c r="G89">
        <v>485.25</v>
      </c>
      <c r="H89">
        <v>484.6</v>
      </c>
      <c r="I89">
        <v>483.55</v>
      </c>
      <c r="J89">
        <v>528.5</v>
      </c>
      <c r="K89">
        <v>399.35</v>
      </c>
      <c r="L89" s="4">
        <v>8429731</v>
      </c>
      <c r="M89" s="3">
        <v>4076159422.9000001</v>
      </c>
      <c r="N89" s="4">
        <v>170904</v>
      </c>
      <c r="O89">
        <f t="shared" si="1"/>
        <v>-1.162553538649804E-2</v>
      </c>
    </row>
    <row r="90" spans="1:15" ht="14.25" customHeight="1" x14ac:dyDescent="0.3">
      <c r="A90" s="2">
        <v>45601</v>
      </c>
      <c r="B90" t="s">
        <v>15</v>
      </c>
      <c r="C90">
        <v>482.95</v>
      </c>
      <c r="D90">
        <v>485.05</v>
      </c>
      <c r="E90">
        <v>476.95</v>
      </c>
      <c r="F90">
        <v>484.6</v>
      </c>
      <c r="G90">
        <v>480.95</v>
      </c>
      <c r="H90">
        <v>480.2</v>
      </c>
      <c r="I90">
        <v>479.98</v>
      </c>
      <c r="J90">
        <v>528.5</v>
      </c>
      <c r="K90">
        <v>399.35</v>
      </c>
      <c r="L90" s="4">
        <v>7327830</v>
      </c>
      <c r="M90" s="3">
        <v>3517242119.0500002</v>
      </c>
      <c r="N90" s="4">
        <v>150450</v>
      </c>
      <c r="O90">
        <f t="shared" si="1"/>
        <v>-9.0796533223277635E-3</v>
      </c>
    </row>
    <row r="91" spans="1:15" ht="14.25" customHeight="1" x14ac:dyDescent="0.3">
      <c r="A91" s="2">
        <v>45602</v>
      </c>
      <c r="B91" t="s">
        <v>15</v>
      </c>
      <c r="C91">
        <v>480.2</v>
      </c>
      <c r="D91">
        <v>484.4</v>
      </c>
      <c r="E91">
        <v>478</v>
      </c>
      <c r="F91">
        <v>480.2</v>
      </c>
      <c r="G91">
        <v>481.95</v>
      </c>
      <c r="H91">
        <v>481.1</v>
      </c>
      <c r="I91">
        <v>480.83</v>
      </c>
      <c r="J91">
        <v>528.5</v>
      </c>
      <c r="K91">
        <v>399.35</v>
      </c>
      <c r="L91" s="4">
        <v>11313985</v>
      </c>
      <c r="M91" s="3">
        <v>5440109205.5500002</v>
      </c>
      <c r="N91" s="4">
        <v>140673</v>
      </c>
      <c r="O91">
        <f t="shared" si="1"/>
        <v>1.8742190753853272E-3</v>
      </c>
    </row>
    <row r="92" spans="1:15" ht="14.25" customHeight="1" x14ac:dyDescent="0.3">
      <c r="A92" s="2">
        <v>45603</v>
      </c>
      <c r="B92" t="s">
        <v>15</v>
      </c>
      <c r="C92">
        <v>481.75</v>
      </c>
      <c r="D92">
        <v>482.7</v>
      </c>
      <c r="E92">
        <v>476.1</v>
      </c>
      <c r="F92">
        <v>481.1</v>
      </c>
      <c r="G92">
        <v>478</v>
      </c>
      <c r="H92">
        <v>477.9</v>
      </c>
      <c r="I92">
        <v>477.82</v>
      </c>
      <c r="J92">
        <v>528.5</v>
      </c>
      <c r="K92">
        <v>399.35</v>
      </c>
      <c r="L92" s="4">
        <v>8924280</v>
      </c>
      <c r="M92" s="3">
        <v>4264165090.1999998</v>
      </c>
      <c r="N92" s="4">
        <v>132407</v>
      </c>
      <c r="O92">
        <f t="shared" si="1"/>
        <v>-6.651423820411651E-3</v>
      </c>
    </row>
    <row r="93" spans="1:15" ht="14.25" customHeight="1" x14ac:dyDescent="0.3">
      <c r="A93" s="2">
        <v>45604</v>
      </c>
      <c r="B93" t="s">
        <v>15</v>
      </c>
      <c r="C93">
        <v>477.9</v>
      </c>
      <c r="D93">
        <v>480.7</v>
      </c>
      <c r="E93">
        <v>474.6</v>
      </c>
      <c r="F93">
        <v>477.9</v>
      </c>
      <c r="G93">
        <v>478.8</v>
      </c>
      <c r="H93">
        <v>478.05</v>
      </c>
      <c r="I93">
        <v>477.78</v>
      </c>
      <c r="J93">
        <v>528.5</v>
      </c>
      <c r="K93">
        <v>399.35</v>
      </c>
      <c r="L93" s="4">
        <v>6090462</v>
      </c>
      <c r="M93" s="3">
        <v>2909920473.3499999</v>
      </c>
      <c r="N93" s="4">
        <v>105996</v>
      </c>
      <c r="O93">
        <f t="shared" si="1"/>
        <v>3.138731952291988E-4</v>
      </c>
    </row>
    <row r="94" spans="1:15" ht="14.25" customHeight="1" x14ac:dyDescent="0.3">
      <c r="A94" s="2">
        <v>45607</v>
      </c>
      <c r="B94" t="s">
        <v>15</v>
      </c>
      <c r="C94">
        <v>478.05</v>
      </c>
      <c r="D94">
        <v>481.5</v>
      </c>
      <c r="E94">
        <v>474.1</v>
      </c>
      <c r="F94">
        <v>478.05</v>
      </c>
      <c r="G94">
        <v>477.3</v>
      </c>
      <c r="H94">
        <v>476.95</v>
      </c>
      <c r="I94">
        <v>478.38</v>
      </c>
      <c r="J94">
        <v>528.5</v>
      </c>
      <c r="K94">
        <v>399.35</v>
      </c>
      <c r="L94" s="4">
        <v>5488948</v>
      </c>
      <c r="M94" s="3">
        <v>2625814462.6999998</v>
      </c>
      <c r="N94" s="4">
        <v>123605</v>
      </c>
      <c r="O94">
        <f t="shared" si="1"/>
        <v>-2.3010145382282663E-3</v>
      </c>
    </row>
    <row r="95" spans="1:15" ht="14.25" customHeight="1" x14ac:dyDescent="0.3">
      <c r="A95" s="2">
        <v>45608</v>
      </c>
      <c r="B95" t="s">
        <v>15</v>
      </c>
      <c r="C95">
        <v>477.6</v>
      </c>
      <c r="D95">
        <v>477.95</v>
      </c>
      <c r="E95">
        <v>471.15</v>
      </c>
      <c r="F95">
        <v>476.95</v>
      </c>
      <c r="G95">
        <v>471.9</v>
      </c>
      <c r="H95">
        <v>472.85</v>
      </c>
      <c r="I95">
        <v>474.91</v>
      </c>
      <c r="J95">
        <v>528.5</v>
      </c>
      <c r="K95">
        <v>399.35</v>
      </c>
      <c r="L95" s="4">
        <v>5041916</v>
      </c>
      <c r="M95" s="3">
        <v>2394432824.5</v>
      </c>
      <c r="N95" s="4">
        <v>129476</v>
      </c>
      <c r="O95">
        <f t="shared" si="1"/>
        <v>-8.596288919173847E-3</v>
      </c>
    </row>
    <row r="96" spans="1:15" ht="14.25" customHeight="1" x14ac:dyDescent="0.3">
      <c r="A96" s="2">
        <v>45609</v>
      </c>
      <c r="B96" t="s">
        <v>15</v>
      </c>
      <c r="C96">
        <v>470.05</v>
      </c>
      <c r="D96">
        <v>474.7</v>
      </c>
      <c r="E96">
        <v>468.25</v>
      </c>
      <c r="F96">
        <v>472.85</v>
      </c>
      <c r="G96">
        <v>472</v>
      </c>
      <c r="H96">
        <v>472.2</v>
      </c>
      <c r="I96">
        <v>471.96</v>
      </c>
      <c r="J96">
        <v>528.5</v>
      </c>
      <c r="K96">
        <v>399.35</v>
      </c>
      <c r="L96" s="4">
        <v>11120381</v>
      </c>
      <c r="M96" s="3">
        <v>5248410369</v>
      </c>
      <c r="N96" s="4">
        <v>188101</v>
      </c>
      <c r="O96">
        <f t="shared" si="1"/>
        <v>-1.3746431214973756E-3</v>
      </c>
    </row>
    <row r="97" spans="1:15" ht="14.25" customHeight="1" x14ac:dyDescent="0.3">
      <c r="A97" s="2">
        <v>45610</v>
      </c>
      <c r="B97" t="s">
        <v>15</v>
      </c>
      <c r="C97">
        <v>471.2</v>
      </c>
      <c r="D97">
        <v>472.95</v>
      </c>
      <c r="E97">
        <v>462.25</v>
      </c>
      <c r="F97">
        <v>472.2</v>
      </c>
      <c r="G97">
        <v>467</v>
      </c>
      <c r="H97">
        <v>465.95</v>
      </c>
      <c r="I97">
        <v>465.91</v>
      </c>
      <c r="J97">
        <v>528.5</v>
      </c>
      <c r="K97">
        <v>399.35</v>
      </c>
      <c r="L97" s="4">
        <v>11639562</v>
      </c>
      <c r="M97" s="3">
        <v>5422931558.6999998</v>
      </c>
      <c r="N97" s="4">
        <v>230824</v>
      </c>
      <c r="O97">
        <f t="shared" si="1"/>
        <v>-1.3235916984328674E-2</v>
      </c>
    </row>
    <row r="98" spans="1:15" ht="14.25" customHeight="1" x14ac:dyDescent="0.3">
      <c r="A98" s="2">
        <v>45614</v>
      </c>
      <c r="B98" t="s">
        <v>15</v>
      </c>
      <c r="C98">
        <v>466</v>
      </c>
      <c r="D98">
        <v>467.8</v>
      </c>
      <c r="E98">
        <v>462</v>
      </c>
      <c r="F98">
        <v>465.95</v>
      </c>
      <c r="G98">
        <v>467.4</v>
      </c>
      <c r="H98">
        <v>466.55</v>
      </c>
      <c r="I98">
        <v>464.79</v>
      </c>
      <c r="J98">
        <v>528.5</v>
      </c>
      <c r="K98">
        <v>399.35</v>
      </c>
      <c r="L98" s="4">
        <v>8135260</v>
      </c>
      <c r="M98" s="3">
        <v>3781191097.1999998</v>
      </c>
      <c r="N98" s="4">
        <v>183896</v>
      </c>
      <c r="O98">
        <f t="shared" si="1"/>
        <v>1.2876918124262748E-3</v>
      </c>
    </row>
    <row r="99" spans="1:15" ht="14.25" customHeight="1" x14ac:dyDescent="0.3">
      <c r="A99" s="2">
        <v>45615</v>
      </c>
      <c r="B99" t="s">
        <v>15</v>
      </c>
      <c r="C99">
        <v>468</v>
      </c>
      <c r="D99">
        <v>473.75</v>
      </c>
      <c r="E99">
        <v>466.25</v>
      </c>
      <c r="F99">
        <v>466.55</v>
      </c>
      <c r="G99">
        <v>466.6</v>
      </c>
      <c r="H99">
        <v>467.35</v>
      </c>
      <c r="I99">
        <v>471.03</v>
      </c>
      <c r="J99">
        <v>528.5</v>
      </c>
      <c r="K99">
        <v>399.35</v>
      </c>
      <c r="L99" s="4">
        <v>6857374</v>
      </c>
      <c r="M99" s="3">
        <v>3230038399.6500001</v>
      </c>
      <c r="N99" s="4">
        <v>111105</v>
      </c>
      <c r="O99">
        <f t="shared" si="1"/>
        <v>1.7147143928839595E-3</v>
      </c>
    </row>
    <row r="100" spans="1:15" ht="14.25" customHeight="1" x14ac:dyDescent="0.3">
      <c r="A100" s="2">
        <v>45617</v>
      </c>
      <c r="B100" t="s">
        <v>15</v>
      </c>
      <c r="C100">
        <v>461</v>
      </c>
      <c r="D100">
        <v>464.05</v>
      </c>
      <c r="E100">
        <v>455.4</v>
      </c>
      <c r="F100">
        <v>467.35</v>
      </c>
      <c r="G100">
        <v>457</v>
      </c>
      <c r="H100">
        <v>457.15</v>
      </c>
      <c r="I100">
        <v>458.53</v>
      </c>
      <c r="J100">
        <v>528.5</v>
      </c>
      <c r="K100">
        <v>399.35</v>
      </c>
      <c r="L100" s="4">
        <v>19559847</v>
      </c>
      <c r="M100" s="3">
        <v>8968797499.25</v>
      </c>
      <c r="N100" s="4">
        <v>236495</v>
      </c>
      <c r="O100">
        <f t="shared" si="1"/>
        <v>-2.1825184551192992E-2</v>
      </c>
    </row>
    <row r="101" spans="1:15" ht="14.25" customHeight="1" x14ac:dyDescent="0.3">
      <c r="A101" s="2">
        <v>45618</v>
      </c>
      <c r="B101" t="s">
        <v>15</v>
      </c>
      <c r="C101">
        <v>456.2</v>
      </c>
      <c r="D101">
        <v>476.5</v>
      </c>
      <c r="E101">
        <v>455.5</v>
      </c>
      <c r="F101">
        <v>457.15</v>
      </c>
      <c r="G101">
        <v>474</v>
      </c>
      <c r="H101">
        <v>474.65</v>
      </c>
      <c r="I101">
        <v>465.47</v>
      </c>
      <c r="J101">
        <v>528.5</v>
      </c>
      <c r="K101">
        <v>399.35</v>
      </c>
      <c r="L101" s="4">
        <v>19464568</v>
      </c>
      <c r="M101" s="3">
        <v>9060224659.4500008</v>
      </c>
      <c r="N101" s="4">
        <v>178132</v>
      </c>
      <c r="O101">
        <f t="shared" si="1"/>
        <v>3.8280651864814615E-2</v>
      </c>
    </row>
    <row r="102" spans="1:15" ht="14.25" customHeight="1" x14ac:dyDescent="0.3">
      <c r="A102" s="2">
        <v>45621</v>
      </c>
      <c r="B102" t="s">
        <v>15</v>
      </c>
      <c r="C102">
        <v>479</v>
      </c>
      <c r="D102">
        <v>482.2</v>
      </c>
      <c r="E102">
        <v>472.4</v>
      </c>
      <c r="F102">
        <v>474.65</v>
      </c>
      <c r="G102">
        <v>478.15</v>
      </c>
      <c r="H102">
        <v>476.8</v>
      </c>
      <c r="I102">
        <v>476.97</v>
      </c>
      <c r="J102">
        <v>528.5</v>
      </c>
      <c r="K102">
        <v>399.35</v>
      </c>
      <c r="L102" s="4">
        <v>13891991</v>
      </c>
      <c r="M102" s="3">
        <v>6626051098.6499996</v>
      </c>
      <c r="N102" s="4">
        <v>137597</v>
      </c>
      <c r="O102">
        <f t="shared" si="1"/>
        <v>4.5296534288423772E-3</v>
      </c>
    </row>
    <row r="103" spans="1:15" ht="14.25" customHeight="1" x14ac:dyDescent="0.3">
      <c r="A103" s="2">
        <v>45622</v>
      </c>
      <c r="B103" t="s">
        <v>15</v>
      </c>
      <c r="C103">
        <v>480</v>
      </c>
      <c r="D103">
        <v>482.65</v>
      </c>
      <c r="E103">
        <v>474.1</v>
      </c>
      <c r="F103">
        <v>476.8</v>
      </c>
      <c r="G103">
        <v>477</v>
      </c>
      <c r="H103">
        <v>477</v>
      </c>
      <c r="I103">
        <v>476.76</v>
      </c>
      <c r="J103">
        <v>528.5</v>
      </c>
      <c r="K103">
        <v>399.35</v>
      </c>
      <c r="L103" s="4">
        <v>6539846</v>
      </c>
      <c r="M103" s="3">
        <v>3117927466.8000002</v>
      </c>
      <c r="N103" s="4">
        <v>124209</v>
      </c>
      <c r="O103">
        <f t="shared" si="1"/>
        <v>4.1946308724829829E-4</v>
      </c>
    </row>
    <row r="104" spans="1:15" ht="14.25" customHeight="1" x14ac:dyDescent="0.3">
      <c r="A104" s="2">
        <v>45623</v>
      </c>
      <c r="B104" t="s">
        <v>15</v>
      </c>
      <c r="C104">
        <v>477.5</v>
      </c>
      <c r="D104">
        <v>480.1</v>
      </c>
      <c r="E104">
        <v>473</v>
      </c>
      <c r="F104">
        <v>477</v>
      </c>
      <c r="G104">
        <v>476.95</v>
      </c>
      <c r="H104">
        <v>476.95</v>
      </c>
      <c r="I104">
        <v>475.67</v>
      </c>
      <c r="J104">
        <v>528.5</v>
      </c>
      <c r="K104">
        <v>399.35</v>
      </c>
      <c r="L104" s="4">
        <v>7067013</v>
      </c>
      <c r="M104" s="3">
        <v>3361555101.9000001</v>
      </c>
      <c r="N104" s="4">
        <v>92526</v>
      </c>
      <c r="O104">
        <f t="shared" si="1"/>
        <v>-1.0482180293503432E-4</v>
      </c>
    </row>
    <row r="105" spans="1:15" ht="14.25" customHeight="1" x14ac:dyDescent="0.3">
      <c r="A105" s="2">
        <v>45624</v>
      </c>
      <c r="B105" t="s">
        <v>15</v>
      </c>
      <c r="C105">
        <v>477</v>
      </c>
      <c r="D105">
        <v>483.8</v>
      </c>
      <c r="E105">
        <v>470.55</v>
      </c>
      <c r="F105">
        <v>476.95</v>
      </c>
      <c r="G105">
        <v>475.55</v>
      </c>
      <c r="H105">
        <v>474.9</v>
      </c>
      <c r="I105">
        <v>476.02</v>
      </c>
      <c r="J105">
        <v>528.5</v>
      </c>
      <c r="K105">
        <v>399.35</v>
      </c>
      <c r="L105" s="4">
        <v>14412539</v>
      </c>
      <c r="M105" s="3">
        <v>6860590338.25</v>
      </c>
      <c r="N105" s="4">
        <v>197328</v>
      </c>
      <c r="O105">
        <f t="shared" si="1"/>
        <v>-4.2981444595869825E-3</v>
      </c>
    </row>
    <row r="106" spans="1:15" ht="14.25" customHeight="1" x14ac:dyDescent="0.3">
      <c r="A106" s="2">
        <v>45625</v>
      </c>
      <c r="B106" t="s">
        <v>15</v>
      </c>
      <c r="C106">
        <v>473.2</v>
      </c>
      <c r="D106">
        <v>478.9</v>
      </c>
      <c r="E106">
        <v>472.6</v>
      </c>
      <c r="F106">
        <v>474.9</v>
      </c>
      <c r="G106">
        <v>477</v>
      </c>
      <c r="H106">
        <v>476.75</v>
      </c>
      <c r="I106">
        <v>476.39</v>
      </c>
      <c r="J106">
        <v>528.5</v>
      </c>
      <c r="K106">
        <v>399.35</v>
      </c>
      <c r="L106" s="4">
        <v>8346687</v>
      </c>
      <c r="M106" s="3">
        <v>3976306074.0999999</v>
      </c>
      <c r="N106" s="4">
        <v>126718</v>
      </c>
      <c r="O106">
        <f t="shared" si="1"/>
        <v>3.8955569593599132E-3</v>
      </c>
    </row>
    <row r="107" spans="1:15" ht="14.25" customHeight="1" x14ac:dyDescent="0.3">
      <c r="A107" s="2">
        <v>45628</v>
      </c>
      <c r="B107" t="s">
        <v>15</v>
      </c>
      <c r="C107">
        <v>476</v>
      </c>
      <c r="D107">
        <v>479.3</v>
      </c>
      <c r="E107">
        <v>473.4</v>
      </c>
      <c r="F107">
        <v>476.75</v>
      </c>
      <c r="G107">
        <v>477.4</v>
      </c>
      <c r="H107">
        <v>477.2</v>
      </c>
      <c r="I107">
        <v>476.84</v>
      </c>
      <c r="J107">
        <v>528.5</v>
      </c>
      <c r="K107">
        <v>399.35</v>
      </c>
      <c r="L107" s="4">
        <v>5478598</v>
      </c>
      <c r="M107" s="3">
        <v>2612398108.1999998</v>
      </c>
      <c r="N107" s="4">
        <v>105775</v>
      </c>
      <c r="O107">
        <f t="shared" si="1"/>
        <v>9.4389092815938883E-4</v>
      </c>
    </row>
    <row r="108" spans="1:15" ht="14.25" customHeight="1" x14ac:dyDescent="0.3">
      <c r="A108" s="2">
        <v>45629</v>
      </c>
      <c r="B108" t="s">
        <v>15</v>
      </c>
      <c r="C108">
        <v>466</v>
      </c>
      <c r="D108">
        <v>473.4</v>
      </c>
      <c r="E108">
        <v>462.75</v>
      </c>
      <c r="F108">
        <v>477.2</v>
      </c>
      <c r="G108">
        <v>472.55</v>
      </c>
      <c r="H108">
        <v>472.55</v>
      </c>
      <c r="I108">
        <v>469.06</v>
      </c>
      <c r="J108">
        <v>528.5</v>
      </c>
      <c r="K108">
        <v>399.35</v>
      </c>
      <c r="L108" s="4">
        <v>22218251</v>
      </c>
      <c r="M108" s="3">
        <v>10421681081.049999</v>
      </c>
      <c r="N108" s="4">
        <v>289294</v>
      </c>
      <c r="O108">
        <f t="shared" si="1"/>
        <v>-9.7443419949706147E-3</v>
      </c>
    </row>
    <row r="109" spans="1:15" ht="14.25" customHeight="1" x14ac:dyDescent="0.3">
      <c r="A109" s="2">
        <v>45630</v>
      </c>
      <c r="B109" t="s">
        <v>15</v>
      </c>
      <c r="C109">
        <v>474.4</v>
      </c>
      <c r="D109">
        <v>478.2</v>
      </c>
      <c r="E109">
        <v>466.4</v>
      </c>
      <c r="F109">
        <v>472.55</v>
      </c>
      <c r="G109">
        <v>467.2</v>
      </c>
      <c r="H109">
        <v>467.1</v>
      </c>
      <c r="I109">
        <v>470.88</v>
      </c>
      <c r="J109">
        <v>528.5</v>
      </c>
      <c r="K109">
        <v>399.35</v>
      </c>
      <c r="L109" s="4">
        <v>13439484</v>
      </c>
      <c r="M109" s="3">
        <v>6328346244.1499996</v>
      </c>
      <c r="N109" s="4">
        <v>184751</v>
      </c>
      <c r="O109">
        <f t="shared" si="1"/>
        <v>-1.1533171093006007E-2</v>
      </c>
    </row>
    <row r="110" spans="1:15" ht="14.25" customHeight="1" x14ac:dyDescent="0.3">
      <c r="A110" s="2">
        <v>45631</v>
      </c>
      <c r="B110" t="s">
        <v>15</v>
      </c>
      <c r="C110">
        <v>467.55</v>
      </c>
      <c r="D110">
        <v>472.75</v>
      </c>
      <c r="E110">
        <v>462.5</v>
      </c>
      <c r="F110">
        <v>467.1</v>
      </c>
      <c r="G110">
        <v>467.7</v>
      </c>
      <c r="H110">
        <v>467.5</v>
      </c>
      <c r="I110">
        <v>468</v>
      </c>
      <c r="J110">
        <v>528.5</v>
      </c>
      <c r="K110">
        <v>399.35</v>
      </c>
      <c r="L110" s="4">
        <v>26415053</v>
      </c>
      <c r="M110" s="3">
        <v>12362222644.549999</v>
      </c>
      <c r="N110" s="4">
        <v>280989</v>
      </c>
      <c r="O110">
        <f t="shared" si="1"/>
        <v>8.5634767715687705E-4</v>
      </c>
    </row>
    <row r="111" spans="1:15" ht="14.25" customHeight="1" x14ac:dyDescent="0.3">
      <c r="A111" s="2">
        <v>45632</v>
      </c>
      <c r="B111" t="s">
        <v>15</v>
      </c>
      <c r="C111">
        <v>470</v>
      </c>
      <c r="D111">
        <v>474.95</v>
      </c>
      <c r="E111">
        <v>467.7</v>
      </c>
      <c r="F111">
        <v>467.5</v>
      </c>
      <c r="G111">
        <v>471.95</v>
      </c>
      <c r="H111">
        <v>471.15</v>
      </c>
      <c r="I111">
        <v>472.38</v>
      </c>
      <c r="J111">
        <v>528.5</v>
      </c>
      <c r="K111">
        <v>399.35</v>
      </c>
      <c r="L111" s="4">
        <v>7551407</v>
      </c>
      <c r="M111" s="3">
        <v>3567134560.3499999</v>
      </c>
      <c r="N111" s="4">
        <v>118458</v>
      </c>
      <c r="O111">
        <f t="shared" si="1"/>
        <v>7.8074866310159944E-3</v>
      </c>
    </row>
    <row r="112" spans="1:15" ht="14.25" customHeight="1" x14ac:dyDescent="0.3">
      <c r="A112" s="2">
        <v>45635</v>
      </c>
      <c r="B112" t="s">
        <v>15</v>
      </c>
      <c r="C112">
        <v>471.5</v>
      </c>
      <c r="D112">
        <v>472</v>
      </c>
      <c r="E112">
        <v>462.95</v>
      </c>
      <c r="F112">
        <v>471.15</v>
      </c>
      <c r="G112">
        <v>465.2</v>
      </c>
      <c r="H112">
        <v>464.95</v>
      </c>
      <c r="I112">
        <v>467.02</v>
      </c>
      <c r="J112">
        <v>528.5</v>
      </c>
      <c r="K112">
        <v>399.35</v>
      </c>
      <c r="L112" s="4">
        <v>11703384</v>
      </c>
      <c r="M112" s="3">
        <v>5465695132.6999998</v>
      </c>
      <c r="N112" s="4">
        <v>160632</v>
      </c>
      <c r="O112">
        <f t="shared" si="1"/>
        <v>-1.3159291096253823E-2</v>
      </c>
    </row>
    <row r="113" spans="1:15" ht="14.25" customHeight="1" x14ac:dyDescent="0.3">
      <c r="A113" s="2">
        <v>45636</v>
      </c>
      <c r="B113" t="s">
        <v>15</v>
      </c>
      <c r="C113">
        <v>465.35</v>
      </c>
      <c r="D113">
        <v>466.45</v>
      </c>
      <c r="E113">
        <v>462.6</v>
      </c>
      <c r="F113">
        <v>464.95</v>
      </c>
      <c r="G113">
        <v>465.35</v>
      </c>
      <c r="H113">
        <v>465.45</v>
      </c>
      <c r="I113">
        <v>464.64</v>
      </c>
      <c r="J113">
        <v>528.5</v>
      </c>
      <c r="K113">
        <v>399.35</v>
      </c>
      <c r="L113" s="4">
        <v>8823805</v>
      </c>
      <c r="M113" s="3">
        <v>4099916466.3000002</v>
      </c>
      <c r="N113" s="4">
        <v>137180</v>
      </c>
      <c r="O113">
        <f t="shared" si="1"/>
        <v>1.0753844499408539E-3</v>
      </c>
    </row>
    <row r="114" spans="1:15" ht="14.25" customHeight="1" x14ac:dyDescent="0.3">
      <c r="A114" s="2">
        <v>45637</v>
      </c>
      <c r="B114" t="s">
        <v>15</v>
      </c>
      <c r="C114">
        <v>467.2</v>
      </c>
      <c r="D114">
        <v>468.2</v>
      </c>
      <c r="E114">
        <v>464.7</v>
      </c>
      <c r="F114">
        <v>465.45</v>
      </c>
      <c r="G114">
        <v>465.25</v>
      </c>
      <c r="H114">
        <v>465.25</v>
      </c>
      <c r="I114">
        <v>466.13</v>
      </c>
      <c r="J114">
        <v>528.5</v>
      </c>
      <c r="K114">
        <v>399.35</v>
      </c>
      <c r="L114" s="4">
        <v>6745816</v>
      </c>
      <c r="M114" s="3">
        <v>3144431682.0500002</v>
      </c>
      <c r="N114" s="4">
        <v>108407</v>
      </c>
      <c r="O114">
        <f t="shared" si="1"/>
        <v>-4.2969169620794639E-4</v>
      </c>
    </row>
    <row r="115" spans="1:15" ht="14.25" customHeight="1" x14ac:dyDescent="0.3">
      <c r="A115" s="2">
        <v>45638</v>
      </c>
      <c r="B115" t="s">
        <v>15</v>
      </c>
      <c r="C115">
        <v>465.5</v>
      </c>
      <c r="D115">
        <v>467.9</v>
      </c>
      <c r="E115">
        <v>459.15</v>
      </c>
      <c r="F115">
        <v>465.25</v>
      </c>
      <c r="G115">
        <v>460.85</v>
      </c>
      <c r="H115">
        <v>460.6</v>
      </c>
      <c r="I115">
        <v>462.32</v>
      </c>
      <c r="J115">
        <v>528.5</v>
      </c>
      <c r="K115">
        <v>399.35</v>
      </c>
      <c r="L115" s="4">
        <v>12884401</v>
      </c>
      <c r="M115" s="3">
        <v>5956725495.6000004</v>
      </c>
      <c r="N115" s="4">
        <v>165742</v>
      </c>
      <c r="O115">
        <f t="shared" si="1"/>
        <v>-9.994626544868301E-3</v>
      </c>
    </row>
    <row r="116" spans="1:15" ht="14.25" customHeight="1" x14ac:dyDescent="0.3">
      <c r="A116" s="2">
        <v>45639</v>
      </c>
      <c r="B116" t="s">
        <v>15</v>
      </c>
      <c r="C116">
        <v>460</v>
      </c>
      <c r="D116">
        <v>474.4</v>
      </c>
      <c r="E116">
        <v>451.65</v>
      </c>
      <c r="F116">
        <v>460.6</v>
      </c>
      <c r="G116">
        <v>471</v>
      </c>
      <c r="H116">
        <v>470</v>
      </c>
      <c r="I116">
        <v>464.46</v>
      </c>
      <c r="J116">
        <v>528.5</v>
      </c>
      <c r="K116">
        <v>399.35</v>
      </c>
      <c r="L116" s="4">
        <v>31753858</v>
      </c>
      <c r="M116" s="3">
        <v>14748433018.549999</v>
      </c>
      <c r="N116" s="4">
        <v>249426</v>
      </c>
      <c r="O116">
        <f t="shared" si="1"/>
        <v>2.0408163265306072E-2</v>
      </c>
    </row>
    <row r="117" spans="1:15" ht="14.25" customHeight="1" x14ac:dyDescent="0.3">
      <c r="A117" s="2">
        <v>45642</v>
      </c>
      <c r="B117" t="s">
        <v>15</v>
      </c>
      <c r="C117">
        <v>470.25</v>
      </c>
      <c r="D117">
        <v>474.4</v>
      </c>
      <c r="E117">
        <v>468</v>
      </c>
      <c r="F117">
        <v>470</v>
      </c>
      <c r="G117">
        <v>470</v>
      </c>
      <c r="H117">
        <v>470.1</v>
      </c>
      <c r="I117">
        <v>470.12</v>
      </c>
      <c r="J117">
        <v>528.5</v>
      </c>
      <c r="K117">
        <v>399.35</v>
      </c>
      <c r="L117" s="4">
        <v>9007264</v>
      </c>
      <c r="M117" s="3">
        <v>4234493701.8499999</v>
      </c>
      <c r="N117" s="4">
        <v>153567</v>
      </c>
      <c r="O117">
        <f t="shared" si="1"/>
        <v>2.1276595744685689E-4</v>
      </c>
    </row>
    <row r="118" spans="1:15" ht="14.25" customHeight="1" x14ac:dyDescent="0.3">
      <c r="A118" s="2">
        <v>45643</v>
      </c>
      <c r="B118" t="s">
        <v>15</v>
      </c>
      <c r="C118">
        <v>470</v>
      </c>
      <c r="D118">
        <v>475.8</v>
      </c>
      <c r="E118">
        <v>463.05</v>
      </c>
      <c r="F118">
        <v>470.1</v>
      </c>
      <c r="G118">
        <v>470.7</v>
      </c>
      <c r="H118">
        <v>469.55</v>
      </c>
      <c r="I118">
        <v>470.32</v>
      </c>
      <c r="J118">
        <v>528.5</v>
      </c>
      <c r="K118">
        <v>399.35</v>
      </c>
      <c r="L118" s="4">
        <v>19844152</v>
      </c>
      <c r="M118" s="3">
        <v>9333064294.2999992</v>
      </c>
      <c r="N118" s="4">
        <v>235005</v>
      </c>
      <c r="O118">
        <f t="shared" si="1"/>
        <v>-1.169963837481411E-3</v>
      </c>
    </row>
    <row r="119" spans="1:15" ht="14.25" customHeight="1" x14ac:dyDescent="0.3">
      <c r="A119" s="2">
        <v>45644</v>
      </c>
      <c r="B119" t="s">
        <v>15</v>
      </c>
      <c r="C119">
        <v>472.7</v>
      </c>
      <c r="D119">
        <v>473.8</v>
      </c>
      <c r="E119">
        <v>466.9</v>
      </c>
      <c r="F119">
        <v>469.55</v>
      </c>
      <c r="G119">
        <v>471.25</v>
      </c>
      <c r="H119">
        <v>470.5</v>
      </c>
      <c r="I119">
        <v>470.47</v>
      </c>
      <c r="J119">
        <v>528.5</v>
      </c>
      <c r="K119">
        <v>399.35</v>
      </c>
      <c r="L119" s="4">
        <v>12365167</v>
      </c>
      <c r="M119" s="3">
        <v>5817485040.3000002</v>
      </c>
      <c r="N119" s="4">
        <v>171373</v>
      </c>
      <c r="O119">
        <f t="shared" si="1"/>
        <v>2.0232137152592666E-3</v>
      </c>
    </row>
    <row r="120" spans="1:15" ht="14.25" customHeight="1" x14ac:dyDescent="0.3">
      <c r="A120" s="2">
        <v>45645</v>
      </c>
      <c r="B120" t="s">
        <v>15</v>
      </c>
      <c r="C120">
        <v>469</v>
      </c>
      <c r="D120">
        <v>474.35</v>
      </c>
      <c r="E120">
        <v>465.3</v>
      </c>
      <c r="F120">
        <v>470.5</v>
      </c>
      <c r="G120">
        <v>466</v>
      </c>
      <c r="H120">
        <v>466.55</v>
      </c>
      <c r="I120">
        <v>468.63</v>
      </c>
      <c r="J120">
        <v>528.5</v>
      </c>
      <c r="K120">
        <v>399.35</v>
      </c>
      <c r="L120" s="4">
        <v>14599270</v>
      </c>
      <c r="M120" s="3">
        <v>6841613826.0500002</v>
      </c>
      <c r="N120" s="4">
        <v>208360</v>
      </c>
      <c r="O120">
        <f t="shared" si="1"/>
        <v>-8.3953241232730888E-3</v>
      </c>
    </row>
    <row r="121" spans="1:15" ht="14.25" customHeight="1" x14ac:dyDescent="0.3">
      <c r="A121" s="2">
        <v>45646</v>
      </c>
      <c r="B121" t="s">
        <v>15</v>
      </c>
      <c r="C121">
        <v>466.5</v>
      </c>
      <c r="D121">
        <v>467.45</v>
      </c>
      <c r="E121">
        <v>459.3</v>
      </c>
      <c r="F121">
        <v>466.55</v>
      </c>
      <c r="G121">
        <v>465.65</v>
      </c>
      <c r="H121">
        <v>464.65</v>
      </c>
      <c r="I121">
        <v>463.94</v>
      </c>
      <c r="J121">
        <v>528.5</v>
      </c>
      <c r="K121">
        <v>399.35</v>
      </c>
      <c r="L121" s="4">
        <v>19481288</v>
      </c>
      <c r="M121" s="3">
        <v>9038176739.25</v>
      </c>
      <c r="N121" s="4">
        <v>241995</v>
      </c>
      <c r="O121">
        <f t="shared" si="1"/>
        <v>-4.0724466830994194E-3</v>
      </c>
    </row>
    <row r="122" spans="1:15" ht="14.25" customHeight="1" x14ac:dyDescent="0.3">
      <c r="A122" s="2">
        <v>45649</v>
      </c>
      <c r="B122" t="s">
        <v>15</v>
      </c>
      <c r="C122">
        <v>471.2</v>
      </c>
      <c r="D122">
        <v>477.7</v>
      </c>
      <c r="E122">
        <v>467.6</v>
      </c>
      <c r="F122">
        <v>464.65</v>
      </c>
      <c r="G122">
        <v>474.5</v>
      </c>
      <c r="H122">
        <v>474.25</v>
      </c>
      <c r="I122">
        <v>473.08</v>
      </c>
      <c r="J122">
        <v>528.5</v>
      </c>
      <c r="K122">
        <v>399.35</v>
      </c>
      <c r="L122" s="4">
        <v>18837469</v>
      </c>
      <c r="M122" s="3">
        <v>8911659177.2999992</v>
      </c>
      <c r="N122" s="4">
        <v>240219</v>
      </c>
      <c r="O122">
        <f t="shared" si="1"/>
        <v>2.0660712364145104E-2</v>
      </c>
    </row>
    <row r="123" spans="1:15" ht="14.25" customHeight="1" x14ac:dyDescent="0.3">
      <c r="A123" s="2">
        <v>45650</v>
      </c>
      <c r="B123" t="s">
        <v>15</v>
      </c>
      <c r="C123">
        <v>474.9</v>
      </c>
      <c r="D123">
        <v>480.25</v>
      </c>
      <c r="E123">
        <v>472.65</v>
      </c>
      <c r="F123">
        <v>474.25</v>
      </c>
      <c r="G123">
        <v>478.25</v>
      </c>
      <c r="H123">
        <v>478.45</v>
      </c>
      <c r="I123">
        <v>478.09</v>
      </c>
      <c r="J123">
        <v>528.5</v>
      </c>
      <c r="K123">
        <v>399.35</v>
      </c>
      <c r="L123" s="4">
        <v>11564497</v>
      </c>
      <c r="M123" s="3">
        <v>5528895414.8500004</v>
      </c>
      <c r="N123" s="4">
        <v>172646</v>
      </c>
      <c r="O123">
        <f t="shared" si="1"/>
        <v>8.8560885608855843E-3</v>
      </c>
    </row>
    <row r="124" spans="1:15" ht="14.25" customHeight="1" x14ac:dyDescent="0.3">
      <c r="A124" s="2">
        <v>45652</v>
      </c>
      <c r="B124" t="s">
        <v>15</v>
      </c>
      <c r="C124">
        <v>480.55</v>
      </c>
      <c r="D124">
        <v>481.85</v>
      </c>
      <c r="E124">
        <v>476</v>
      </c>
      <c r="F124">
        <v>478.45</v>
      </c>
      <c r="G124">
        <v>477</v>
      </c>
      <c r="H124">
        <v>476.95</v>
      </c>
      <c r="I124">
        <v>478.43</v>
      </c>
      <c r="J124">
        <v>528.5</v>
      </c>
      <c r="K124">
        <v>399.35</v>
      </c>
      <c r="L124" s="4">
        <v>8848065</v>
      </c>
      <c r="M124" s="3">
        <v>4233160326.9000001</v>
      </c>
      <c r="N124" s="4">
        <v>148089</v>
      </c>
      <c r="O124">
        <f t="shared" si="1"/>
        <v>-3.1351238373915772E-3</v>
      </c>
    </row>
    <row r="125" spans="1:15" ht="14.25" customHeight="1" x14ac:dyDescent="0.3">
      <c r="A125" s="2">
        <v>45653</v>
      </c>
      <c r="B125" t="s">
        <v>15</v>
      </c>
      <c r="C125">
        <v>479.75</v>
      </c>
      <c r="D125">
        <v>481.9</v>
      </c>
      <c r="E125">
        <v>476</v>
      </c>
      <c r="F125">
        <v>476.95</v>
      </c>
      <c r="G125">
        <v>479.7</v>
      </c>
      <c r="H125">
        <v>478.6</v>
      </c>
      <c r="I125">
        <v>479.17</v>
      </c>
      <c r="J125">
        <v>528.5</v>
      </c>
      <c r="K125">
        <v>399.35</v>
      </c>
      <c r="L125" s="4">
        <v>16279450</v>
      </c>
      <c r="M125" s="3">
        <v>7800652449.5500002</v>
      </c>
      <c r="N125" s="4">
        <v>166926</v>
      </c>
      <c r="O125">
        <f t="shared" si="1"/>
        <v>3.4594821260090871E-3</v>
      </c>
    </row>
    <row r="126" spans="1:15" ht="14.25" customHeight="1" x14ac:dyDescent="0.3">
      <c r="A126" s="2">
        <v>45656</v>
      </c>
      <c r="B126" t="s">
        <v>15</v>
      </c>
      <c r="C126">
        <v>480.75</v>
      </c>
      <c r="D126">
        <v>481.45</v>
      </c>
      <c r="E126">
        <v>476</v>
      </c>
      <c r="F126">
        <v>478.6</v>
      </c>
      <c r="G126">
        <v>476.8</v>
      </c>
      <c r="H126">
        <v>477</v>
      </c>
      <c r="I126">
        <v>478.45</v>
      </c>
      <c r="J126">
        <v>528.5</v>
      </c>
      <c r="K126">
        <v>399.35</v>
      </c>
      <c r="L126" s="4">
        <v>13074810</v>
      </c>
      <c r="M126" s="3">
        <v>6255656373.25</v>
      </c>
      <c r="N126" s="4">
        <v>158954</v>
      </c>
      <c r="O126">
        <f t="shared" si="1"/>
        <v>-3.3430839949854215E-3</v>
      </c>
    </row>
    <row r="127" spans="1:15" ht="14.25" customHeight="1" x14ac:dyDescent="0.3">
      <c r="A127" s="2">
        <v>45657</v>
      </c>
      <c r="B127" t="s">
        <v>15</v>
      </c>
      <c r="C127">
        <v>478.45</v>
      </c>
      <c r="D127">
        <v>484.65</v>
      </c>
      <c r="E127">
        <v>474.55</v>
      </c>
      <c r="F127">
        <v>477</v>
      </c>
      <c r="G127">
        <v>484.45</v>
      </c>
      <c r="H127">
        <v>483.65</v>
      </c>
      <c r="I127">
        <v>479.83</v>
      </c>
      <c r="J127">
        <v>528.5</v>
      </c>
      <c r="K127">
        <v>399.35</v>
      </c>
      <c r="L127" s="4">
        <v>13276195</v>
      </c>
      <c r="M127" s="3">
        <v>6370264307.1999998</v>
      </c>
      <c r="N127" s="4">
        <v>152025</v>
      </c>
      <c r="O127">
        <f t="shared" si="1"/>
        <v>1.3941299790356347E-2</v>
      </c>
    </row>
    <row r="128" spans="1:15" ht="14.25" customHeight="1" x14ac:dyDescent="0.3">
      <c r="A128" s="2">
        <v>45658</v>
      </c>
      <c r="B128" t="s">
        <v>15</v>
      </c>
      <c r="C128">
        <v>486</v>
      </c>
      <c r="D128">
        <v>486.85</v>
      </c>
      <c r="E128">
        <v>482.15</v>
      </c>
      <c r="F128">
        <v>483.65</v>
      </c>
      <c r="G128">
        <v>484.7</v>
      </c>
      <c r="H128">
        <v>483.95</v>
      </c>
      <c r="I128">
        <v>484.93</v>
      </c>
      <c r="J128">
        <v>528.5</v>
      </c>
      <c r="K128">
        <v>399.35</v>
      </c>
      <c r="L128" s="4">
        <v>18229128</v>
      </c>
      <c r="M128" s="3">
        <v>8839930024.3999996</v>
      </c>
      <c r="N128" s="4">
        <v>164587</v>
      </c>
      <c r="O128">
        <f t="shared" si="1"/>
        <v>6.2028326268998533E-4</v>
      </c>
    </row>
    <row r="129" spans="1:15" ht="14.25" customHeight="1" x14ac:dyDescent="0.3">
      <c r="A129" s="2">
        <v>45659</v>
      </c>
      <c r="B129" t="s">
        <v>15</v>
      </c>
      <c r="C129">
        <v>485.35</v>
      </c>
      <c r="D129">
        <v>490</v>
      </c>
      <c r="E129">
        <v>482.3</v>
      </c>
      <c r="F129">
        <v>483.95</v>
      </c>
      <c r="G129">
        <v>489.5</v>
      </c>
      <c r="H129">
        <v>489.05</v>
      </c>
      <c r="I129">
        <v>486.22</v>
      </c>
      <c r="J129">
        <v>528.5</v>
      </c>
      <c r="K129">
        <v>399.35</v>
      </c>
      <c r="L129" s="4">
        <v>26124980</v>
      </c>
      <c r="M129" s="3">
        <v>12702491020.450001</v>
      </c>
      <c r="N129" s="4">
        <v>224779</v>
      </c>
      <c r="O129">
        <f t="shared" si="1"/>
        <v>1.0538278747804573E-2</v>
      </c>
    </row>
    <row r="130" spans="1:15" ht="14.25" customHeight="1" x14ac:dyDescent="0.3">
      <c r="A130" s="2">
        <v>45660</v>
      </c>
      <c r="B130" t="s">
        <v>15</v>
      </c>
      <c r="C130">
        <v>490.25</v>
      </c>
      <c r="D130">
        <v>491</v>
      </c>
      <c r="E130">
        <v>479.85</v>
      </c>
      <c r="F130">
        <v>489.05</v>
      </c>
      <c r="G130">
        <v>483.95</v>
      </c>
      <c r="H130">
        <v>481.6</v>
      </c>
      <c r="I130">
        <v>482.67</v>
      </c>
      <c r="J130">
        <v>528.5</v>
      </c>
      <c r="K130">
        <v>399.35</v>
      </c>
      <c r="L130" s="4">
        <v>37072992</v>
      </c>
      <c r="M130" s="3">
        <v>17893961935.849998</v>
      </c>
      <c r="N130" s="4">
        <v>227193</v>
      </c>
      <c r="O130">
        <f t="shared" si="1"/>
        <v>-1.5233616194663098E-2</v>
      </c>
    </row>
    <row r="131" spans="1:15" ht="14.25" customHeight="1" x14ac:dyDescent="0.3">
      <c r="A131" s="2">
        <v>45663</v>
      </c>
      <c r="B131" t="s">
        <v>15</v>
      </c>
      <c r="C131">
        <v>455.6</v>
      </c>
      <c r="D131">
        <v>461.75</v>
      </c>
      <c r="E131">
        <v>441.25</v>
      </c>
      <c r="F131">
        <v>481.6</v>
      </c>
      <c r="G131">
        <v>445.35</v>
      </c>
      <c r="H131">
        <v>442.65</v>
      </c>
      <c r="I131">
        <v>450.15</v>
      </c>
      <c r="J131">
        <v>461.75</v>
      </c>
      <c r="K131">
        <v>441.25</v>
      </c>
      <c r="L131" s="4">
        <v>22009958</v>
      </c>
      <c r="M131" s="3">
        <v>9907771203.0499992</v>
      </c>
      <c r="N131" s="4">
        <v>286532</v>
      </c>
      <c r="O131">
        <f t="shared" ref="O131:O194" si="2">(H131-H130)/H130</f>
        <v>-8.0876245847176176E-2</v>
      </c>
    </row>
    <row r="132" spans="1:15" ht="14.25" customHeight="1" x14ac:dyDescent="0.3">
      <c r="A132" s="2">
        <v>45664</v>
      </c>
      <c r="B132" t="s">
        <v>15</v>
      </c>
      <c r="C132">
        <v>445.5</v>
      </c>
      <c r="D132">
        <v>447.6</v>
      </c>
      <c r="E132">
        <v>440.15</v>
      </c>
      <c r="F132">
        <v>442.65</v>
      </c>
      <c r="G132">
        <v>441.1</v>
      </c>
      <c r="H132">
        <v>441.1</v>
      </c>
      <c r="I132">
        <v>442.97</v>
      </c>
      <c r="J132">
        <v>461.75</v>
      </c>
      <c r="K132">
        <v>440.15</v>
      </c>
      <c r="L132" s="4">
        <v>14294780</v>
      </c>
      <c r="M132" s="3">
        <v>6332098307.3000002</v>
      </c>
      <c r="N132" s="4">
        <v>180441</v>
      </c>
      <c r="O132">
        <f t="shared" si="2"/>
        <v>-3.5016378628712403E-3</v>
      </c>
    </row>
    <row r="133" spans="1:15" ht="14.25" customHeight="1" x14ac:dyDescent="0.3">
      <c r="A133" s="2">
        <v>45665</v>
      </c>
      <c r="B133" t="s">
        <v>15</v>
      </c>
      <c r="C133">
        <v>443</v>
      </c>
      <c r="D133">
        <v>452.05</v>
      </c>
      <c r="E133">
        <v>437.1</v>
      </c>
      <c r="F133">
        <v>441.1</v>
      </c>
      <c r="G133">
        <v>449.65</v>
      </c>
      <c r="H133">
        <v>449.55</v>
      </c>
      <c r="I133">
        <v>444.83</v>
      </c>
      <c r="J133">
        <v>461.75</v>
      </c>
      <c r="K133">
        <v>437.1</v>
      </c>
      <c r="L133" s="4">
        <v>13482926</v>
      </c>
      <c r="M133" s="3">
        <v>5997660207.25</v>
      </c>
      <c r="N133" s="4">
        <v>163390</v>
      </c>
      <c r="O133">
        <f t="shared" si="2"/>
        <v>1.9156653819995439E-2</v>
      </c>
    </row>
    <row r="134" spans="1:15" ht="14.25" customHeight="1" x14ac:dyDescent="0.3">
      <c r="A134" s="2">
        <v>45666</v>
      </c>
      <c r="B134" t="s">
        <v>15</v>
      </c>
      <c r="C134">
        <v>449.4</v>
      </c>
      <c r="D134">
        <v>460.65</v>
      </c>
      <c r="E134">
        <v>446.05</v>
      </c>
      <c r="F134">
        <v>449.55</v>
      </c>
      <c r="G134">
        <v>450.45</v>
      </c>
      <c r="H134">
        <v>450.1</v>
      </c>
      <c r="I134">
        <v>452.64</v>
      </c>
      <c r="J134">
        <v>461.75</v>
      </c>
      <c r="K134">
        <v>437.1</v>
      </c>
      <c r="L134" s="4">
        <v>19732649</v>
      </c>
      <c r="M134" s="3">
        <v>8931846709.4500008</v>
      </c>
      <c r="N134" s="4">
        <v>214398</v>
      </c>
      <c r="O134">
        <f t="shared" si="2"/>
        <v>1.2234456678901376E-3</v>
      </c>
    </row>
    <row r="135" spans="1:15" ht="14.25" customHeight="1" x14ac:dyDescent="0.3">
      <c r="A135" s="2">
        <v>45667</v>
      </c>
      <c r="B135" t="s">
        <v>15</v>
      </c>
      <c r="C135">
        <v>449.95</v>
      </c>
      <c r="D135">
        <v>452</v>
      </c>
      <c r="E135">
        <v>442.5</v>
      </c>
      <c r="F135">
        <v>450.1</v>
      </c>
      <c r="G135">
        <v>443.85</v>
      </c>
      <c r="H135">
        <v>444.9</v>
      </c>
      <c r="I135">
        <v>445.59</v>
      </c>
      <c r="J135">
        <v>461.75</v>
      </c>
      <c r="K135">
        <v>437.1</v>
      </c>
      <c r="L135" s="4">
        <v>9145729</v>
      </c>
      <c r="M135" s="3">
        <v>4075202264.9000001</v>
      </c>
      <c r="N135" s="4">
        <v>169176</v>
      </c>
      <c r="O135">
        <f t="shared" si="2"/>
        <v>-1.1552988224839024E-2</v>
      </c>
    </row>
    <row r="136" spans="1:15" ht="14.25" customHeight="1" x14ac:dyDescent="0.3">
      <c r="A136" s="2">
        <v>45670</v>
      </c>
      <c r="B136" t="s">
        <v>15</v>
      </c>
      <c r="C136">
        <v>435</v>
      </c>
      <c r="D136">
        <v>444</v>
      </c>
      <c r="E136">
        <v>435</v>
      </c>
      <c r="F136">
        <v>444.9</v>
      </c>
      <c r="G136">
        <v>439</v>
      </c>
      <c r="H136">
        <v>439.05</v>
      </c>
      <c r="I136">
        <v>440.27</v>
      </c>
      <c r="J136">
        <v>461.75</v>
      </c>
      <c r="K136">
        <v>435</v>
      </c>
      <c r="L136" s="4">
        <v>17799607</v>
      </c>
      <c r="M136" s="3">
        <v>7836665097.9499998</v>
      </c>
      <c r="N136" s="4">
        <v>172276</v>
      </c>
      <c r="O136">
        <f t="shared" si="2"/>
        <v>-1.3149022252191427E-2</v>
      </c>
    </row>
    <row r="137" spans="1:15" ht="14.25" customHeight="1" x14ac:dyDescent="0.3">
      <c r="A137" s="2">
        <v>45671</v>
      </c>
      <c r="B137" t="s">
        <v>15</v>
      </c>
      <c r="C137">
        <v>441</v>
      </c>
      <c r="D137">
        <v>441.5</v>
      </c>
      <c r="E137">
        <v>435.85</v>
      </c>
      <c r="F137">
        <v>439.05</v>
      </c>
      <c r="G137">
        <v>436.95</v>
      </c>
      <c r="H137">
        <v>436.6</v>
      </c>
      <c r="I137">
        <v>438.04</v>
      </c>
      <c r="J137">
        <v>461.75</v>
      </c>
      <c r="K137">
        <v>435</v>
      </c>
      <c r="L137" s="4">
        <v>18048459</v>
      </c>
      <c r="M137" s="3">
        <v>7905915833.3500004</v>
      </c>
      <c r="N137" s="4">
        <v>233131</v>
      </c>
      <c r="O137">
        <f t="shared" si="2"/>
        <v>-5.5802300421364049E-3</v>
      </c>
    </row>
    <row r="138" spans="1:15" ht="14.25" customHeight="1" x14ac:dyDescent="0.3">
      <c r="A138" s="2">
        <v>45672</v>
      </c>
      <c r="B138" t="s">
        <v>15</v>
      </c>
      <c r="C138">
        <v>436.6</v>
      </c>
      <c r="D138">
        <v>441.8</v>
      </c>
      <c r="E138">
        <v>435.35</v>
      </c>
      <c r="F138">
        <v>436.6</v>
      </c>
      <c r="G138">
        <v>437</v>
      </c>
      <c r="H138">
        <v>437.35</v>
      </c>
      <c r="I138">
        <v>437.99</v>
      </c>
      <c r="J138">
        <v>461.75</v>
      </c>
      <c r="K138">
        <v>435</v>
      </c>
      <c r="L138" s="4">
        <v>9786805</v>
      </c>
      <c r="M138" s="3">
        <v>4286512512.75</v>
      </c>
      <c r="N138" s="4">
        <v>123376</v>
      </c>
      <c r="O138">
        <f t="shared" si="2"/>
        <v>1.7178195144296837E-3</v>
      </c>
    </row>
    <row r="139" spans="1:15" ht="14.25" customHeight="1" x14ac:dyDescent="0.3">
      <c r="A139" s="2">
        <v>45673</v>
      </c>
      <c r="B139" t="s">
        <v>15</v>
      </c>
      <c r="C139">
        <v>438.05</v>
      </c>
      <c r="D139">
        <v>439.45</v>
      </c>
      <c r="E139">
        <v>431.1</v>
      </c>
      <c r="F139">
        <v>437.35</v>
      </c>
      <c r="G139">
        <v>432.9</v>
      </c>
      <c r="H139">
        <v>432.85</v>
      </c>
      <c r="I139">
        <v>432.62</v>
      </c>
      <c r="J139">
        <v>461.75</v>
      </c>
      <c r="K139">
        <v>431.1</v>
      </c>
      <c r="L139" s="4">
        <v>15774070</v>
      </c>
      <c r="M139" s="3">
        <v>6824178083.3999996</v>
      </c>
      <c r="N139" s="4">
        <v>197000</v>
      </c>
      <c r="O139">
        <f t="shared" si="2"/>
        <v>-1.028924202583743E-2</v>
      </c>
    </row>
    <row r="140" spans="1:15" ht="14.25" customHeight="1" x14ac:dyDescent="0.3">
      <c r="A140" s="2">
        <v>45674</v>
      </c>
      <c r="B140" t="s">
        <v>15</v>
      </c>
      <c r="C140">
        <v>433</v>
      </c>
      <c r="D140">
        <v>441.8</v>
      </c>
      <c r="E140">
        <v>432.5</v>
      </c>
      <c r="F140">
        <v>432.85</v>
      </c>
      <c r="G140">
        <v>439.65</v>
      </c>
      <c r="H140">
        <v>440.2</v>
      </c>
      <c r="I140">
        <v>438.78</v>
      </c>
      <c r="J140">
        <v>461.75</v>
      </c>
      <c r="K140">
        <v>431.1</v>
      </c>
      <c r="L140" s="4">
        <v>11270061</v>
      </c>
      <c r="M140" s="3">
        <v>4945104351.0500002</v>
      </c>
      <c r="N140" s="4">
        <v>119845</v>
      </c>
      <c r="O140">
        <f t="shared" si="2"/>
        <v>1.6980478225713216E-2</v>
      </c>
    </row>
    <row r="141" spans="1:15" ht="14.25" customHeight="1" x14ac:dyDescent="0.3">
      <c r="A141" s="2">
        <v>45677</v>
      </c>
      <c r="B141" t="s">
        <v>15</v>
      </c>
      <c r="C141">
        <v>439</v>
      </c>
      <c r="D141">
        <v>441.2</v>
      </c>
      <c r="E141">
        <v>436</v>
      </c>
      <c r="F141">
        <v>440.2</v>
      </c>
      <c r="G141">
        <v>437.45</v>
      </c>
      <c r="H141">
        <v>437.7</v>
      </c>
      <c r="I141">
        <v>437.61</v>
      </c>
      <c r="J141">
        <v>461.75</v>
      </c>
      <c r="K141">
        <v>431.1</v>
      </c>
      <c r="L141" s="4">
        <v>8742771</v>
      </c>
      <c r="M141" s="3">
        <v>3825927431.8499999</v>
      </c>
      <c r="N141" s="4">
        <v>152896</v>
      </c>
      <c r="O141">
        <f t="shared" si="2"/>
        <v>-5.6792367105860976E-3</v>
      </c>
    </row>
    <row r="142" spans="1:15" ht="14.25" customHeight="1" x14ac:dyDescent="0.3">
      <c r="A142" s="2">
        <v>45678</v>
      </c>
      <c r="B142" t="s">
        <v>15</v>
      </c>
      <c r="C142">
        <v>438</v>
      </c>
      <c r="D142">
        <v>447</v>
      </c>
      <c r="E142">
        <v>435.25</v>
      </c>
      <c r="F142">
        <v>437.7</v>
      </c>
      <c r="G142">
        <v>437.95</v>
      </c>
      <c r="H142">
        <v>437.55</v>
      </c>
      <c r="I142">
        <v>440.22</v>
      </c>
      <c r="J142">
        <v>461.75</v>
      </c>
      <c r="K142">
        <v>431.1</v>
      </c>
      <c r="L142" s="4">
        <v>15686500</v>
      </c>
      <c r="M142" s="3">
        <v>6905471880.0500002</v>
      </c>
      <c r="N142" s="4">
        <v>216692</v>
      </c>
      <c r="O142">
        <f t="shared" si="2"/>
        <v>-3.4270047978061973E-4</v>
      </c>
    </row>
    <row r="143" spans="1:15" ht="14.25" customHeight="1" x14ac:dyDescent="0.3">
      <c r="A143" s="2">
        <v>45679</v>
      </c>
      <c r="B143" t="s">
        <v>15</v>
      </c>
      <c r="C143">
        <v>439.9</v>
      </c>
      <c r="D143">
        <v>441.95</v>
      </c>
      <c r="E143">
        <v>436.55</v>
      </c>
      <c r="F143">
        <v>437.55</v>
      </c>
      <c r="G143">
        <v>436.75</v>
      </c>
      <c r="H143">
        <v>437</v>
      </c>
      <c r="I143">
        <v>438.79</v>
      </c>
      <c r="J143">
        <v>461.75</v>
      </c>
      <c r="K143">
        <v>431.1</v>
      </c>
      <c r="L143" s="4">
        <v>9619648</v>
      </c>
      <c r="M143" s="3">
        <v>4220997156.0999999</v>
      </c>
      <c r="N143" s="4">
        <v>133708</v>
      </c>
      <c r="O143">
        <f t="shared" si="2"/>
        <v>-1.256999200091444E-3</v>
      </c>
    </row>
    <row r="144" spans="1:15" ht="14.25" customHeight="1" x14ac:dyDescent="0.3">
      <c r="A144" s="2">
        <v>45680</v>
      </c>
      <c r="B144" t="s">
        <v>15</v>
      </c>
      <c r="C144">
        <v>435</v>
      </c>
      <c r="D144">
        <v>441.85</v>
      </c>
      <c r="E144">
        <v>434.1</v>
      </c>
      <c r="F144">
        <v>437</v>
      </c>
      <c r="G144">
        <v>440.45</v>
      </c>
      <c r="H144">
        <v>440.2</v>
      </c>
      <c r="I144">
        <v>439.59</v>
      </c>
      <c r="J144">
        <v>461.75</v>
      </c>
      <c r="K144">
        <v>431.1</v>
      </c>
      <c r="L144" s="4">
        <v>8888248</v>
      </c>
      <c r="M144" s="3">
        <v>3907165756.8499999</v>
      </c>
      <c r="N144" s="4">
        <v>131321</v>
      </c>
      <c r="O144">
        <f t="shared" si="2"/>
        <v>7.3226544622425373E-3</v>
      </c>
    </row>
    <row r="145" spans="1:15" ht="14.25" customHeight="1" x14ac:dyDescent="0.3">
      <c r="A145" s="2">
        <v>45681</v>
      </c>
      <c r="B145" t="s">
        <v>15</v>
      </c>
      <c r="C145">
        <v>439.4</v>
      </c>
      <c r="D145">
        <v>445</v>
      </c>
      <c r="E145">
        <v>439.05</v>
      </c>
      <c r="F145">
        <v>440.2</v>
      </c>
      <c r="G145">
        <v>441.4</v>
      </c>
      <c r="H145">
        <v>441.6</v>
      </c>
      <c r="I145">
        <v>442.53</v>
      </c>
      <c r="J145">
        <v>461.75</v>
      </c>
      <c r="K145">
        <v>431.1</v>
      </c>
      <c r="L145" s="4">
        <v>9665384</v>
      </c>
      <c r="M145" s="3">
        <v>4277228029.6999998</v>
      </c>
      <c r="N145" s="4">
        <v>141694</v>
      </c>
      <c r="O145">
        <f t="shared" si="2"/>
        <v>3.180372557928292E-3</v>
      </c>
    </row>
    <row r="146" spans="1:15" ht="14.25" customHeight="1" x14ac:dyDescent="0.3">
      <c r="A146" s="2">
        <v>45684</v>
      </c>
      <c r="B146" t="s">
        <v>15</v>
      </c>
      <c r="C146">
        <v>440.8</v>
      </c>
      <c r="D146">
        <v>445</v>
      </c>
      <c r="E146">
        <v>436.55</v>
      </c>
      <c r="F146">
        <v>441.6</v>
      </c>
      <c r="G146">
        <v>439.9</v>
      </c>
      <c r="H146">
        <v>440.1</v>
      </c>
      <c r="I146">
        <v>440.42</v>
      </c>
      <c r="J146">
        <v>461.75</v>
      </c>
      <c r="K146">
        <v>431.1</v>
      </c>
      <c r="L146" s="4">
        <v>10480203</v>
      </c>
      <c r="M146" s="3">
        <v>4615646516.4499998</v>
      </c>
      <c r="N146" s="4">
        <v>155397</v>
      </c>
      <c r="O146">
        <f t="shared" si="2"/>
        <v>-3.3967391304347825E-3</v>
      </c>
    </row>
    <row r="147" spans="1:15" ht="14.25" customHeight="1" x14ac:dyDescent="0.3">
      <c r="A147" s="2">
        <v>45685</v>
      </c>
      <c r="B147" t="s">
        <v>15</v>
      </c>
      <c r="C147">
        <v>440</v>
      </c>
      <c r="D147">
        <v>441.8</v>
      </c>
      <c r="E147">
        <v>434.5</v>
      </c>
      <c r="F147">
        <v>440.1</v>
      </c>
      <c r="G147">
        <v>434.65</v>
      </c>
      <c r="H147">
        <v>435.45</v>
      </c>
      <c r="I147">
        <v>437.14</v>
      </c>
      <c r="J147">
        <v>461.75</v>
      </c>
      <c r="K147">
        <v>431.1</v>
      </c>
      <c r="L147" s="4">
        <v>20813072</v>
      </c>
      <c r="M147" s="3">
        <v>9098282699.2000008</v>
      </c>
      <c r="N147" s="4">
        <v>174411</v>
      </c>
      <c r="O147">
        <f t="shared" si="2"/>
        <v>-1.0565780504430888E-2</v>
      </c>
    </row>
    <row r="148" spans="1:15" ht="14.25" customHeight="1" x14ac:dyDescent="0.3">
      <c r="A148" s="2">
        <v>45686</v>
      </c>
      <c r="B148" t="s">
        <v>15</v>
      </c>
      <c r="C148">
        <v>435.95</v>
      </c>
      <c r="D148">
        <v>437.5</v>
      </c>
      <c r="E148">
        <v>430.1</v>
      </c>
      <c r="F148">
        <v>435.45</v>
      </c>
      <c r="G148">
        <v>433.25</v>
      </c>
      <c r="H148">
        <v>433.35</v>
      </c>
      <c r="I148">
        <v>433.19</v>
      </c>
      <c r="J148">
        <v>461.75</v>
      </c>
      <c r="K148">
        <v>430.1</v>
      </c>
      <c r="L148" s="4">
        <v>15158510</v>
      </c>
      <c r="M148" s="3">
        <v>6566456115</v>
      </c>
      <c r="N148" s="4">
        <v>270156</v>
      </c>
      <c r="O148">
        <f t="shared" si="2"/>
        <v>-4.8225973131242762E-3</v>
      </c>
    </row>
    <row r="149" spans="1:15" ht="14.25" customHeight="1" x14ac:dyDescent="0.3">
      <c r="A149" s="2">
        <v>45687</v>
      </c>
      <c r="B149" t="s">
        <v>15</v>
      </c>
      <c r="C149">
        <v>433</v>
      </c>
      <c r="D149">
        <v>438</v>
      </c>
      <c r="E149">
        <v>431.45</v>
      </c>
      <c r="F149">
        <v>433.35</v>
      </c>
      <c r="G149">
        <v>436</v>
      </c>
      <c r="H149">
        <v>436.2</v>
      </c>
      <c r="I149">
        <v>434.97</v>
      </c>
      <c r="J149">
        <v>461.75</v>
      </c>
      <c r="K149">
        <v>430.1</v>
      </c>
      <c r="L149" s="4">
        <v>22496695</v>
      </c>
      <c r="M149" s="3">
        <v>9785477722.3999996</v>
      </c>
      <c r="N149" s="4">
        <v>206602</v>
      </c>
      <c r="O149">
        <f t="shared" si="2"/>
        <v>6.5766701280719183E-3</v>
      </c>
    </row>
    <row r="150" spans="1:15" ht="14.25" customHeight="1" x14ac:dyDescent="0.3">
      <c r="A150" s="2">
        <v>45688</v>
      </c>
      <c r="B150" t="s">
        <v>15</v>
      </c>
      <c r="C150">
        <v>436.5</v>
      </c>
      <c r="D150">
        <v>448.2</v>
      </c>
      <c r="E150">
        <v>435.1</v>
      </c>
      <c r="F150">
        <v>436.2</v>
      </c>
      <c r="G150">
        <v>447.7</v>
      </c>
      <c r="H150">
        <v>447.5</v>
      </c>
      <c r="I150">
        <v>443.74</v>
      </c>
      <c r="J150">
        <v>461.75</v>
      </c>
      <c r="K150">
        <v>430.1</v>
      </c>
      <c r="L150" s="4">
        <v>13546181</v>
      </c>
      <c r="M150" s="3">
        <v>6011029618.0500002</v>
      </c>
      <c r="N150" s="4">
        <v>292498</v>
      </c>
      <c r="O150">
        <f t="shared" si="2"/>
        <v>2.5905547913801036E-2</v>
      </c>
    </row>
    <row r="151" spans="1:15" ht="14.25" customHeight="1" x14ac:dyDescent="0.3">
      <c r="A151" s="2">
        <v>45689</v>
      </c>
      <c r="B151" t="s">
        <v>15</v>
      </c>
      <c r="C151">
        <v>448</v>
      </c>
      <c r="D151">
        <v>471.5</v>
      </c>
      <c r="E151">
        <v>439.55</v>
      </c>
      <c r="F151">
        <v>447.5</v>
      </c>
      <c r="G151">
        <v>461.55</v>
      </c>
      <c r="H151">
        <v>462.55</v>
      </c>
      <c r="I151">
        <v>459.22</v>
      </c>
      <c r="J151">
        <v>471.5</v>
      </c>
      <c r="K151">
        <v>430.1</v>
      </c>
      <c r="L151" s="4">
        <v>30393007</v>
      </c>
      <c r="M151" s="3">
        <v>13957038228.1</v>
      </c>
      <c r="N151" s="4">
        <v>308264</v>
      </c>
      <c r="O151">
        <f t="shared" si="2"/>
        <v>3.363128491620114E-2</v>
      </c>
    </row>
    <row r="152" spans="1:15" ht="14.25" customHeight="1" x14ac:dyDescent="0.3">
      <c r="A152" s="2">
        <v>45691</v>
      </c>
      <c r="B152" t="s">
        <v>15</v>
      </c>
      <c r="C152">
        <v>462</v>
      </c>
      <c r="D152">
        <v>465.2</v>
      </c>
      <c r="E152">
        <v>452.3</v>
      </c>
      <c r="F152">
        <v>462.55</v>
      </c>
      <c r="G152">
        <v>453.5</v>
      </c>
      <c r="H152">
        <v>454.35</v>
      </c>
      <c r="I152">
        <v>457.77</v>
      </c>
      <c r="J152">
        <v>471.5</v>
      </c>
      <c r="K152">
        <v>430.1</v>
      </c>
      <c r="L152" s="4">
        <v>16991730</v>
      </c>
      <c r="M152" s="3">
        <v>7778230238.5</v>
      </c>
      <c r="N152" s="4">
        <v>278444</v>
      </c>
      <c r="O152">
        <f t="shared" si="2"/>
        <v>-1.7727813209382746E-2</v>
      </c>
    </row>
    <row r="153" spans="1:15" ht="14.25" customHeight="1" x14ac:dyDescent="0.3">
      <c r="A153" s="2">
        <v>45692</v>
      </c>
      <c r="B153" t="s">
        <v>15</v>
      </c>
      <c r="C153">
        <v>458</v>
      </c>
      <c r="D153">
        <v>460.35</v>
      </c>
      <c r="E153">
        <v>448.75</v>
      </c>
      <c r="F153">
        <v>454.35</v>
      </c>
      <c r="G153">
        <v>454.3</v>
      </c>
      <c r="H153">
        <v>455.15</v>
      </c>
      <c r="I153">
        <v>454.39</v>
      </c>
      <c r="J153">
        <v>471.5</v>
      </c>
      <c r="K153">
        <v>430.1</v>
      </c>
      <c r="L153" s="4">
        <v>18923681</v>
      </c>
      <c r="M153" s="3">
        <v>8598691176.8999996</v>
      </c>
      <c r="N153" s="4">
        <v>219082</v>
      </c>
      <c r="O153">
        <f t="shared" si="2"/>
        <v>1.7607571255638923E-3</v>
      </c>
    </row>
    <row r="154" spans="1:15" ht="14.25" customHeight="1" x14ac:dyDescent="0.3">
      <c r="A154" s="2">
        <v>45693</v>
      </c>
      <c r="B154" t="s">
        <v>15</v>
      </c>
      <c r="C154">
        <v>455.15</v>
      </c>
      <c r="D154">
        <v>455.85</v>
      </c>
      <c r="E154">
        <v>446.5</v>
      </c>
      <c r="F154">
        <v>455.15</v>
      </c>
      <c r="G154">
        <v>448.5</v>
      </c>
      <c r="H154">
        <v>448.15</v>
      </c>
      <c r="I154">
        <v>450.02</v>
      </c>
      <c r="J154">
        <v>471.5</v>
      </c>
      <c r="K154">
        <v>430.1</v>
      </c>
      <c r="L154" s="4">
        <v>12836283</v>
      </c>
      <c r="M154" s="3">
        <v>5776523794.1999998</v>
      </c>
      <c r="N154" s="4">
        <v>155466</v>
      </c>
      <c r="O154">
        <f t="shared" si="2"/>
        <v>-1.5379545204877514E-2</v>
      </c>
    </row>
    <row r="155" spans="1:15" ht="14.25" customHeight="1" x14ac:dyDescent="0.3">
      <c r="A155" s="2">
        <v>45694</v>
      </c>
      <c r="B155" t="s">
        <v>15</v>
      </c>
      <c r="C155">
        <v>450</v>
      </c>
      <c r="D155">
        <v>450</v>
      </c>
      <c r="E155">
        <v>438.2</v>
      </c>
      <c r="F155">
        <v>448.15</v>
      </c>
      <c r="G155">
        <v>442.75</v>
      </c>
      <c r="H155">
        <v>441.1</v>
      </c>
      <c r="I155">
        <v>441.65</v>
      </c>
      <c r="J155">
        <v>471.5</v>
      </c>
      <c r="K155">
        <v>430.1</v>
      </c>
      <c r="L155" s="4">
        <v>17469129</v>
      </c>
      <c r="M155" s="3">
        <v>7715280524.9499998</v>
      </c>
      <c r="N155" s="4">
        <v>164798</v>
      </c>
      <c r="O155">
        <f t="shared" si="2"/>
        <v>-1.5731339953140588E-2</v>
      </c>
    </row>
    <row r="156" spans="1:15" ht="14.25" customHeight="1" x14ac:dyDescent="0.3">
      <c r="A156" s="2">
        <v>45695</v>
      </c>
      <c r="B156" t="s">
        <v>15</v>
      </c>
      <c r="C156">
        <v>440</v>
      </c>
      <c r="D156">
        <v>445.5</v>
      </c>
      <c r="E156">
        <v>428.4</v>
      </c>
      <c r="F156">
        <v>441.1</v>
      </c>
      <c r="G156">
        <v>430.1</v>
      </c>
      <c r="H156">
        <v>430.85</v>
      </c>
      <c r="I156">
        <v>432.24</v>
      </c>
      <c r="J156">
        <v>471.5</v>
      </c>
      <c r="K156">
        <v>428.4</v>
      </c>
      <c r="L156" s="4">
        <v>18875982</v>
      </c>
      <c r="M156" s="3">
        <v>8158860785.3000002</v>
      </c>
      <c r="N156" s="4">
        <v>212183</v>
      </c>
      <c r="O156">
        <f t="shared" si="2"/>
        <v>-2.3237361142598049E-2</v>
      </c>
    </row>
    <row r="157" spans="1:15" ht="14.25" customHeight="1" x14ac:dyDescent="0.3">
      <c r="A157" s="2">
        <v>45698</v>
      </c>
      <c r="B157" t="s">
        <v>15</v>
      </c>
      <c r="C157">
        <v>427</v>
      </c>
      <c r="D157">
        <v>433.3</v>
      </c>
      <c r="E157">
        <v>426.5</v>
      </c>
      <c r="F157">
        <v>430.85</v>
      </c>
      <c r="G157">
        <v>427.7</v>
      </c>
      <c r="H157">
        <v>427.2</v>
      </c>
      <c r="I157">
        <v>428.76</v>
      </c>
      <c r="J157">
        <v>471.5</v>
      </c>
      <c r="K157">
        <v>426.5</v>
      </c>
      <c r="L157" s="4">
        <v>12227140</v>
      </c>
      <c r="M157" s="3">
        <v>5242493795.8000002</v>
      </c>
      <c r="N157" s="4">
        <v>156939</v>
      </c>
      <c r="O157">
        <f t="shared" si="2"/>
        <v>-8.4716258558663899E-3</v>
      </c>
    </row>
    <row r="158" spans="1:15" ht="14.25" customHeight="1" x14ac:dyDescent="0.3">
      <c r="A158" s="2">
        <v>45699</v>
      </c>
      <c r="B158" t="s">
        <v>15</v>
      </c>
      <c r="C158">
        <v>428.8</v>
      </c>
      <c r="D158">
        <v>430.55</v>
      </c>
      <c r="E158">
        <v>417.5</v>
      </c>
      <c r="F158">
        <v>427.2</v>
      </c>
      <c r="G158">
        <v>418.05</v>
      </c>
      <c r="H158">
        <v>418.3</v>
      </c>
      <c r="I158">
        <v>421.57</v>
      </c>
      <c r="J158">
        <v>471.5</v>
      </c>
      <c r="K158">
        <v>417.5</v>
      </c>
      <c r="L158" s="4">
        <v>14288751</v>
      </c>
      <c r="M158" s="3">
        <v>6023750310.8000002</v>
      </c>
      <c r="N158" s="4">
        <v>187384</v>
      </c>
      <c r="O158">
        <f t="shared" si="2"/>
        <v>-2.083333333333328E-2</v>
      </c>
    </row>
    <row r="159" spans="1:15" ht="14.25" customHeight="1" x14ac:dyDescent="0.3">
      <c r="A159" s="2">
        <v>45700</v>
      </c>
      <c r="B159" t="s">
        <v>15</v>
      </c>
      <c r="C159">
        <v>413.15</v>
      </c>
      <c r="D159">
        <v>413.8</v>
      </c>
      <c r="E159">
        <v>407.6</v>
      </c>
      <c r="F159">
        <v>418.3</v>
      </c>
      <c r="G159">
        <v>411.2</v>
      </c>
      <c r="H159">
        <v>409.9</v>
      </c>
      <c r="I159">
        <v>410.36</v>
      </c>
      <c r="J159">
        <v>471.5</v>
      </c>
      <c r="K159">
        <v>407.6</v>
      </c>
      <c r="L159" s="4">
        <v>13884574</v>
      </c>
      <c r="M159" s="3">
        <v>5697674234.6499996</v>
      </c>
      <c r="N159" s="4">
        <v>207478</v>
      </c>
      <c r="O159">
        <f t="shared" si="2"/>
        <v>-2.0081281377002231E-2</v>
      </c>
    </row>
    <row r="160" spans="1:15" ht="14.25" customHeight="1" x14ac:dyDescent="0.3">
      <c r="A160" s="2">
        <v>45701</v>
      </c>
      <c r="B160" t="s">
        <v>15</v>
      </c>
      <c r="C160">
        <v>409.95</v>
      </c>
      <c r="D160">
        <v>413.95</v>
      </c>
      <c r="E160">
        <v>409</v>
      </c>
      <c r="F160">
        <v>409.9</v>
      </c>
      <c r="G160">
        <v>410</v>
      </c>
      <c r="H160">
        <v>409.7</v>
      </c>
      <c r="I160">
        <v>411.14</v>
      </c>
      <c r="J160">
        <v>471.5</v>
      </c>
      <c r="K160">
        <v>407.6</v>
      </c>
      <c r="L160" s="4">
        <v>12989029</v>
      </c>
      <c r="M160" s="3">
        <v>5340310573.8999996</v>
      </c>
      <c r="N160" s="4">
        <v>185598</v>
      </c>
      <c r="O160">
        <f t="shared" si="2"/>
        <v>-4.8792388387408793E-4</v>
      </c>
    </row>
    <row r="161" spans="1:15" ht="14.25" customHeight="1" x14ac:dyDescent="0.3">
      <c r="A161" s="2">
        <v>45702</v>
      </c>
      <c r="B161" t="s">
        <v>15</v>
      </c>
      <c r="C161">
        <v>411.75</v>
      </c>
      <c r="D161">
        <v>416.2</v>
      </c>
      <c r="E161">
        <v>408.4</v>
      </c>
      <c r="F161">
        <v>409.7</v>
      </c>
      <c r="G161">
        <v>410</v>
      </c>
      <c r="H161">
        <v>410.25</v>
      </c>
      <c r="I161">
        <v>411.41</v>
      </c>
      <c r="J161">
        <v>471.5</v>
      </c>
      <c r="K161">
        <v>407.6</v>
      </c>
      <c r="L161" s="4">
        <v>14124236</v>
      </c>
      <c r="M161" s="3">
        <v>5810870731</v>
      </c>
      <c r="N161" s="4">
        <v>199616</v>
      </c>
      <c r="O161">
        <f t="shared" si="2"/>
        <v>1.3424456919697617E-3</v>
      </c>
    </row>
    <row r="162" spans="1:15" ht="14.25" customHeight="1" x14ac:dyDescent="0.3">
      <c r="A162" s="2">
        <v>45705</v>
      </c>
      <c r="B162" t="s">
        <v>15</v>
      </c>
      <c r="C162">
        <v>409.8</v>
      </c>
      <c r="D162">
        <v>411.4</v>
      </c>
      <c r="E162">
        <v>406.75</v>
      </c>
      <c r="F162">
        <v>410.25</v>
      </c>
      <c r="G162">
        <v>408.6</v>
      </c>
      <c r="H162">
        <v>408.6</v>
      </c>
      <c r="I162">
        <v>408.96</v>
      </c>
      <c r="J162">
        <v>471.5</v>
      </c>
      <c r="K162">
        <v>406.75</v>
      </c>
      <c r="L162" s="4">
        <v>11975265</v>
      </c>
      <c r="M162" s="3">
        <v>4897417889.1000004</v>
      </c>
      <c r="N162" s="4">
        <v>285419</v>
      </c>
      <c r="O162">
        <f t="shared" si="2"/>
        <v>-4.021937842778738E-3</v>
      </c>
    </row>
    <row r="163" spans="1:15" ht="14.25" customHeight="1" x14ac:dyDescent="0.3">
      <c r="A163" s="2">
        <v>45706</v>
      </c>
      <c r="B163" t="s">
        <v>15</v>
      </c>
      <c r="C163">
        <v>408</v>
      </c>
      <c r="D163">
        <v>410.85</v>
      </c>
      <c r="E163">
        <v>404</v>
      </c>
      <c r="F163">
        <v>408.6</v>
      </c>
      <c r="G163">
        <v>404.9</v>
      </c>
      <c r="H163">
        <v>405.25</v>
      </c>
      <c r="I163">
        <v>406.53</v>
      </c>
      <c r="J163">
        <v>471.5</v>
      </c>
      <c r="K163">
        <v>404</v>
      </c>
      <c r="L163" s="4">
        <v>12998403</v>
      </c>
      <c r="M163" s="3">
        <v>5284237636.8000002</v>
      </c>
      <c r="N163" s="4">
        <v>208753</v>
      </c>
      <c r="O163">
        <f t="shared" si="2"/>
        <v>-8.1987273617230121E-3</v>
      </c>
    </row>
    <row r="164" spans="1:15" ht="14.25" customHeight="1" x14ac:dyDescent="0.3">
      <c r="A164" s="2">
        <v>45707</v>
      </c>
      <c r="B164" t="s">
        <v>15</v>
      </c>
      <c r="C164">
        <v>404.8</v>
      </c>
      <c r="D164">
        <v>408.8</v>
      </c>
      <c r="E164">
        <v>404.5</v>
      </c>
      <c r="F164">
        <v>405.25</v>
      </c>
      <c r="G164">
        <v>406.2</v>
      </c>
      <c r="H164">
        <v>406.4</v>
      </c>
      <c r="I164">
        <v>406.89</v>
      </c>
      <c r="J164">
        <v>471.5</v>
      </c>
      <c r="K164">
        <v>404</v>
      </c>
      <c r="L164" s="4">
        <v>7079032</v>
      </c>
      <c r="M164" s="3">
        <v>2880411815.9000001</v>
      </c>
      <c r="N164" s="4">
        <v>88693</v>
      </c>
      <c r="O164">
        <f t="shared" si="2"/>
        <v>2.837754472547754E-3</v>
      </c>
    </row>
    <row r="165" spans="1:15" ht="14.25" customHeight="1" x14ac:dyDescent="0.3">
      <c r="A165" s="2">
        <v>45708</v>
      </c>
      <c r="B165" t="s">
        <v>15</v>
      </c>
      <c r="C165">
        <v>399.95</v>
      </c>
      <c r="D165">
        <v>403.9</v>
      </c>
      <c r="E165">
        <v>396.2</v>
      </c>
      <c r="F165">
        <v>406.4</v>
      </c>
      <c r="G165">
        <v>402</v>
      </c>
      <c r="H165">
        <v>402.05</v>
      </c>
      <c r="I165">
        <v>401.31</v>
      </c>
      <c r="J165">
        <v>471.5</v>
      </c>
      <c r="K165">
        <v>396.2</v>
      </c>
      <c r="L165" s="4">
        <v>15355585</v>
      </c>
      <c r="M165" s="3">
        <v>6162379397.3500004</v>
      </c>
      <c r="N165" s="4">
        <v>226856</v>
      </c>
      <c r="O165">
        <f t="shared" si="2"/>
        <v>-1.0703740157480232E-2</v>
      </c>
    </row>
    <row r="166" spans="1:15" ht="14.25" customHeight="1" x14ac:dyDescent="0.3">
      <c r="A166" s="2">
        <v>45709</v>
      </c>
      <c r="B166" t="s">
        <v>15</v>
      </c>
      <c r="C166">
        <v>402.05</v>
      </c>
      <c r="D166">
        <v>403.25</v>
      </c>
      <c r="E166">
        <v>399.2</v>
      </c>
      <c r="F166">
        <v>402.05</v>
      </c>
      <c r="G166">
        <v>400.7</v>
      </c>
      <c r="H166">
        <v>400.9</v>
      </c>
      <c r="I166">
        <v>400.75</v>
      </c>
      <c r="J166">
        <v>471.5</v>
      </c>
      <c r="K166">
        <v>396.2</v>
      </c>
      <c r="L166" s="4">
        <v>8240986</v>
      </c>
      <c r="M166" s="3">
        <v>3302544309.75</v>
      </c>
      <c r="N166" s="4">
        <v>175217</v>
      </c>
      <c r="O166">
        <f t="shared" si="2"/>
        <v>-2.860340753637692E-3</v>
      </c>
    </row>
    <row r="167" spans="1:15" ht="14.25" customHeight="1" x14ac:dyDescent="0.3">
      <c r="A167" s="2">
        <v>45712</v>
      </c>
      <c r="B167" t="s">
        <v>15</v>
      </c>
      <c r="C167">
        <v>400</v>
      </c>
      <c r="D167">
        <v>403.4</v>
      </c>
      <c r="E167">
        <v>398.75</v>
      </c>
      <c r="F167">
        <v>400.9</v>
      </c>
      <c r="G167">
        <v>402</v>
      </c>
      <c r="H167">
        <v>401.9</v>
      </c>
      <c r="I167">
        <v>401.96</v>
      </c>
      <c r="J167">
        <v>471.5</v>
      </c>
      <c r="K167">
        <v>396.2</v>
      </c>
      <c r="L167" s="4">
        <v>7037625</v>
      </c>
      <c r="M167" s="3">
        <v>2828832996.75</v>
      </c>
      <c r="N167" s="4">
        <v>121155</v>
      </c>
      <c r="O167">
        <f t="shared" si="2"/>
        <v>2.4943876278373661E-3</v>
      </c>
    </row>
    <row r="168" spans="1:15" ht="14.25" customHeight="1" x14ac:dyDescent="0.3">
      <c r="A168" s="2">
        <v>45713</v>
      </c>
      <c r="B168" t="s">
        <v>15</v>
      </c>
      <c r="C168">
        <v>402</v>
      </c>
      <c r="D168">
        <v>407</v>
      </c>
      <c r="E168">
        <v>400.5</v>
      </c>
      <c r="F168">
        <v>401.9</v>
      </c>
      <c r="G168">
        <v>404</v>
      </c>
      <c r="H168">
        <v>404.85</v>
      </c>
      <c r="I168">
        <v>404.11</v>
      </c>
      <c r="J168">
        <v>471.5</v>
      </c>
      <c r="K168">
        <v>396.2</v>
      </c>
      <c r="L168" s="4">
        <v>15760891</v>
      </c>
      <c r="M168" s="3">
        <v>6369071142.9499998</v>
      </c>
      <c r="N168" s="4">
        <v>138641</v>
      </c>
      <c r="O168">
        <f t="shared" si="2"/>
        <v>7.3401343617816514E-3</v>
      </c>
    </row>
    <row r="169" spans="1:15" ht="14.25" customHeight="1" x14ac:dyDescent="0.3">
      <c r="A169" s="2">
        <v>45715</v>
      </c>
      <c r="B169" t="s">
        <v>15</v>
      </c>
      <c r="C169">
        <v>404.85</v>
      </c>
      <c r="D169">
        <v>406.5</v>
      </c>
      <c r="E169">
        <v>399.5</v>
      </c>
      <c r="F169">
        <v>404.85</v>
      </c>
      <c r="G169">
        <v>401.5</v>
      </c>
      <c r="H169">
        <v>401.6</v>
      </c>
      <c r="I169">
        <v>401.75</v>
      </c>
      <c r="J169">
        <v>471.5</v>
      </c>
      <c r="K169">
        <v>396.2</v>
      </c>
      <c r="L169" s="4">
        <v>19051003</v>
      </c>
      <c r="M169" s="3">
        <v>7653697871.25</v>
      </c>
      <c r="N169" s="4">
        <v>163369</v>
      </c>
      <c r="O169">
        <f t="shared" si="2"/>
        <v>-8.0276645671236262E-3</v>
      </c>
    </row>
    <row r="170" spans="1:15" ht="14.25" customHeight="1" x14ac:dyDescent="0.3">
      <c r="A170" s="2">
        <v>45716</v>
      </c>
      <c r="B170" t="s">
        <v>15</v>
      </c>
      <c r="C170">
        <v>399</v>
      </c>
      <c r="D170">
        <v>402.5</v>
      </c>
      <c r="E170">
        <v>392.2</v>
      </c>
      <c r="F170">
        <v>401.6</v>
      </c>
      <c r="G170">
        <v>395.9</v>
      </c>
      <c r="H170">
        <v>395</v>
      </c>
      <c r="I170">
        <v>394.79</v>
      </c>
      <c r="J170">
        <v>471.5</v>
      </c>
      <c r="K170">
        <v>392.2</v>
      </c>
      <c r="L170" s="4">
        <v>31954776</v>
      </c>
      <c r="M170" s="3">
        <v>12615432840.9</v>
      </c>
      <c r="N170" s="4">
        <v>244503</v>
      </c>
      <c r="O170">
        <f t="shared" si="2"/>
        <v>-1.6434262948207226E-2</v>
      </c>
    </row>
    <row r="171" spans="1:15" ht="14.25" customHeight="1" x14ac:dyDescent="0.3">
      <c r="A171" s="2">
        <v>45719</v>
      </c>
      <c r="B171" t="s">
        <v>15</v>
      </c>
      <c r="C171">
        <v>395.95</v>
      </c>
      <c r="D171">
        <v>399</v>
      </c>
      <c r="E171">
        <v>391.2</v>
      </c>
      <c r="F171">
        <v>395</v>
      </c>
      <c r="G171">
        <v>397</v>
      </c>
      <c r="H171">
        <v>397.45</v>
      </c>
      <c r="I171">
        <v>396.98</v>
      </c>
      <c r="J171">
        <v>471.5</v>
      </c>
      <c r="K171">
        <v>391.2</v>
      </c>
      <c r="L171" s="4">
        <v>10702826</v>
      </c>
      <c r="M171" s="3">
        <v>4248773535.6500001</v>
      </c>
      <c r="N171" s="4">
        <v>169634</v>
      </c>
      <c r="O171">
        <f t="shared" si="2"/>
        <v>6.2025316455695916E-3</v>
      </c>
    </row>
    <row r="172" spans="1:15" ht="14.25" customHeight="1" x14ac:dyDescent="0.3">
      <c r="A172" s="2">
        <v>45720</v>
      </c>
      <c r="B172" t="s">
        <v>15</v>
      </c>
      <c r="C172">
        <v>395.4</v>
      </c>
      <c r="D172">
        <v>397.2</v>
      </c>
      <c r="E172">
        <v>392.85</v>
      </c>
      <c r="F172">
        <v>397.45</v>
      </c>
      <c r="G172">
        <v>394.45</v>
      </c>
      <c r="H172">
        <v>394.85</v>
      </c>
      <c r="I172">
        <v>394.38</v>
      </c>
      <c r="J172">
        <v>471.5</v>
      </c>
      <c r="K172">
        <v>391.2</v>
      </c>
      <c r="L172" s="4">
        <v>13404774</v>
      </c>
      <c r="M172" s="3">
        <v>5286594132.8000002</v>
      </c>
      <c r="N172" s="4">
        <v>154199</v>
      </c>
      <c r="O172">
        <f t="shared" si="2"/>
        <v>-6.5417033589129855E-3</v>
      </c>
    </row>
    <row r="173" spans="1:15" ht="14.25" customHeight="1" x14ac:dyDescent="0.3">
      <c r="A173" s="2">
        <v>45721</v>
      </c>
      <c r="B173" t="s">
        <v>15</v>
      </c>
      <c r="C173">
        <v>394.5</v>
      </c>
      <c r="D173">
        <v>412.75</v>
      </c>
      <c r="E173">
        <v>394.5</v>
      </c>
      <c r="F173">
        <v>394.85</v>
      </c>
      <c r="G173">
        <v>409.2</v>
      </c>
      <c r="H173">
        <v>405.05</v>
      </c>
      <c r="I173">
        <v>399.82</v>
      </c>
      <c r="J173">
        <v>471.5</v>
      </c>
      <c r="K173">
        <v>391.2</v>
      </c>
      <c r="L173" s="4">
        <v>15665018</v>
      </c>
      <c r="M173" s="3">
        <v>6263165318.0500002</v>
      </c>
      <c r="N173" s="4">
        <v>169098</v>
      </c>
      <c r="O173">
        <f t="shared" si="2"/>
        <v>2.5832594656198526E-2</v>
      </c>
    </row>
    <row r="174" spans="1:15" ht="14.25" customHeight="1" x14ac:dyDescent="0.3">
      <c r="A174" s="2">
        <v>45722</v>
      </c>
      <c r="B174" t="s">
        <v>15</v>
      </c>
      <c r="C174">
        <v>409.15</v>
      </c>
      <c r="D174">
        <v>409.7</v>
      </c>
      <c r="E174">
        <v>400.55</v>
      </c>
      <c r="F174">
        <v>405.05</v>
      </c>
      <c r="G174">
        <v>406.2</v>
      </c>
      <c r="H174">
        <v>405.7</v>
      </c>
      <c r="I174">
        <v>403.66</v>
      </c>
      <c r="J174">
        <v>471.5</v>
      </c>
      <c r="K174">
        <v>391.2</v>
      </c>
      <c r="L174" s="4">
        <v>17869996</v>
      </c>
      <c r="M174" s="3">
        <v>7213483492.1999998</v>
      </c>
      <c r="N174" s="4">
        <v>170718</v>
      </c>
      <c r="O174">
        <f t="shared" si="2"/>
        <v>1.6047401555362973E-3</v>
      </c>
    </row>
    <row r="175" spans="1:15" ht="14.25" customHeight="1" x14ac:dyDescent="0.3">
      <c r="A175" s="2">
        <v>45723</v>
      </c>
      <c r="B175" t="s">
        <v>15</v>
      </c>
      <c r="C175">
        <v>403.55</v>
      </c>
      <c r="D175">
        <v>405.85</v>
      </c>
      <c r="E175">
        <v>401.7</v>
      </c>
      <c r="F175">
        <v>405.7</v>
      </c>
      <c r="G175">
        <v>403.75</v>
      </c>
      <c r="H175">
        <v>403.9</v>
      </c>
      <c r="I175">
        <v>403.66</v>
      </c>
      <c r="J175">
        <v>471.5</v>
      </c>
      <c r="K175">
        <v>391.2</v>
      </c>
      <c r="L175" s="4">
        <v>11180761</v>
      </c>
      <c r="M175" s="3">
        <v>4513190673.1499996</v>
      </c>
      <c r="N175" s="4">
        <v>129975</v>
      </c>
      <c r="O175">
        <f t="shared" si="2"/>
        <v>-4.436775942814916E-3</v>
      </c>
    </row>
    <row r="176" spans="1:15" ht="14.25" customHeight="1" x14ac:dyDescent="0.3">
      <c r="A176" s="2">
        <v>45726</v>
      </c>
      <c r="B176" t="s">
        <v>15</v>
      </c>
      <c r="C176">
        <v>401.05</v>
      </c>
      <c r="D176">
        <v>406.85</v>
      </c>
      <c r="E176">
        <v>400.4</v>
      </c>
      <c r="F176">
        <v>403.9</v>
      </c>
      <c r="G176">
        <v>404.8</v>
      </c>
      <c r="H176">
        <v>405</v>
      </c>
      <c r="I176">
        <v>404.7</v>
      </c>
      <c r="J176">
        <v>471.5</v>
      </c>
      <c r="K176">
        <v>391.2</v>
      </c>
      <c r="L176" s="4">
        <v>9785018</v>
      </c>
      <c r="M176" s="3">
        <v>3960032837.25</v>
      </c>
      <c r="N176" s="4">
        <v>114078</v>
      </c>
      <c r="O176">
        <f t="shared" si="2"/>
        <v>2.7234463976232304E-3</v>
      </c>
    </row>
    <row r="177" spans="1:15" ht="14.25" customHeight="1" x14ac:dyDescent="0.3">
      <c r="A177" s="2">
        <v>45727</v>
      </c>
      <c r="B177" t="s">
        <v>15</v>
      </c>
      <c r="C177">
        <v>401.5</v>
      </c>
      <c r="D177">
        <v>408.4</v>
      </c>
      <c r="E177">
        <v>401.2</v>
      </c>
      <c r="F177">
        <v>405</v>
      </c>
      <c r="G177">
        <v>406.2</v>
      </c>
      <c r="H177">
        <v>406.2</v>
      </c>
      <c r="I177">
        <v>406.58</v>
      </c>
      <c r="J177">
        <v>471.5</v>
      </c>
      <c r="K177">
        <v>391.2</v>
      </c>
      <c r="L177" s="4">
        <v>11099475</v>
      </c>
      <c r="M177" s="3">
        <v>4512793431.6999998</v>
      </c>
      <c r="N177" s="4">
        <v>116862</v>
      </c>
      <c r="O177">
        <f t="shared" si="2"/>
        <v>2.9629629629629351E-3</v>
      </c>
    </row>
    <row r="178" spans="1:15" ht="14.25" customHeight="1" x14ac:dyDescent="0.3">
      <c r="A178" s="2">
        <v>45728</v>
      </c>
      <c r="B178" t="s">
        <v>15</v>
      </c>
      <c r="C178">
        <v>406.4</v>
      </c>
      <c r="D178">
        <v>413.3</v>
      </c>
      <c r="E178">
        <v>404</v>
      </c>
      <c r="F178">
        <v>406.2</v>
      </c>
      <c r="G178">
        <v>412.55</v>
      </c>
      <c r="H178">
        <v>412.4</v>
      </c>
      <c r="I178">
        <v>409.75</v>
      </c>
      <c r="J178">
        <v>471.5</v>
      </c>
      <c r="K178">
        <v>391.2</v>
      </c>
      <c r="L178" s="4">
        <v>13844306</v>
      </c>
      <c r="M178" s="3">
        <v>5672766834.6000004</v>
      </c>
      <c r="N178" s="4">
        <v>99237</v>
      </c>
      <c r="O178">
        <f t="shared" si="2"/>
        <v>1.5263417035942858E-2</v>
      </c>
    </row>
    <row r="179" spans="1:15" ht="14.25" customHeight="1" x14ac:dyDescent="0.3">
      <c r="A179" s="2">
        <v>45729</v>
      </c>
      <c r="B179" t="s">
        <v>15</v>
      </c>
      <c r="C179">
        <v>413</v>
      </c>
      <c r="D179">
        <v>414.4</v>
      </c>
      <c r="E179">
        <v>408.2</v>
      </c>
      <c r="F179">
        <v>412.4</v>
      </c>
      <c r="G179">
        <v>411.45</v>
      </c>
      <c r="H179">
        <v>412.05</v>
      </c>
      <c r="I179">
        <v>412.4</v>
      </c>
      <c r="J179">
        <v>471.5</v>
      </c>
      <c r="K179">
        <v>391.2</v>
      </c>
      <c r="L179" s="4">
        <v>8196569</v>
      </c>
      <c r="M179" s="3">
        <v>3380286305.6999998</v>
      </c>
      <c r="N179" s="4">
        <v>122083</v>
      </c>
      <c r="O179">
        <f t="shared" si="2"/>
        <v>-8.486905916585012E-4</v>
      </c>
    </row>
    <row r="180" spans="1:15" ht="14.25" customHeight="1" x14ac:dyDescent="0.3">
      <c r="A180" s="2">
        <v>45733</v>
      </c>
      <c r="B180" t="s">
        <v>15</v>
      </c>
      <c r="C180">
        <v>413</v>
      </c>
      <c r="D180">
        <v>416.25</v>
      </c>
      <c r="E180">
        <v>407</v>
      </c>
      <c r="F180">
        <v>412.05</v>
      </c>
      <c r="G180">
        <v>407.8</v>
      </c>
      <c r="H180">
        <v>407.95</v>
      </c>
      <c r="I180">
        <v>409.81</v>
      </c>
      <c r="J180">
        <v>471.5</v>
      </c>
      <c r="K180">
        <v>391.2</v>
      </c>
      <c r="L180" s="4">
        <v>5257859</v>
      </c>
      <c r="M180" s="3">
        <v>2154706809.4000001</v>
      </c>
      <c r="N180" s="4">
        <v>87899</v>
      </c>
      <c r="O180">
        <f t="shared" si="2"/>
        <v>-9.9502487562189608E-3</v>
      </c>
    </row>
    <row r="181" spans="1:15" ht="14.25" customHeight="1" x14ac:dyDescent="0.3">
      <c r="A181" s="2">
        <v>45734</v>
      </c>
      <c r="B181" t="s">
        <v>15</v>
      </c>
      <c r="C181">
        <v>410</v>
      </c>
      <c r="D181">
        <v>411.95</v>
      </c>
      <c r="E181">
        <v>407.75</v>
      </c>
      <c r="F181">
        <v>407.95</v>
      </c>
      <c r="G181">
        <v>409.5</v>
      </c>
      <c r="H181">
        <v>409.1</v>
      </c>
      <c r="I181">
        <v>409.5</v>
      </c>
      <c r="J181">
        <v>471.5</v>
      </c>
      <c r="K181">
        <v>391.2</v>
      </c>
      <c r="L181" s="4">
        <v>13861897</v>
      </c>
      <c r="M181" s="3">
        <v>5676500784.8500004</v>
      </c>
      <c r="N181" s="4">
        <v>106364</v>
      </c>
      <c r="O181">
        <f t="shared" si="2"/>
        <v>2.8189729133473074E-3</v>
      </c>
    </row>
    <row r="182" spans="1:15" ht="14.25" customHeight="1" x14ac:dyDescent="0.3">
      <c r="A182" s="2">
        <v>45735</v>
      </c>
      <c r="B182" t="s">
        <v>15</v>
      </c>
      <c r="C182">
        <v>410</v>
      </c>
      <c r="D182">
        <v>410.75</v>
      </c>
      <c r="E182">
        <v>402.6</v>
      </c>
      <c r="F182">
        <v>409.1</v>
      </c>
      <c r="G182">
        <v>403.4</v>
      </c>
      <c r="H182">
        <v>403.05</v>
      </c>
      <c r="I182">
        <v>404.51</v>
      </c>
      <c r="J182">
        <v>471.5</v>
      </c>
      <c r="K182">
        <v>391.2</v>
      </c>
      <c r="L182" s="4">
        <v>12830387</v>
      </c>
      <c r="M182" s="3">
        <v>5189984214.6000004</v>
      </c>
      <c r="N182" s="4">
        <v>135494</v>
      </c>
      <c r="O182">
        <f t="shared" si="2"/>
        <v>-1.47885602542166E-2</v>
      </c>
    </row>
    <row r="183" spans="1:15" ht="14.25" customHeight="1" x14ac:dyDescent="0.3">
      <c r="A183" s="2">
        <v>45736</v>
      </c>
      <c r="B183" t="s">
        <v>15</v>
      </c>
      <c r="C183">
        <v>405</v>
      </c>
      <c r="D183">
        <v>406.65</v>
      </c>
      <c r="E183">
        <v>401.9</v>
      </c>
      <c r="F183">
        <v>403.05</v>
      </c>
      <c r="G183">
        <v>403.6</v>
      </c>
      <c r="H183">
        <v>403.95</v>
      </c>
      <c r="I183">
        <v>403.5</v>
      </c>
      <c r="J183">
        <v>471.5</v>
      </c>
      <c r="K183">
        <v>391.2</v>
      </c>
      <c r="L183" s="4">
        <v>16994037</v>
      </c>
      <c r="M183" s="3">
        <v>6857153651.6499996</v>
      </c>
      <c r="N183" s="4">
        <v>125979</v>
      </c>
      <c r="O183">
        <f t="shared" si="2"/>
        <v>2.2329735764792884E-3</v>
      </c>
    </row>
    <row r="184" spans="1:15" ht="14.25" customHeight="1" x14ac:dyDescent="0.3">
      <c r="A184" s="2">
        <v>45737</v>
      </c>
      <c r="B184" t="s">
        <v>15</v>
      </c>
      <c r="C184">
        <v>405.95</v>
      </c>
      <c r="D184">
        <v>407.5</v>
      </c>
      <c r="E184">
        <v>401.7</v>
      </c>
      <c r="F184">
        <v>403.95</v>
      </c>
      <c r="G184">
        <v>406.5</v>
      </c>
      <c r="H184">
        <v>405.55</v>
      </c>
      <c r="I184">
        <v>404.1</v>
      </c>
      <c r="J184">
        <v>471.5</v>
      </c>
      <c r="K184">
        <v>391.2</v>
      </c>
      <c r="L184" s="4">
        <v>25302035</v>
      </c>
      <c r="M184" s="3">
        <v>10224618507.85</v>
      </c>
      <c r="N184" s="4">
        <v>130427</v>
      </c>
      <c r="O184">
        <f t="shared" si="2"/>
        <v>3.9608862482981132E-3</v>
      </c>
    </row>
    <row r="185" spans="1:15" ht="14.25" customHeight="1" x14ac:dyDescent="0.3">
      <c r="A185" s="2">
        <v>45740</v>
      </c>
      <c r="B185" t="s">
        <v>15</v>
      </c>
      <c r="C185">
        <v>407</v>
      </c>
      <c r="D185">
        <v>412.85</v>
      </c>
      <c r="E185">
        <v>405.6</v>
      </c>
      <c r="F185">
        <v>405.55</v>
      </c>
      <c r="G185">
        <v>411</v>
      </c>
      <c r="H185">
        <v>410.9</v>
      </c>
      <c r="I185">
        <v>409.64</v>
      </c>
      <c r="J185">
        <v>471.5</v>
      </c>
      <c r="K185">
        <v>391.2</v>
      </c>
      <c r="L185" s="4">
        <v>14362572</v>
      </c>
      <c r="M185" s="3">
        <v>5883505695.5</v>
      </c>
      <c r="N185" s="4">
        <v>138703</v>
      </c>
      <c r="O185">
        <f t="shared" si="2"/>
        <v>1.3191961533719555E-2</v>
      </c>
    </row>
    <row r="186" spans="1:15" ht="14.25" customHeight="1" x14ac:dyDescent="0.3">
      <c r="A186" s="2">
        <v>45741</v>
      </c>
      <c r="B186" t="s">
        <v>15</v>
      </c>
      <c r="C186">
        <v>412</v>
      </c>
      <c r="D186">
        <v>415.25</v>
      </c>
      <c r="E186">
        <v>408.7</v>
      </c>
      <c r="F186">
        <v>410.9</v>
      </c>
      <c r="G186">
        <v>409.2</v>
      </c>
      <c r="H186">
        <v>409.8</v>
      </c>
      <c r="I186">
        <v>411.17</v>
      </c>
      <c r="J186">
        <v>471.5</v>
      </c>
      <c r="K186">
        <v>391.2</v>
      </c>
      <c r="L186" s="4">
        <v>20338110</v>
      </c>
      <c r="M186" s="3">
        <v>8362411027.5</v>
      </c>
      <c r="N186" s="4">
        <v>138414</v>
      </c>
      <c r="O186">
        <f t="shared" si="2"/>
        <v>-2.6770503772206521E-3</v>
      </c>
    </row>
    <row r="187" spans="1:15" ht="14.25" customHeight="1" x14ac:dyDescent="0.3">
      <c r="A187" s="2">
        <v>45742</v>
      </c>
      <c r="B187" t="s">
        <v>15</v>
      </c>
      <c r="C187">
        <v>410.3</v>
      </c>
      <c r="D187">
        <v>411.2</v>
      </c>
      <c r="E187">
        <v>406.25</v>
      </c>
      <c r="F187">
        <v>409.8</v>
      </c>
      <c r="G187">
        <v>407.4</v>
      </c>
      <c r="H187">
        <v>407.35</v>
      </c>
      <c r="I187">
        <v>409.03</v>
      </c>
      <c r="J187">
        <v>471.5</v>
      </c>
      <c r="K187">
        <v>391.2</v>
      </c>
      <c r="L187" s="4">
        <v>13891436</v>
      </c>
      <c r="M187" s="3">
        <v>5681950426.0500002</v>
      </c>
      <c r="N187" s="4">
        <v>103317</v>
      </c>
      <c r="O187">
        <f t="shared" si="2"/>
        <v>-5.9785261102976786E-3</v>
      </c>
    </row>
    <row r="188" spans="1:15" ht="14.25" customHeight="1" x14ac:dyDescent="0.3">
      <c r="A188" s="2">
        <v>45743</v>
      </c>
      <c r="B188" t="s">
        <v>15</v>
      </c>
      <c r="C188">
        <v>408</v>
      </c>
      <c r="D188">
        <v>410.7</v>
      </c>
      <c r="E188">
        <v>405.65</v>
      </c>
      <c r="F188">
        <v>407.35</v>
      </c>
      <c r="G188">
        <v>409.35</v>
      </c>
      <c r="H188">
        <v>409.45</v>
      </c>
      <c r="I188">
        <v>409.35</v>
      </c>
      <c r="J188">
        <v>471.5</v>
      </c>
      <c r="K188">
        <v>391.2</v>
      </c>
      <c r="L188" s="4">
        <v>18642328</v>
      </c>
      <c r="M188" s="3">
        <v>7631235472.1999998</v>
      </c>
      <c r="N188" s="4">
        <v>153590</v>
      </c>
      <c r="O188">
        <f t="shared" si="2"/>
        <v>5.1552718792192602E-3</v>
      </c>
    </row>
    <row r="189" spans="1:15" ht="14.25" customHeight="1" x14ac:dyDescent="0.3">
      <c r="A189" s="2">
        <v>45744</v>
      </c>
      <c r="B189" t="s">
        <v>15</v>
      </c>
      <c r="C189">
        <v>410.9</v>
      </c>
      <c r="D189">
        <v>415.6</v>
      </c>
      <c r="E189">
        <v>408.15</v>
      </c>
      <c r="F189">
        <v>409.45</v>
      </c>
      <c r="G189">
        <v>410.25</v>
      </c>
      <c r="H189">
        <v>409.75</v>
      </c>
      <c r="I189">
        <v>410.91</v>
      </c>
      <c r="J189">
        <v>471.5</v>
      </c>
      <c r="K189">
        <v>391.2</v>
      </c>
      <c r="L189" s="4">
        <v>12981873</v>
      </c>
      <c r="M189" s="3">
        <v>5334443057.8999996</v>
      </c>
      <c r="N189" s="4">
        <v>114689</v>
      </c>
      <c r="O189">
        <f t="shared" si="2"/>
        <v>7.3269019416292926E-4</v>
      </c>
    </row>
    <row r="190" spans="1:15" ht="14.25" customHeight="1" x14ac:dyDescent="0.3">
      <c r="A190" s="2">
        <v>45748</v>
      </c>
      <c r="B190" t="s">
        <v>15</v>
      </c>
      <c r="C190">
        <v>409.8</v>
      </c>
      <c r="D190">
        <v>414.4</v>
      </c>
      <c r="E190">
        <v>405.6</v>
      </c>
      <c r="F190">
        <v>409.75</v>
      </c>
      <c r="G190">
        <v>406.6</v>
      </c>
      <c r="H190">
        <v>406.65</v>
      </c>
      <c r="I190">
        <v>409.28</v>
      </c>
      <c r="J190">
        <v>471.5</v>
      </c>
      <c r="K190">
        <v>391.2</v>
      </c>
      <c r="L190" s="4">
        <v>15206240</v>
      </c>
      <c r="M190" s="3">
        <v>6223651577.6000004</v>
      </c>
      <c r="N190" s="4">
        <v>127499</v>
      </c>
      <c r="O190">
        <f t="shared" si="2"/>
        <v>-7.5655887736425205E-3</v>
      </c>
    </row>
    <row r="191" spans="1:15" ht="14.25" customHeight="1" x14ac:dyDescent="0.3">
      <c r="A191" s="2">
        <v>45749</v>
      </c>
      <c r="B191" t="s">
        <v>15</v>
      </c>
      <c r="C191">
        <v>407.05</v>
      </c>
      <c r="D191">
        <v>410</v>
      </c>
      <c r="E191">
        <v>406.05</v>
      </c>
      <c r="F191">
        <v>406.65</v>
      </c>
      <c r="G191">
        <v>408.7</v>
      </c>
      <c r="H191">
        <v>409.05</v>
      </c>
      <c r="I191">
        <v>408.65</v>
      </c>
      <c r="J191">
        <v>471.5</v>
      </c>
      <c r="K191">
        <v>391.2</v>
      </c>
      <c r="L191" s="4">
        <v>8001323</v>
      </c>
      <c r="M191" s="3">
        <v>3269711918.8000002</v>
      </c>
      <c r="N191" s="4">
        <v>72562</v>
      </c>
      <c r="O191">
        <f t="shared" si="2"/>
        <v>5.9018812246404385E-3</v>
      </c>
    </row>
    <row r="192" spans="1:15" ht="14.25" customHeight="1" x14ac:dyDescent="0.3">
      <c r="A192" s="2">
        <v>45750</v>
      </c>
      <c r="B192" t="s">
        <v>15</v>
      </c>
      <c r="C192">
        <v>407.05</v>
      </c>
      <c r="D192">
        <v>410.2</v>
      </c>
      <c r="E192">
        <v>406.7</v>
      </c>
      <c r="F192">
        <v>409.05</v>
      </c>
      <c r="G192">
        <v>409</v>
      </c>
      <c r="H192">
        <v>409.4</v>
      </c>
      <c r="I192">
        <v>408.93</v>
      </c>
      <c r="J192">
        <v>471.5</v>
      </c>
      <c r="K192">
        <v>391.2</v>
      </c>
      <c r="L192" s="4">
        <v>7059566</v>
      </c>
      <c r="M192" s="3">
        <v>2886881314.8499999</v>
      </c>
      <c r="N192" s="4">
        <v>78934</v>
      </c>
      <c r="O192">
        <f t="shared" si="2"/>
        <v>8.5564111966743891E-4</v>
      </c>
    </row>
    <row r="193" spans="1:15" ht="14.25" customHeight="1" x14ac:dyDescent="0.3">
      <c r="A193" s="2">
        <v>45751</v>
      </c>
      <c r="B193" t="s">
        <v>15</v>
      </c>
      <c r="C193">
        <v>407.5</v>
      </c>
      <c r="D193">
        <v>412.8</v>
      </c>
      <c r="E193">
        <v>404.5</v>
      </c>
      <c r="F193">
        <v>409.4</v>
      </c>
      <c r="G193">
        <v>409.3</v>
      </c>
      <c r="H193">
        <v>409.7</v>
      </c>
      <c r="I193">
        <v>409.44</v>
      </c>
      <c r="J193">
        <v>471.5</v>
      </c>
      <c r="K193">
        <v>391.2</v>
      </c>
      <c r="L193" s="4">
        <v>18627592</v>
      </c>
      <c r="M193" s="3">
        <v>7626798175.75</v>
      </c>
      <c r="N193" s="4">
        <v>149408</v>
      </c>
      <c r="O193">
        <f t="shared" si="2"/>
        <v>7.3277967757696971E-4</v>
      </c>
    </row>
    <row r="194" spans="1:15" ht="14.25" customHeight="1" x14ac:dyDescent="0.3">
      <c r="A194" s="2">
        <v>45754</v>
      </c>
      <c r="B194" t="s">
        <v>15</v>
      </c>
      <c r="C194">
        <v>390.15</v>
      </c>
      <c r="D194">
        <v>408.1</v>
      </c>
      <c r="E194">
        <v>390.15</v>
      </c>
      <c r="F194">
        <v>409.7</v>
      </c>
      <c r="G194">
        <v>406.75</v>
      </c>
      <c r="H194">
        <v>406.05</v>
      </c>
      <c r="I194">
        <v>403.02</v>
      </c>
      <c r="J194">
        <v>471.5</v>
      </c>
      <c r="K194">
        <v>390.15</v>
      </c>
      <c r="L194" s="4">
        <v>26762866</v>
      </c>
      <c r="M194" s="3">
        <v>10785870136.450001</v>
      </c>
      <c r="N194" s="4">
        <v>307280</v>
      </c>
      <c r="O194">
        <f t="shared" si="2"/>
        <v>-8.9089577739809057E-3</v>
      </c>
    </row>
    <row r="195" spans="1:15" ht="14.25" customHeight="1" x14ac:dyDescent="0.3">
      <c r="A195" s="2">
        <v>45755</v>
      </c>
      <c r="B195" t="s">
        <v>15</v>
      </c>
      <c r="C195">
        <v>411.9</v>
      </c>
      <c r="D195">
        <v>415.8</v>
      </c>
      <c r="E195">
        <v>407.25</v>
      </c>
      <c r="F195">
        <v>406.05</v>
      </c>
      <c r="G195">
        <v>413.5</v>
      </c>
      <c r="H195">
        <v>412.55</v>
      </c>
      <c r="I195">
        <v>411.57</v>
      </c>
      <c r="J195">
        <v>471.5</v>
      </c>
      <c r="K195">
        <v>390.15</v>
      </c>
      <c r="L195" s="4">
        <v>18600796</v>
      </c>
      <c r="M195" s="3">
        <v>7655492505.5</v>
      </c>
      <c r="N195" s="4">
        <v>234584</v>
      </c>
      <c r="O195">
        <f t="shared" ref="O195:O258" si="3">(H195-H194)/H194</f>
        <v>1.600788080285679E-2</v>
      </c>
    </row>
    <row r="196" spans="1:15" ht="14.25" customHeight="1" x14ac:dyDescent="0.3">
      <c r="A196" s="2">
        <v>45756</v>
      </c>
      <c r="B196" t="s">
        <v>15</v>
      </c>
      <c r="C196">
        <v>413</v>
      </c>
      <c r="D196">
        <v>419.05</v>
      </c>
      <c r="E196">
        <v>411.25</v>
      </c>
      <c r="F196">
        <v>412.55</v>
      </c>
      <c r="G196">
        <v>416.15</v>
      </c>
      <c r="H196">
        <v>416.3</v>
      </c>
      <c r="I196">
        <v>416.41</v>
      </c>
      <c r="J196">
        <v>471.5</v>
      </c>
      <c r="K196">
        <v>390.15</v>
      </c>
      <c r="L196" s="4">
        <v>21785572</v>
      </c>
      <c r="M196" s="3">
        <v>9071650104.3500004</v>
      </c>
      <c r="N196" s="4">
        <v>242191</v>
      </c>
      <c r="O196">
        <f t="shared" si="3"/>
        <v>9.089807296085323E-3</v>
      </c>
    </row>
    <row r="197" spans="1:15" ht="14.25" customHeight="1" x14ac:dyDescent="0.3">
      <c r="A197" s="2">
        <v>45758</v>
      </c>
      <c r="B197" t="s">
        <v>15</v>
      </c>
      <c r="C197">
        <v>420</v>
      </c>
      <c r="D197">
        <v>422.45</v>
      </c>
      <c r="E197">
        <v>417</v>
      </c>
      <c r="F197">
        <v>416.3</v>
      </c>
      <c r="G197">
        <v>422</v>
      </c>
      <c r="H197">
        <v>421.55</v>
      </c>
      <c r="I197">
        <v>420.4</v>
      </c>
      <c r="J197">
        <v>471.5</v>
      </c>
      <c r="K197">
        <v>390.15</v>
      </c>
      <c r="L197" s="4">
        <v>8939356</v>
      </c>
      <c r="M197" s="3">
        <v>3758063114.5500002</v>
      </c>
      <c r="N197" s="4">
        <v>98015</v>
      </c>
      <c r="O197">
        <f t="shared" si="3"/>
        <v>1.2611097766034109E-2</v>
      </c>
    </row>
    <row r="198" spans="1:15" ht="14.25" customHeight="1" x14ac:dyDescent="0.3">
      <c r="A198" s="2">
        <v>45762</v>
      </c>
      <c r="B198" t="s">
        <v>15</v>
      </c>
      <c r="C198">
        <v>429.2</v>
      </c>
      <c r="D198">
        <v>429.2</v>
      </c>
      <c r="E198">
        <v>419</v>
      </c>
      <c r="F198">
        <v>421.55</v>
      </c>
      <c r="G198">
        <v>420.35</v>
      </c>
      <c r="H198">
        <v>420.4</v>
      </c>
      <c r="I198">
        <v>421.35</v>
      </c>
      <c r="J198">
        <v>471.5</v>
      </c>
      <c r="K198">
        <v>390.15</v>
      </c>
      <c r="L198" s="4">
        <v>11685880</v>
      </c>
      <c r="M198" s="3">
        <v>4923848655.8000002</v>
      </c>
      <c r="N198" s="4">
        <v>129742</v>
      </c>
      <c r="O198">
        <f t="shared" si="3"/>
        <v>-2.7280275174950399E-3</v>
      </c>
    </row>
    <row r="199" spans="1:15" ht="14.25" customHeight="1" x14ac:dyDescent="0.3">
      <c r="A199" s="2">
        <v>45763</v>
      </c>
      <c r="B199" t="s">
        <v>15</v>
      </c>
      <c r="C199">
        <v>418</v>
      </c>
      <c r="D199">
        <v>426.05</v>
      </c>
      <c r="E199">
        <v>418</v>
      </c>
      <c r="F199">
        <v>420.4</v>
      </c>
      <c r="G199">
        <v>424.9</v>
      </c>
      <c r="H199">
        <v>424.45</v>
      </c>
      <c r="I199">
        <v>423.29</v>
      </c>
      <c r="J199">
        <v>471.5</v>
      </c>
      <c r="K199">
        <v>390.15</v>
      </c>
      <c r="L199" s="4">
        <v>13034594</v>
      </c>
      <c r="M199" s="3">
        <v>5517451893.1499996</v>
      </c>
      <c r="N199" s="4">
        <v>115189</v>
      </c>
      <c r="O199">
        <f t="shared" si="3"/>
        <v>9.6336822074215307E-3</v>
      </c>
    </row>
    <row r="200" spans="1:15" ht="14.25" customHeight="1" x14ac:dyDescent="0.3">
      <c r="A200" s="2">
        <v>45764</v>
      </c>
      <c r="B200" t="s">
        <v>15</v>
      </c>
      <c r="C200">
        <v>425</v>
      </c>
      <c r="D200">
        <v>427.85</v>
      </c>
      <c r="E200">
        <v>421.55</v>
      </c>
      <c r="F200">
        <v>424.45</v>
      </c>
      <c r="G200">
        <v>427</v>
      </c>
      <c r="H200">
        <v>427.25</v>
      </c>
      <c r="I200">
        <v>425.37</v>
      </c>
      <c r="J200">
        <v>471.5</v>
      </c>
      <c r="K200">
        <v>390.15</v>
      </c>
      <c r="L200" s="4">
        <v>22410217</v>
      </c>
      <c r="M200" s="3">
        <v>9532679412.8999996</v>
      </c>
      <c r="N200" s="4">
        <v>222404</v>
      </c>
      <c r="O200">
        <f t="shared" si="3"/>
        <v>6.5967722935563943E-3</v>
      </c>
    </row>
    <row r="201" spans="1:15" ht="14.25" customHeight="1" x14ac:dyDescent="0.3">
      <c r="A201" s="2">
        <v>45768</v>
      </c>
      <c r="B201" t="s">
        <v>15</v>
      </c>
      <c r="C201">
        <v>428.05</v>
      </c>
      <c r="D201">
        <v>429.1</v>
      </c>
      <c r="E201">
        <v>421.5</v>
      </c>
      <c r="F201">
        <v>427.25</v>
      </c>
      <c r="G201">
        <v>422.95</v>
      </c>
      <c r="H201">
        <v>422.85</v>
      </c>
      <c r="I201">
        <v>422.51</v>
      </c>
      <c r="J201">
        <v>471.5</v>
      </c>
      <c r="K201">
        <v>390.15</v>
      </c>
      <c r="L201" s="4">
        <v>27388236</v>
      </c>
      <c r="M201" s="3">
        <v>11571885187.299999</v>
      </c>
      <c r="N201" s="4">
        <v>218049</v>
      </c>
      <c r="O201">
        <f t="shared" si="3"/>
        <v>-1.0298420128730199E-2</v>
      </c>
    </row>
    <row r="202" spans="1:15" ht="14.25" customHeight="1" x14ac:dyDescent="0.3">
      <c r="A202" s="2">
        <v>45769</v>
      </c>
      <c r="B202" t="s">
        <v>15</v>
      </c>
      <c r="C202">
        <v>425.95</v>
      </c>
      <c r="D202">
        <v>434.8</v>
      </c>
      <c r="E202">
        <v>423.55</v>
      </c>
      <c r="F202">
        <v>422.85</v>
      </c>
      <c r="G202">
        <v>432.85</v>
      </c>
      <c r="H202">
        <v>433.6</v>
      </c>
      <c r="I202">
        <v>427.96</v>
      </c>
      <c r="J202">
        <v>471.5</v>
      </c>
      <c r="K202">
        <v>390.15</v>
      </c>
      <c r="L202" s="4">
        <v>32031936</v>
      </c>
      <c r="M202" s="3">
        <v>13708485407.15</v>
      </c>
      <c r="N202" s="4">
        <v>167601</v>
      </c>
      <c r="O202">
        <f t="shared" si="3"/>
        <v>2.5422726735248907E-2</v>
      </c>
    </row>
    <row r="203" spans="1:15" ht="14.25" customHeight="1" x14ac:dyDescent="0.3">
      <c r="A203" s="2">
        <v>45770</v>
      </c>
      <c r="B203" t="s">
        <v>15</v>
      </c>
      <c r="C203">
        <v>436.2</v>
      </c>
      <c r="D203">
        <v>437.45</v>
      </c>
      <c r="E203">
        <v>428.85</v>
      </c>
      <c r="F203">
        <v>433.6</v>
      </c>
      <c r="G203">
        <v>430.15</v>
      </c>
      <c r="H203">
        <v>430.85</v>
      </c>
      <c r="I203">
        <v>431.14</v>
      </c>
      <c r="J203">
        <v>471.5</v>
      </c>
      <c r="K203">
        <v>390.15</v>
      </c>
      <c r="L203" s="4">
        <v>19566317</v>
      </c>
      <c r="M203" s="3">
        <v>8435917733.6499996</v>
      </c>
      <c r="N203" s="4">
        <v>144472</v>
      </c>
      <c r="O203">
        <f t="shared" si="3"/>
        <v>-6.3422509225092251E-3</v>
      </c>
    </row>
    <row r="204" spans="1:15" ht="14.25" customHeight="1" x14ac:dyDescent="0.3">
      <c r="A204" s="2">
        <v>45771</v>
      </c>
      <c r="B204" t="s">
        <v>15</v>
      </c>
      <c r="C204">
        <v>431.85</v>
      </c>
      <c r="D204">
        <v>436.05</v>
      </c>
      <c r="E204">
        <v>429.3</v>
      </c>
      <c r="F204">
        <v>430.85</v>
      </c>
      <c r="G204">
        <v>429.85</v>
      </c>
      <c r="H204">
        <v>430.05</v>
      </c>
      <c r="I204">
        <v>431.79</v>
      </c>
      <c r="J204">
        <v>471.5</v>
      </c>
      <c r="K204">
        <v>390.15</v>
      </c>
      <c r="L204" s="4">
        <v>26064089</v>
      </c>
      <c r="M204" s="3">
        <v>11254147788.1</v>
      </c>
      <c r="N204" s="4">
        <v>134018</v>
      </c>
      <c r="O204">
        <f t="shared" si="3"/>
        <v>-1.856794708135108E-3</v>
      </c>
    </row>
    <row r="205" spans="1:15" ht="14.25" customHeight="1" x14ac:dyDescent="0.3">
      <c r="A205" s="2">
        <v>45772</v>
      </c>
      <c r="B205" t="s">
        <v>15</v>
      </c>
      <c r="C205">
        <v>430.05</v>
      </c>
      <c r="D205">
        <v>432.7</v>
      </c>
      <c r="E205">
        <v>423.3</v>
      </c>
      <c r="F205">
        <v>430.05</v>
      </c>
      <c r="G205">
        <v>427.6</v>
      </c>
      <c r="H205">
        <v>427.8</v>
      </c>
      <c r="I205">
        <v>425.99</v>
      </c>
      <c r="J205">
        <v>471.5</v>
      </c>
      <c r="K205">
        <v>390.15</v>
      </c>
      <c r="L205" s="4">
        <v>22944377</v>
      </c>
      <c r="M205" s="3">
        <v>9774087061.5</v>
      </c>
      <c r="N205" s="4">
        <v>120877</v>
      </c>
      <c r="O205">
        <f t="shared" si="3"/>
        <v>-5.2319497732821766E-3</v>
      </c>
    </row>
    <row r="206" spans="1:15" ht="14.25" customHeight="1" x14ac:dyDescent="0.3">
      <c r="A206" s="2">
        <v>45775</v>
      </c>
      <c r="B206" t="s">
        <v>15</v>
      </c>
      <c r="C206">
        <v>426.65</v>
      </c>
      <c r="D206">
        <v>430.5</v>
      </c>
      <c r="E206">
        <v>424.75</v>
      </c>
      <c r="F206">
        <v>427.8</v>
      </c>
      <c r="G206">
        <v>428.75</v>
      </c>
      <c r="H206">
        <v>428.8</v>
      </c>
      <c r="I206">
        <v>428.56</v>
      </c>
      <c r="J206">
        <v>471.5</v>
      </c>
      <c r="K206">
        <v>390.15</v>
      </c>
      <c r="L206" s="4">
        <v>6287095</v>
      </c>
      <c r="M206" s="3">
        <v>2694427013.8499999</v>
      </c>
      <c r="N206" s="4">
        <v>73016</v>
      </c>
      <c r="O206">
        <f t="shared" si="3"/>
        <v>2.3375409069658717E-3</v>
      </c>
    </row>
    <row r="207" spans="1:15" ht="14.25" customHeight="1" x14ac:dyDescent="0.3">
      <c r="A207" s="2">
        <v>45776</v>
      </c>
      <c r="B207" t="s">
        <v>15</v>
      </c>
      <c r="C207">
        <v>428.9</v>
      </c>
      <c r="D207">
        <v>429.6</v>
      </c>
      <c r="E207">
        <v>425</v>
      </c>
      <c r="F207">
        <v>428.8</v>
      </c>
      <c r="G207">
        <v>425.35</v>
      </c>
      <c r="H207">
        <v>426</v>
      </c>
      <c r="I207">
        <v>426.31</v>
      </c>
      <c r="J207">
        <v>471.5</v>
      </c>
      <c r="K207">
        <v>390.15</v>
      </c>
      <c r="L207" s="4">
        <v>11189930</v>
      </c>
      <c r="M207" s="3">
        <v>4770331679.8000002</v>
      </c>
      <c r="N207" s="4">
        <v>228223</v>
      </c>
      <c r="O207">
        <f t="shared" si="3"/>
        <v>-6.5298507462686834E-3</v>
      </c>
    </row>
    <row r="208" spans="1:15" ht="14.25" customHeight="1" x14ac:dyDescent="0.3">
      <c r="A208" s="2">
        <v>45777</v>
      </c>
      <c r="B208" t="s">
        <v>15</v>
      </c>
      <c r="C208">
        <v>427.4</v>
      </c>
      <c r="D208">
        <v>429.3</v>
      </c>
      <c r="E208">
        <v>422</v>
      </c>
      <c r="F208">
        <v>426</v>
      </c>
      <c r="G208">
        <v>425</v>
      </c>
      <c r="H208">
        <v>425.8</v>
      </c>
      <c r="I208">
        <v>426.72</v>
      </c>
      <c r="J208">
        <v>471.5</v>
      </c>
      <c r="K208">
        <v>390.15</v>
      </c>
      <c r="L208" s="4">
        <v>10026546</v>
      </c>
      <c r="M208" s="3">
        <v>4278552724.8000002</v>
      </c>
      <c r="N208" s="4">
        <v>197832</v>
      </c>
      <c r="O208">
        <f t="shared" si="3"/>
        <v>-4.6948356807509069E-4</v>
      </c>
    </row>
    <row r="209" spans="1:15" ht="14.25" customHeight="1" x14ac:dyDescent="0.3">
      <c r="A209" s="2">
        <v>45779</v>
      </c>
      <c r="B209" t="s">
        <v>15</v>
      </c>
      <c r="C209">
        <v>424.1</v>
      </c>
      <c r="D209">
        <v>431.5</v>
      </c>
      <c r="E209">
        <v>424.1</v>
      </c>
      <c r="F209">
        <v>425.8</v>
      </c>
      <c r="G209">
        <v>429.3</v>
      </c>
      <c r="H209">
        <v>430.25</v>
      </c>
      <c r="I209">
        <v>428.82</v>
      </c>
      <c r="J209">
        <v>471.5</v>
      </c>
      <c r="K209">
        <v>390.15</v>
      </c>
      <c r="L209" s="4">
        <v>12769461</v>
      </c>
      <c r="M209" s="3">
        <v>5475858517.6499996</v>
      </c>
      <c r="N209" s="4">
        <v>115137</v>
      </c>
      <c r="O209">
        <f t="shared" si="3"/>
        <v>1.0450915922968504E-2</v>
      </c>
    </row>
    <row r="210" spans="1:15" ht="14.25" customHeight="1" x14ac:dyDescent="0.3">
      <c r="A210" s="2">
        <v>45782</v>
      </c>
      <c r="B210" t="s">
        <v>15</v>
      </c>
      <c r="C210">
        <v>430.25</v>
      </c>
      <c r="D210">
        <v>438.5</v>
      </c>
      <c r="E210">
        <v>429.35</v>
      </c>
      <c r="F210">
        <v>430.25</v>
      </c>
      <c r="G210">
        <v>437.5</v>
      </c>
      <c r="H210">
        <v>436.95</v>
      </c>
      <c r="I210">
        <v>436.11</v>
      </c>
      <c r="J210">
        <v>471.5</v>
      </c>
      <c r="K210">
        <v>390.15</v>
      </c>
      <c r="L210" s="4">
        <v>11525305</v>
      </c>
      <c r="M210" s="3">
        <v>5026339793.8000002</v>
      </c>
      <c r="N210" s="4">
        <v>117066</v>
      </c>
      <c r="O210">
        <f t="shared" si="3"/>
        <v>1.5572341661824494E-2</v>
      </c>
    </row>
    <row r="211" spans="1:15" ht="14.25" customHeight="1" x14ac:dyDescent="0.3">
      <c r="A211" s="2">
        <v>45783</v>
      </c>
      <c r="B211" t="s">
        <v>15</v>
      </c>
      <c r="C211">
        <v>437.5</v>
      </c>
      <c r="D211">
        <v>439.65</v>
      </c>
      <c r="E211">
        <v>433</v>
      </c>
      <c r="F211">
        <v>436.95</v>
      </c>
      <c r="G211">
        <v>433.2</v>
      </c>
      <c r="H211">
        <v>435.55</v>
      </c>
      <c r="I211">
        <v>436.24</v>
      </c>
      <c r="J211">
        <v>471.5</v>
      </c>
      <c r="K211">
        <v>390.15</v>
      </c>
      <c r="L211" s="4">
        <v>15026568</v>
      </c>
      <c r="M211" s="3">
        <v>6555176631.8999996</v>
      </c>
      <c r="N211" s="4">
        <v>133609</v>
      </c>
      <c r="O211">
        <f t="shared" si="3"/>
        <v>-3.2040279208146866E-3</v>
      </c>
    </row>
    <row r="212" spans="1:15" ht="14.25" customHeight="1" x14ac:dyDescent="0.3">
      <c r="A212" s="2">
        <v>45784</v>
      </c>
      <c r="B212" t="s">
        <v>15</v>
      </c>
      <c r="C212">
        <v>433.4</v>
      </c>
      <c r="D212">
        <v>435</v>
      </c>
      <c r="E212">
        <v>429.7</v>
      </c>
      <c r="F212">
        <v>435.55</v>
      </c>
      <c r="G212">
        <v>430.15</v>
      </c>
      <c r="H212">
        <v>431.15</v>
      </c>
      <c r="I212">
        <v>431.77</v>
      </c>
      <c r="J212">
        <v>471.5</v>
      </c>
      <c r="K212">
        <v>390.15</v>
      </c>
      <c r="L212" s="4">
        <v>9710361</v>
      </c>
      <c r="M212" s="3">
        <v>4192656819.5999999</v>
      </c>
      <c r="N212" s="4">
        <v>148037</v>
      </c>
      <c r="O212">
        <f t="shared" si="3"/>
        <v>-1.010216967053159E-2</v>
      </c>
    </row>
    <row r="213" spans="1:15" ht="14.25" customHeight="1" x14ac:dyDescent="0.3">
      <c r="A213" s="2">
        <v>45785</v>
      </c>
      <c r="B213" t="s">
        <v>15</v>
      </c>
      <c r="C213">
        <v>429</v>
      </c>
      <c r="D213">
        <v>431.5</v>
      </c>
      <c r="E213">
        <v>423.55</v>
      </c>
      <c r="F213">
        <v>431.15</v>
      </c>
      <c r="G213">
        <v>429.4</v>
      </c>
      <c r="H213">
        <v>430.6</v>
      </c>
      <c r="I213">
        <v>428.99</v>
      </c>
      <c r="J213">
        <v>471.5</v>
      </c>
      <c r="K213">
        <v>390.15</v>
      </c>
      <c r="L213" s="4">
        <v>19937960</v>
      </c>
      <c r="M213" s="3">
        <v>8553117657.75</v>
      </c>
      <c r="N213" s="4">
        <v>173524</v>
      </c>
      <c r="O213">
        <f t="shared" si="3"/>
        <v>-1.2756581236227638E-3</v>
      </c>
    </row>
    <row r="214" spans="1:15" ht="14.25" customHeight="1" x14ac:dyDescent="0.3">
      <c r="A214" s="2">
        <v>45786</v>
      </c>
      <c r="B214" t="s">
        <v>15</v>
      </c>
      <c r="C214">
        <v>425.95</v>
      </c>
      <c r="D214">
        <v>429.15</v>
      </c>
      <c r="E214">
        <v>423</v>
      </c>
      <c r="F214">
        <v>430.6</v>
      </c>
      <c r="G214">
        <v>424</v>
      </c>
      <c r="H214">
        <v>423.55</v>
      </c>
      <c r="I214">
        <v>425.58</v>
      </c>
      <c r="J214">
        <v>471.5</v>
      </c>
      <c r="K214">
        <v>390.15</v>
      </c>
      <c r="L214" s="4">
        <v>8226512</v>
      </c>
      <c r="M214" s="3">
        <v>3501026096.6500001</v>
      </c>
      <c r="N214" s="4">
        <v>134382</v>
      </c>
      <c r="O214">
        <f t="shared" si="3"/>
        <v>-1.6372503483511405E-2</v>
      </c>
    </row>
    <row r="215" spans="1:15" ht="14.25" customHeight="1" x14ac:dyDescent="0.3">
      <c r="A215" s="2">
        <v>45789</v>
      </c>
      <c r="B215" t="s">
        <v>15</v>
      </c>
      <c r="C215">
        <v>429.5</v>
      </c>
      <c r="D215">
        <v>436.2</v>
      </c>
      <c r="E215">
        <v>428.15</v>
      </c>
      <c r="F215">
        <v>423.55</v>
      </c>
      <c r="G215">
        <v>435.1</v>
      </c>
      <c r="H215">
        <v>435.5</v>
      </c>
      <c r="I215">
        <v>433.63</v>
      </c>
      <c r="J215">
        <v>471.5</v>
      </c>
      <c r="K215">
        <v>390.15</v>
      </c>
      <c r="L215" s="4">
        <v>8031891</v>
      </c>
      <c r="M215" s="3">
        <v>3482863921.6500001</v>
      </c>
      <c r="N215" s="4">
        <v>78145</v>
      </c>
      <c r="O215">
        <f t="shared" si="3"/>
        <v>2.8213906268445256E-2</v>
      </c>
    </row>
    <row r="216" spans="1:15" ht="14.25" customHeight="1" x14ac:dyDescent="0.3">
      <c r="A216" s="2">
        <v>45790</v>
      </c>
      <c r="B216" t="s">
        <v>15</v>
      </c>
      <c r="C216">
        <v>434.9</v>
      </c>
      <c r="D216">
        <v>437.95</v>
      </c>
      <c r="E216">
        <v>425.35</v>
      </c>
      <c r="F216">
        <v>435.5</v>
      </c>
      <c r="G216">
        <v>427.9</v>
      </c>
      <c r="H216">
        <v>427.9</v>
      </c>
      <c r="I216">
        <v>429.47</v>
      </c>
      <c r="J216">
        <v>471.5</v>
      </c>
      <c r="K216">
        <v>390.15</v>
      </c>
      <c r="L216" s="4">
        <v>14976369</v>
      </c>
      <c r="M216" s="3">
        <v>6431940112.4499998</v>
      </c>
      <c r="N216" s="4">
        <v>153294</v>
      </c>
      <c r="O216">
        <f t="shared" si="3"/>
        <v>-1.7451205510907057E-2</v>
      </c>
    </row>
    <row r="217" spans="1:15" ht="14.25" customHeight="1" x14ac:dyDescent="0.3">
      <c r="A217" s="2">
        <v>45791</v>
      </c>
      <c r="B217" t="s">
        <v>15</v>
      </c>
      <c r="C217">
        <v>427.1</v>
      </c>
      <c r="D217">
        <v>431.85</v>
      </c>
      <c r="E217">
        <v>425.9</v>
      </c>
      <c r="F217">
        <v>427.9</v>
      </c>
      <c r="G217">
        <v>429.05</v>
      </c>
      <c r="H217">
        <v>429.1</v>
      </c>
      <c r="I217">
        <v>428.65</v>
      </c>
      <c r="J217">
        <v>471.5</v>
      </c>
      <c r="K217">
        <v>390.15</v>
      </c>
      <c r="L217" s="4">
        <v>9557309</v>
      </c>
      <c r="M217" s="3">
        <v>4096782375.4499998</v>
      </c>
      <c r="N217" s="4">
        <v>96326</v>
      </c>
      <c r="O217">
        <f t="shared" si="3"/>
        <v>2.8043935498949417E-3</v>
      </c>
    </row>
    <row r="218" spans="1:15" ht="14.25" customHeight="1" x14ac:dyDescent="0.3">
      <c r="A218" s="2">
        <v>45792</v>
      </c>
      <c r="B218" t="s">
        <v>15</v>
      </c>
      <c r="C218">
        <v>429.1</v>
      </c>
      <c r="D218">
        <v>435.4</v>
      </c>
      <c r="E218">
        <v>426</v>
      </c>
      <c r="F218">
        <v>429.1</v>
      </c>
      <c r="G218">
        <v>432</v>
      </c>
      <c r="H218">
        <v>432.65</v>
      </c>
      <c r="I218">
        <v>431.14</v>
      </c>
      <c r="J218">
        <v>471.5</v>
      </c>
      <c r="K218">
        <v>390.15</v>
      </c>
      <c r="L218" s="4">
        <v>24263510</v>
      </c>
      <c r="M218" s="3">
        <v>10460938250.1</v>
      </c>
      <c r="N218" s="4">
        <v>173965</v>
      </c>
      <c r="O218">
        <f t="shared" si="3"/>
        <v>8.2731298065717874E-3</v>
      </c>
    </row>
    <row r="219" spans="1:15" ht="14.25" customHeight="1" x14ac:dyDescent="0.3">
      <c r="A219" s="2">
        <v>45793</v>
      </c>
      <c r="B219" t="s">
        <v>15</v>
      </c>
      <c r="C219">
        <v>434.9</v>
      </c>
      <c r="D219">
        <v>436.2</v>
      </c>
      <c r="E219">
        <v>432.1</v>
      </c>
      <c r="F219">
        <v>432.65</v>
      </c>
      <c r="G219">
        <v>435.6</v>
      </c>
      <c r="H219">
        <v>435.7</v>
      </c>
      <c r="I219">
        <v>434.74</v>
      </c>
      <c r="J219">
        <v>471.5</v>
      </c>
      <c r="K219">
        <v>390.15</v>
      </c>
      <c r="L219" s="4">
        <v>16402035</v>
      </c>
      <c r="M219" s="3">
        <v>7130684218.5500002</v>
      </c>
      <c r="N219" s="4">
        <v>105849</v>
      </c>
      <c r="O219">
        <f t="shared" si="3"/>
        <v>7.0495781809777223E-3</v>
      </c>
    </row>
    <row r="220" spans="1:15" ht="14.25" customHeight="1" x14ac:dyDescent="0.3">
      <c r="A220" s="2">
        <v>45796</v>
      </c>
      <c r="B220" t="s">
        <v>15</v>
      </c>
      <c r="C220">
        <v>435</v>
      </c>
      <c r="D220">
        <v>438.5</v>
      </c>
      <c r="E220">
        <v>432.65</v>
      </c>
      <c r="F220">
        <v>435.7</v>
      </c>
      <c r="G220">
        <v>436.1</v>
      </c>
      <c r="H220">
        <v>435.35</v>
      </c>
      <c r="I220">
        <v>435</v>
      </c>
      <c r="J220">
        <v>471.5</v>
      </c>
      <c r="K220">
        <v>390.15</v>
      </c>
      <c r="L220" s="4">
        <v>7543854</v>
      </c>
      <c r="M220" s="3">
        <v>3281549026.5999999</v>
      </c>
      <c r="N220" s="4">
        <v>104429</v>
      </c>
      <c r="O220">
        <f t="shared" si="3"/>
        <v>-8.0330502639422972E-4</v>
      </c>
    </row>
    <row r="221" spans="1:15" ht="14.25" customHeight="1" x14ac:dyDescent="0.3">
      <c r="A221" s="2">
        <v>45797</v>
      </c>
      <c r="B221" t="s">
        <v>15</v>
      </c>
      <c r="C221">
        <v>437</v>
      </c>
      <c r="D221">
        <v>440.8</v>
      </c>
      <c r="E221">
        <v>432.9</v>
      </c>
      <c r="F221">
        <v>435.35</v>
      </c>
      <c r="G221">
        <v>435.4</v>
      </c>
      <c r="H221">
        <v>434.9</v>
      </c>
      <c r="I221">
        <v>436.58</v>
      </c>
      <c r="J221">
        <v>471.5</v>
      </c>
      <c r="K221">
        <v>390.15</v>
      </c>
      <c r="L221" s="4">
        <v>9868414</v>
      </c>
      <c r="M221" s="3">
        <v>4308392163.3999996</v>
      </c>
      <c r="N221" s="4">
        <v>103234</v>
      </c>
      <c r="O221">
        <f t="shared" si="3"/>
        <v>-1.033651085333744E-3</v>
      </c>
    </row>
    <row r="222" spans="1:15" ht="14.25" customHeight="1" x14ac:dyDescent="0.3">
      <c r="A222" s="2">
        <v>45798</v>
      </c>
      <c r="B222" t="s">
        <v>15</v>
      </c>
      <c r="C222">
        <v>436.6</v>
      </c>
      <c r="D222">
        <v>438.2</v>
      </c>
      <c r="E222">
        <v>432</v>
      </c>
      <c r="F222">
        <v>434.9</v>
      </c>
      <c r="G222">
        <v>432.4</v>
      </c>
      <c r="H222">
        <v>433</v>
      </c>
      <c r="I222">
        <v>435.04</v>
      </c>
      <c r="J222">
        <v>471.5</v>
      </c>
      <c r="K222">
        <v>390.15</v>
      </c>
      <c r="L222" s="4">
        <v>5776672</v>
      </c>
      <c r="M222" s="3">
        <v>2513103067.75</v>
      </c>
      <c r="N222" s="4">
        <v>64175</v>
      </c>
      <c r="O222">
        <f t="shared" si="3"/>
        <v>-4.3688204184869567E-3</v>
      </c>
    </row>
    <row r="223" spans="1:15" ht="14.25" customHeight="1" x14ac:dyDescent="0.3">
      <c r="A223" s="2">
        <v>45799</v>
      </c>
      <c r="B223" t="s">
        <v>15</v>
      </c>
      <c r="C223">
        <v>433</v>
      </c>
      <c r="D223">
        <v>433</v>
      </c>
      <c r="E223">
        <v>422.9</v>
      </c>
      <c r="F223">
        <v>433</v>
      </c>
      <c r="G223">
        <v>425.5</v>
      </c>
      <c r="H223">
        <v>426.1</v>
      </c>
      <c r="I223">
        <v>425.53</v>
      </c>
      <c r="J223">
        <v>471.5</v>
      </c>
      <c r="K223">
        <v>390.15</v>
      </c>
      <c r="L223" s="4">
        <v>19451749</v>
      </c>
      <c r="M223" s="3">
        <v>8277312766.3999996</v>
      </c>
      <c r="N223" s="4">
        <v>172555</v>
      </c>
      <c r="O223">
        <f t="shared" si="3"/>
        <v>-1.5935334872979164E-2</v>
      </c>
    </row>
    <row r="224" spans="1:15" ht="14.25" customHeight="1" x14ac:dyDescent="0.3">
      <c r="A224" s="2">
        <v>45800</v>
      </c>
      <c r="B224" t="s">
        <v>15</v>
      </c>
      <c r="C224">
        <v>434</v>
      </c>
      <c r="D224">
        <v>439</v>
      </c>
      <c r="E224">
        <v>429</v>
      </c>
      <c r="F224">
        <v>426.1</v>
      </c>
      <c r="G224">
        <v>436</v>
      </c>
      <c r="H224">
        <v>436.3</v>
      </c>
      <c r="I224">
        <v>435.32</v>
      </c>
      <c r="J224">
        <v>471.5</v>
      </c>
      <c r="K224">
        <v>390.15</v>
      </c>
      <c r="L224" s="4">
        <v>18536884</v>
      </c>
      <c r="M224" s="3">
        <v>8069422032.25</v>
      </c>
      <c r="N224" s="4">
        <v>180589</v>
      </c>
      <c r="O224">
        <f t="shared" si="3"/>
        <v>2.3938042712978145E-2</v>
      </c>
    </row>
    <row r="225" spans="1:15" ht="14.25" customHeight="1" x14ac:dyDescent="0.3">
      <c r="A225" s="2">
        <v>45803</v>
      </c>
      <c r="B225" t="s">
        <v>15</v>
      </c>
      <c r="C225">
        <v>438.25</v>
      </c>
      <c r="D225">
        <v>443.55</v>
      </c>
      <c r="E225">
        <v>436.75</v>
      </c>
      <c r="F225">
        <v>436.3</v>
      </c>
      <c r="G225">
        <v>442.9</v>
      </c>
      <c r="H225">
        <v>442.9</v>
      </c>
      <c r="I225">
        <v>440.19</v>
      </c>
      <c r="J225">
        <v>471.5</v>
      </c>
      <c r="K225">
        <v>390.15</v>
      </c>
      <c r="L225" s="4">
        <v>13107662</v>
      </c>
      <c r="M225" s="3">
        <v>5769828393.5500002</v>
      </c>
      <c r="N225" s="4">
        <v>107919</v>
      </c>
      <c r="O225">
        <f t="shared" si="3"/>
        <v>1.5127206050882342E-2</v>
      </c>
    </row>
    <row r="226" spans="1:15" ht="14.25" customHeight="1" x14ac:dyDescent="0.3">
      <c r="A226" s="2">
        <v>45804</v>
      </c>
      <c r="B226" t="s">
        <v>15</v>
      </c>
      <c r="C226">
        <v>442.9</v>
      </c>
      <c r="D226">
        <v>444.2</v>
      </c>
      <c r="E226">
        <v>430.85</v>
      </c>
      <c r="F226">
        <v>442.9</v>
      </c>
      <c r="G226">
        <v>434.7</v>
      </c>
      <c r="H226">
        <v>433.9</v>
      </c>
      <c r="I226">
        <v>436.39</v>
      </c>
      <c r="J226">
        <v>471.5</v>
      </c>
      <c r="K226">
        <v>390.15</v>
      </c>
      <c r="L226" s="4">
        <v>26986022</v>
      </c>
      <c r="M226" s="3">
        <v>11776331084.9</v>
      </c>
      <c r="N226" s="4">
        <v>224458</v>
      </c>
      <c r="O226">
        <f t="shared" si="3"/>
        <v>-2.0320614134116056E-2</v>
      </c>
    </row>
    <row r="227" spans="1:15" ht="14.25" customHeight="1" x14ac:dyDescent="0.3">
      <c r="A227" s="2">
        <v>45805</v>
      </c>
      <c r="B227" t="s">
        <v>15</v>
      </c>
      <c r="C227">
        <v>417.7</v>
      </c>
      <c r="D227">
        <v>422.6</v>
      </c>
      <c r="E227">
        <v>413</v>
      </c>
      <c r="F227">
        <v>433.9</v>
      </c>
      <c r="G227">
        <v>421</v>
      </c>
      <c r="H227">
        <v>420.2</v>
      </c>
      <c r="I227">
        <v>415.08</v>
      </c>
      <c r="J227">
        <v>471.5</v>
      </c>
      <c r="K227">
        <v>390.15</v>
      </c>
      <c r="L227" s="4">
        <v>431851622</v>
      </c>
      <c r="M227" s="3">
        <v>179255083660.79999</v>
      </c>
      <c r="N227" s="4">
        <v>413487</v>
      </c>
      <c r="O227">
        <f t="shared" si="3"/>
        <v>-3.1574095413689766E-2</v>
      </c>
    </row>
    <row r="228" spans="1:15" ht="14.25" customHeight="1" x14ac:dyDescent="0.3">
      <c r="A228" s="2">
        <v>45806</v>
      </c>
      <c r="B228" t="s">
        <v>15</v>
      </c>
      <c r="C228">
        <v>422</v>
      </c>
      <c r="D228">
        <v>422.8</v>
      </c>
      <c r="E228">
        <v>416.6</v>
      </c>
      <c r="F228">
        <v>420.2</v>
      </c>
      <c r="G228">
        <v>419.35</v>
      </c>
      <c r="H228">
        <v>418.75</v>
      </c>
      <c r="I228">
        <v>418.44</v>
      </c>
      <c r="J228">
        <v>471.5</v>
      </c>
      <c r="K228">
        <v>390.15</v>
      </c>
      <c r="L228" s="4">
        <v>21478547</v>
      </c>
      <c r="M228" s="3">
        <v>8987465219.8999996</v>
      </c>
      <c r="N228" s="4">
        <v>201763</v>
      </c>
      <c r="O228">
        <f t="shared" si="3"/>
        <v>-3.4507377439314344E-3</v>
      </c>
    </row>
    <row r="229" spans="1:15" ht="14.25" customHeight="1" x14ac:dyDescent="0.3">
      <c r="A229" s="2">
        <v>45807</v>
      </c>
      <c r="B229" t="s">
        <v>15</v>
      </c>
      <c r="C229">
        <v>419.1</v>
      </c>
      <c r="D229">
        <v>420.05</v>
      </c>
      <c r="E229">
        <v>416.4</v>
      </c>
      <c r="F229">
        <v>418.75</v>
      </c>
      <c r="G229">
        <v>418.75</v>
      </c>
      <c r="H229">
        <v>418.05</v>
      </c>
      <c r="I229">
        <v>417.87</v>
      </c>
      <c r="J229">
        <v>471.5</v>
      </c>
      <c r="K229">
        <v>390.15</v>
      </c>
      <c r="L229" s="4">
        <v>30656239</v>
      </c>
      <c r="M229" s="3">
        <v>12810187425.4</v>
      </c>
      <c r="N229" s="4">
        <v>159932</v>
      </c>
      <c r="O229">
        <f t="shared" si="3"/>
        <v>-1.671641791044749E-3</v>
      </c>
    </row>
    <row r="230" spans="1:15" ht="14.25" customHeight="1" x14ac:dyDescent="0.3">
      <c r="A230" s="2">
        <v>45810</v>
      </c>
      <c r="B230" t="s">
        <v>15</v>
      </c>
      <c r="C230">
        <v>418.3</v>
      </c>
      <c r="D230">
        <v>420.45</v>
      </c>
      <c r="E230">
        <v>414.55</v>
      </c>
      <c r="F230">
        <v>418.05</v>
      </c>
      <c r="G230">
        <v>418.5</v>
      </c>
      <c r="H230">
        <v>419.3</v>
      </c>
      <c r="I230">
        <v>418.16</v>
      </c>
      <c r="J230">
        <v>471.5</v>
      </c>
      <c r="K230">
        <v>390.15</v>
      </c>
      <c r="L230" s="4">
        <v>14973380</v>
      </c>
      <c r="M230" s="3">
        <v>6261214003.6000004</v>
      </c>
      <c r="N230" s="4">
        <v>165410</v>
      </c>
      <c r="O230">
        <f t="shared" si="3"/>
        <v>2.9900729577801697E-3</v>
      </c>
    </row>
    <row r="231" spans="1:15" ht="14.25" customHeight="1" x14ac:dyDescent="0.3">
      <c r="A231" s="2">
        <v>45811</v>
      </c>
      <c r="B231" t="s">
        <v>15</v>
      </c>
      <c r="C231">
        <v>419</v>
      </c>
      <c r="D231">
        <v>421.7</v>
      </c>
      <c r="E231">
        <v>415.65</v>
      </c>
      <c r="F231">
        <v>419.3</v>
      </c>
      <c r="G231">
        <v>417</v>
      </c>
      <c r="H231">
        <v>416.95</v>
      </c>
      <c r="I231">
        <v>418.03</v>
      </c>
      <c r="J231">
        <v>471.5</v>
      </c>
      <c r="K231">
        <v>390.15</v>
      </c>
      <c r="L231" s="4">
        <v>13216486</v>
      </c>
      <c r="M231" s="3">
        <v>5524919470.1999998</v>
      </c>
      <c r="N231" s="4">
        <v>140901</v>
      </c>
      <c r="O231">
        <f t="shared" si="3"/>
        <v>-5.6045790603387134E-3</v>
      </c>
    </row>
    <row r="232" spans="1:15" ht="14.25" customHeight="1" x14ac:dyDescent="0.3">
      <c r="A232" s="2">
        <v>45812</v>
      </c>
      <c r="B232" t="s">
        <v>15</v>
      </c>
      <c r="C232">
        <v>417.15</v>
      </c>
      <c r="D232">
        <v>419</v>
      </c>
      <c r="E232">
        <v>415.95</v>
      </c>
      <c r="F232">
        <v>416.95</v>
      </c>
      <c r="G232">
        <v>416.8</v>
      </c>
      <c r="H232">
        <v>417</v>
      </c>
      <c r="I232">
        <v>417.14</v>
      </c>
      <c r="J232">
        <v>471.5</v>
      </c>
      <c r="K232">
        <v>390.15</v>
      </c>
      <c r="L232" s="4">
        <v>12598933</v>
      </c>
      <c r="M232" s="3">
        <v>5255534433.3999996</v>
      </c>
      <c r="N232" s="4">
        <v>116476</v>
      </c>
      <c r="O232">
        <f t="shared" si="3"/>
        <v>1.1991845545032107E-4</v>
      </c>
    </row>
    <row r="233" spans="1:15" ht="14.25" customHeight="1" x14ac:dyDescent="0.3">
      <c r="A233" s="2">
        <v>45813</v>
      </c>
      <c r="B233" t="s">
        <v>15</v>
      </c>
      <c r="C233">
        <v>418.5</v>
      </c>
      <c r="D233">
        <v>420.95</v>
      </c>
      <c r="E233">
        <v>415.75</v>
      </c>
      <c r="F233">
        <v>417</v>
      </c>
      <c r="G233">
        <v>419.45</v>
      </c>
      <c r="H233">
        <v>419.1</v>
      </c>
      <c r="I233">
        <v>418.56</v>
      </c>
      <c r="J233">
        <v>471.5</v>
      </c>
      <c r="K233">
        <v>390.15</v>
      </c>
      <c r="L233" s="4">
        <v>13212523</v>
      </c>
      <c r="M233" s="3">
        <v>5530248629.8000002</v>
      </c>
      <c r="N233" s="4">
        <v>125958</v>
      </c>
      <c r="O233">
        <f t="shared" si="3"/>
        <v>5.0359712230216369E-3</v>
      </c>
    </row>
    <row r="234" spans="1:15" ht="14.25" customHeight="1" x14ac:dyDescent="0.3">
      <c r="A234" s="2">
        <v>45814</v>
      </c>
      <c r="B234" t="s">
        <v>15</v>
      </c>
      <c r="C234">
        <v>420.3</v>
      </c>
      <c r="D234">
        <v>421.3</v>
      </c>
      <c r="E234">
        <v>419</v>
      </c>
      <c r="F234">
        <v>419.1</v>
      </c>
      <c r="G234">
        <v>421.05</v>
      </c>
      <c r="H234">
        <v>421.05</v>
      </c>
      <c r="I234">
        <v>420.36</v>
      </c>
      <c r="J234">
        <v>471.5</v>
      </c>
      <c r="K234">
        <v>390.15</v>
      </c>
      <c r="L234" s="4">
        <v>8774988</v>
      </c>
      <c r="M234" s="3">
        <v>3688650527.1999998</v>
      </c>
      <c r="N234" s="4">
        <v>135147</v>
      </c>
      <c r="O234">
        <f t="shared" si="3"/>
        <v>4.6528274874731296E-3</v>
      </c>
    </row>
    <row r="235" spans="1:15" ht="14.25" customHeight="1" x14ac:dyDescent="0.3">
      <c r="A235" s="2">
        <v>45817</v>
      </c>
      <c r="B235" t="s">
        <v>15</v>
      </c>
      <c r="C235">
        <v>422</v>
      </c>
      <c r="D235">
        <v>423.6</v>
      </c>
      <c r="E235">
        <v>420.5</v>
      </c>
      <c r="F235">
        <v>421.05</v>
      </c>
      <c r="G235">
        <v>423</v>
      </c>
      <c r="H235">
        <v>423.05</v>
      </c>
      <c r="I235">
        <v>422.61</v>
      </c>
      <c r="J235">
        <v>471.5</v>
      </c>
      <c r="K235">
        <v>390.15</v>
      </c>
      <c r="L235" s="4">
        <v>10473123</v>
      </c>
      <c r="M235" s="3">
        <v>4426007949.6499996</v>
      </c>
      <c r="N235" s="4">
        <v>152980</v>
      </c>
      <c r="O235">
        <f t="shared" si="3"/>
        <v>4.7500296876855476E-3</v>
      </c>
    </row>
    <row r="236" spans="1:15" ht="14.25" customHeight="1" x14ac:dyDescent="0.3">
      <c r="A236" s="2">
        <v>45818</v>
      </c>
      <c r="B236" t="s">
        <v>15</v>
      </c>
      <c r="C236">
        <v>424.5</v>
      </c>
      <c r="D236">
        <v>428.55</v>
      </c>
      <c r="E236">
        <v>423.05</v>
      </c>
      <c r="F236">
        <v>423.05</v>
      </c>
      <c r="G236">
        <v>427.65</v>
      </c>
      <c r="H236">
        <v>427</v>
      </c>
      <c r="I236">
        <v>426.58</v>
      </c>
      <c r="J236">
        <v>471.5</v>
      </c>
      <c r="K236">
        <v>390.15</v>
      </c>
      <c r="L236" s="4">
        <v>13041075</v>
      </c>
      <c r="M236" s="3">
        <v>5563034401.5</v>
      </c>
      <c r="N236" s="4">
        <v>170097</v>
      </c>
      <c r="O236">
        <f t="shared" si="3"/>
        <v>9.3369578064058344E-3</v>
      </c>
    </row>
    <row r="237" spans="1:15" ht="14.25" customHeight="1" x14ac:dyDescent="0.3">
      <c r="A237" s="2">
        <v>45819</v>
      </c>
      <c r="B237" t="s">
        <v>15</v>
      </c>
      <c r="C237">
        <v>428</v>
      </c>
      <c r="D237">
        <v>428.1</v>
      </c>
      <c r="E237">
        <v>424.85</v>
      </c>
      <c r="F237">
        <v>427</v>
      </c>
      <c r="G237">
        <v>425.55</v>
      </c>
      <c r="H237">
        <v>426.15</v>
      </c>
      <c r="I237">
        <v>426.47</v>
      </c>
      <c r="J237">
        <v>471.5</v>
      </c>
      <c r="K237">
        <v>390.15</v>
      </c>
      <c r="L237" s="4">
        <v>20789182</v>
      </c>
      <c r="M237" s="3">
        <v>8866064896.5</v>
      </c>
      <c r="N237" s="4">
        <v>148079</v>
      </c>
      <c r="O237">
        <f t="shared" si="3"/>
        <v>-1.9906323185012241E-3</v>
      </c>
    </row>
    <row r="238" spans="1:15" ht="14.25" customHeight="1" x14ac:dyDescent="0.3">
      <c r="A238" s="2">
        <v>45820</v>
      </c>
      <c r="B238" t="s">
        <v>15</v>
      </c>
      <c r="C238">
        <v>427</v>
      </c>
      <c r="D238">
        <v>427.2</v>
      </c>
      <c r="E238">
        <v>419.55</v>
      </c>
      <c r="F238">
        <v>426.15</v>
      </c>
      <c r="G238">
        <v>420.95</v>
      </c>
      <c r="H238">
        <v>421</v>
      </c>
      <c r="I238">
        <v>421.78</v>
      </c>
      <c r="J238">
        <v>471.5</v>
      </c>
      <c r="K238">
        <v>390.15</v>
      </c>
      <c r="L238" s="4">
        <v>18508835</v>
      </c>
      <c r="M238" s="3">
        <v>7806698998.5</v>
      </c>
      <c r="N238" s="4">
        <v>250912</v>
      </c>
      <c r="O238">
        <f t="shared" si="3"/>
        <v>-1.2084946615041598E-2</v>
      </c>
    </row>
    <row r="239" spans="1:15" ht="14.25" customHeight="1" x14ac:dyDescent="0.3">
      <c r="A239" s="2">
        <v>45821</v>
      </c>
      <c r="B239" t="s">
        <v>15</v>
      </c>
      <c r="C239">
        <v>415</v>
      </c>
      <c r="D239">
        <v>419.35</v>
      </c>
      <c r="E239">
        <v>413.5</v>
      </c>
      <c r="F239">
        <v>421</v>
      </c>
      <c r="G239">
        <v>413.95</v>
      </c>
      <c r="H239">
        <v>413.9</v>
      </c>
      <c r="I239">
        <v>416.29</v>
      </c>
      <c r="J239">
        <v>471.5</v>
      </c>
      <c r="K239">
        <v>390.15</v>
      </c>
      <c r="L239" s="4">
        <v>17873926</v>
      </c>
      <c r="M239" s="3">
        <v>7440750348.6999998</v>
      </c>
      <c r="N239" s="4">
        <v>163341</v>
      </c>
      <c r="O239">
        <f t="shared" si="3"/>
        <v>-1.6864608076009556E-2</v>
      </c>
    </row>
    <row r="240" spans="1:15" ht="14.25" customHeight="1" x14ac:dyDescent="0.3">
      <c r="A240" s="2">
        <v>45824</v>
      </c>
      <c r="B240" t="s">
        <v>15</v>
      </c>
      <c r="C240">
        <v>414.95</v>
      </c>
      <c r="D240">
        <v>418.9</v>
      </c>
      <c r="E240">
        <v>413.25</v>
      </c>
      <c r="F240">
        <v>413.9</v>
      </c>
      <c r="G240">
        <v>418.65</v>
      </c>
      <c r="H240">
        <v>418.2</v>
      </c>
      <c r="I240">
        <v>417.32</v>
      </c>
      <c r="J240">
        <v>471.5</v>
      </c>
      <c r="K240">
        <v>390.15</v>
      </c>
      <c r="L240" s="4">
        <v>7006629</v>
      </c>
      <c r="M240" s="3">
        <v>2924040280.9499998</v>
      </c>
      <c r="N240" s="4">
        <v>101302</v>
      </c>
      <c r="O240">
        <f t="shared" si="3"/>
        <v>1.038898284609812E-2</v>
      </c>
    </row>
    <row r="241" spans="1:15" ht="14.25" customHeight="1" x14ac:dyDescent="0.3">
      <c r="A241" s="2">
        <v>45825</v>
      </c>
      <c r="B241" t="s">
        <v>15</v>
      </c>
      <c r="C241">
        <v>418.1</v>
      </c>
      <c r="D241">
        <v>419.05</v>
      </c>
      <c r="E241">
        <v>415.7</v>
      </c>
      <c r="F241">
        <v>418.2</v>
      </c>
      <c r="G241">
        <v>417.05</v>
      </c>
      <c r="H241">
        <v>417.4</v>
      </c>
      <c r="I241">
        <v>417.33</v>
      </c>
      <c r="J241">
        <v>471.5</v>
      </c>
      <c r="K241">
        <v>390.15</v>
      </c>
      <c r="L241" s="4">
        <v>9028406</v>
      </c>
      <c r="M241" s="3">
        <v>3767781671.25</v>
      </c>
      <c r="N241" s="4">
        <v>115094</v>
      </c>
      <c r="O241">
        <f t="shared" si="3"/>
        <v>-1.9129603060736762E-3</v>
      </c>
    </row>
    <row r="242" spans="1:15" ht="14.25" customHeight="1" x14ac:dyDescent="0.3">
      <c r="A242" s="2">
        <v>45826</v>
      </c>
      <c r="B242" t="s">
        <v>15</v>
      </c>
      <c r="C242">
        <v>417</v>
      </c>
      <c r="D242">
        <v>418.45</v>
      </c>
      <c r="E242">
        <v>414.9</v>
      </c>
      <c r="F242">
        <v>417.4</v>
      </c>
      <c r="G242">
        <v>415.6</v>
      </c>
      <c r="H242">
        <v>415.9</v>
      </c>
      <c r="I242">
        <v>416.11</v>
      </c>
      <c r="J242">
        <v>471.5</v>
      </c>
      <c r="K242">
        <v>390.15</v>
      </c>
      <c r="L242" s="4">
        <v>8036215</v>
      </c>
      <c r="M242" s="3">
        <v>3343960493.9499998</v>
      </c>
      <c r="N242" s="4">
        <v>126035</v>
      </c>
      <c r="O242">
        <f t="shared" si="3"/>
        <v>-3.5936751317680884E-3</v>
      </c>
    </row>
    <row r="243" spans="1:15" ht="14.25" customHeight="1" x14ac:dyDescent="0.3">
      <c r="A243" s="2">
        <v>45827</v>
      </c>
      <c r="B243" t="s">
        <v>15</v>
      </c>
      <c r="C243">
        <v>415.65</v>
      </c>
      <c r="D243">
        <v>418.25</v>
      </c>
      <c r="E243">
        <v>414.8</v>
      </c>
      <c r="F243">
        <v>415.9</v>
      </c>
      <c r="G243">
        <v>415.8</v>
      </c>
      <c r="H243">
        <v>416</v>
      </c>
      <c r="I243">
        <v>416.72</v>
      </c>
      <c r="J243">
        <v>471.5</v>
      </c>
      <c r="K243">
        <v>390.15</v>
      </c>
      <c r="L243" s="4">
        <v>12601006</v>
      </c>
      <c r="M243" s="3">
        <v>5251107254.8500004</v>
      </c>
      <c r="N243" s="4">
        <v>91846</v>
      </c>
      <c r="O243">
        <f t="shared" si="3"/>
        <v>2.4044241404189167E-4</v>
      </c>
    </row>
    <row r="244" spans="1:15" ht="14.25" customHeight="1" x14ac:dyDescent="0.3">
      <c r="A244" s="2">
        <v>45828</v>
      </c>
      <c r="B244" t="s">
        <v>15</v>
      </c>
      <c r="C244">
        <v>416</v>
      </c>
      <c r="D244">
        <v>419.5</v>
      </c>
      <c r="E244">
        <v>416</v>
      </c>
      <c r="F244">
        <v>416</v>
      </c>
      <c r="G244">
        <v>417.25</v>
      </c>
      <c r="H244">
        <v>418.55</v>
      </c>
      <c r="I244">
        <v>418.46</v>
      </c>
      <c r="J244">
        <v>471.5</v>
      </c>
      <c r="K244">
        <v>390.15</v>
      </c>
      <c r="L244" s="4">
        <v>13203184</v>
      </c>
      <c r="M244" s="3">
        <v>5524985516.3000002</v>
      </c>
      <c r="N244" s="4">
        <v>110675</v>
      </c>
      <c r="O244">
        <f t="shared" si="3"/>
        <v>6.12980769230772E-3</v>
      </c>
    </row>
    <row r="245" spans="1:15" ht="14.25" customHeight="1" x14ac:dyDescent="0.3">
      <c r="A245" s="2">
        <v>45831</v>
      </c>
      <c r="B245" t="s">
        <v>15</v>
      </c>
      <c r="C245">
        <v>417</v>
      </c>
      <c r="D245">
        <v>417.5</v>
      </c>
      <c r="E245">
        <v>411.75</v>
      </c>
      <c r="F245">
        <v>418.55</v>
      </c>
      <c r="G245">
        <v>413.4</v>
      </c>
      <c r="H245">
        <v>413.9</v>
      </c>
      <c r="I245">
        <v>415</v>
      </c>
      <c r="J245">
        <v>471.5</v>
      </c>
      <c r="K245">
        <v>390.15</v>
      </c>
      <c r="L245" s="4">
        <v>14839890</v>
      </c>
      <c r="M245" s="3">
        <v>6158508971.4499998</v>
      </c>
      <c r="N245" s="4">
        <v>171311</v>
      </c>
      <c r="O245">
        <f t="shared" si="3"/>
        <v>-1.1109783777326566E-2</v>
      </c>
    </row>
    <row r="246" spans="1:15" ht="14.25" customHeight="1" x14ac:dyDescent="0.3">
      <c r="A246" s="2">
        <v>45832</v>
      </c>
      <c r="B246" t="s">
        <v>15</v>
      </c>
      <c r="C246">
        <v>416.9</v>
      </c>
      <c r="D246">
        <v>420.65</v>
      </c>
      <c r="E246">
        <v>413.75</v>
      </c>
      <c r="F246">
        <v>413.9</v>
      </c>
      <c r="G246">
        <v>414.55</v>
      </c>
      <c r="H246">
        <v>414.35</v>
      </c>
      <c r="I246">
        <v>416.39</v>
      </c>
      <c r="J246">
        <v>471.5</v>
      </c>
      <c r="K246">
        <v>390.15</v>
      </c>
      <c r="L246" s="4">
        <v>16690068</v>
      </c>
      <c r="M246" s="3">
        <v>6949518762.75</v>
      </c>
      <c r="N246" s="4">
        <v>201406</v>
      </c>
      <c r="O246">
        <f t="shared" si="3"/>
        <v>1.0872191350568868E-3</v>
      </c>
    </row>
    <row r="247" spans="1:15" ht="14.25" customHeight="1" x14ac:dyDescent="0.3">
      <c r="A247" s="2">
        <v>45833</v>
      </c>
      <c r="B247" t="s">
        <v>15</v>
      </c>
      <c r="C247">
        <v>416.4</v>
      </c>
      <c r="D247">
        <v>418.15</v>
      </c>
      <c r="E247">
        <v>415.1</v>
      </c>
      <c r="F247">
        <v>414.35</v>
      </c>
      <c r="G247">
        <v>416.1</v>
      </c>
      <c r="H247">
        <v>416.35</v>
      </c>
      <c r="I247">
        <v>416.89</v>
      </c>
      <c r="J247">
        <v>471.5</v>
      </c>
      <c r="K247">
        <v>390.15</v>
      </c>
      <c r="L247" s="4">
        <v>9946718</v>
      </c>
      <c r="M247" s="3">
        <v>4146714301.4499998</v>
      </c>
      <c r="N247" s="4">
        <v>150780</v>
      </c>
      <c r="O247">
        <f t="shared" si="3"/>
        <v>4.8268372149149266E-3</v>
      </c>
    </row>
    <row r="248" spans="1:15" ht="14.25" customHeight="1" x14ac:dyDescent="0.3">
      <c r="A248" s="2">
        <v>45834</v>
      </c>
      <c r="B248" t="s">
        <v>15</v>
      </c>
      <c r="C248">
        <v>417.2</v>
      </c>
      <c r="D248">
        <v>420.9</v>
      </c>
      <c r="E248">
        <v>416.25</v>
      </c>
      <c r="F248">
        <v>416.35</v>
      </c>
      <c r="G248">
        <v>420</v>
      </c>
      <c r="H248">
        <v>420.3</v>
      </c>
      <c r="I248">
        <v>418.46</v>
      </c>
      <c r="J248">
        <v>471.5</v>
      </c>
      <c r="K248">
        <v>390.15</v>
      </c>
      <c r="L248" s="4">
        <v>13703918</v>
      </c>
      <c r="M248" s="3">
        <v>5734531592.1499996</v>
      </c>
      <c r="N248" s="4">
        <v>248476</v>
      </c>
      <c r="O248">
        <f t="shared" si="3"/>
        <v>9.4872102798126291E-3</v>
      </c>
    </row>
    <row r="249" spans="1:15" ht="14.25" customHeight="1" x14ac:dyDescent="0.3">
      <c r="A249" s="2">
        <v>45835</v>
      </c>
      <c r="B249" t="s">
        <v>15</v>
      </c>
      <c r="C249">
        <v>421</v>
      </c>
      <c r="D249">
        <v>422</v>
      </c>
      <c r="E249">
        <v>417.8</v>
      </c>
      <c r="F249">
        <v>420.3</v>
      </c>
      <c r="G249">
        <v>420</v>
      </c>
      <c r="H249">
        <v>418.65</v>
      </c>
      <c r="I249">
        <v>419.38</v>
      </c>
      <c r="J249">
        <v>471.5</v>
      </c>
      <c r="K249">
        <v>390.15</v>
      </c>
      <c r="L249" s="4">
        <v>21409935</v>
      </c>
      <c r="M249" s="3">
        <v>8978830736</v>
      </c>
      <c r="N249" s="4">
        <v>138937</v>
      </c>
      <c r="O249">
        <f t="shared" si="3"/>
        <v>-3.925767309065035E-3</v>
      </c>
    </row>
    <row r="250" spans="1:15" ht="14.25" customHeight="1" x14ac:dyDescent="0.3">
      <c r="A250" s="2">
        <v>45838</v>
      </c>
      <c r="B250" t="s">
        <v>15</v>
      </c>
      <c r="C250">
        <v>419.8</v>
      </c>
      <c r="D250">
        <v>420.75</v>
      </c>
      <c r="E250">
        <v>415.8</v>
      </c>
      <c r="F250">
        <v>418.65</v>
      </c>
      <c r="G250">
        <v>416.3</v>
      </c>
      <c r="H250">
        <v>416.45</v>
      </c>
      <c r="I250">
        <v>417.37</v>
      </c>
      <c r="J250">
        <v>471.5</v>
      </c>
      <c r="K250">
        <v>390.15</v>
      </c>
      <c r="L250" s="4">
        <v>12317124</v>
      </c>
      <c r="M250" s="3">
        <v>5140785633.0500002</v>
      </c>
      <c r="N250" s="4">
        <v>145533</v>
      </c>
      <c r="O250">
        <f t="shared" si="3"/>
        <v>-5.2549862653767793E-3</v>
      </c>
    </row>
    <row r="251" spans="1:15" ht="14.25" customHeight="1" x14ac:dyDescent="0.3">
      <c r="A251" s="2">
        <v>45839</v>
      </c>
      <c r="B251" t="s">
        <v>15</v>
      </c>
      <c r="C251">
        <v>417</v>
      </c>
      <c r="D251">
        <v>418.85</v>
      </c>
      <c r="E251">
        <v>414.9</v>
      </c>
      <c r="F251">
        <v>416.45</v>
      </c>
      <c r="G251">
        <v>415.1</v>
      </c>
      <c r="H251">
        <v>415.1</v>
      </c>
      <c r="I251">
        <v>416.37</v>
      </c>
      <c r="J251">
        <v>471.5</v>
      </c>
      <c r="K251">
        <v>390.15</v>
      </c>
      <c r="L251" s="4">
        <v>13670465</v>
      </c>
      <c r="M251" s="3">
        <v>5691910423.4499998</v>
      </c>
      <c r="N251" s="4">
        <v>135207</v>
      </c>
      <c r="O251">
        <f t="shared" si="3"/>
        <v>-3.241685676551725E-3</v>
      </c>
    </row>
    <row r="252" spans="1:15" ht="14.25" customHeight="1" x14ac:dyDescent="0.3">
      <c r="A252" s="2">
        <v>45840</v>
      </c>
      <c r="B252" t="s">
        <v>15</v>
      </c>
      <c r="C252">
        <v>416.9</v>
      </c>
      <c r="D252">
        <v>416.9</v>
      </c>
      <c r="E252">
        <v>411.7</v>
      </c>
      <c r="F252">
        <v>415.1</v>
      </c>
      <c r="G252">
        <v>413.2</v>
      </c>
      <c r="H252">
        <v>412.95</v>
      </c>
      <c r="I252">
        <v>413.58</v>
      </c>
      <c r="J252">
        <v>471.5</v>
      </c>
      <c r="K252">
        <v>390.15</v>
      </c>
      <c r="L252" s="4">
        <v>15990899</v>
      </c>
      <c r="M252" s="3">
        <v>6613437048</v>
      </c>
      <c r="N252" s="4">
        <v>148675</v>
      </c>
      <c r="O252">
        <f t="shared" si="3"/>
        <v>-5.1794748253433725E-3</v>
      </c>
    </row>
    <row r="253" spans="1:15" ht="14.25" customHeight="1" x14ac:dyDescent="0.3">
      <c r="A253" s="2">
        <v>45841</v>
      </c>
      <c r="B253" t="s">
        <v>15</v>
      </c>
      <c r="C253">
        <v>414</v>
      </c>
      <c r="D253">
        <v>416</v>
      </c>
      <c r="E253">
        <v>411.25</v>
      </c>
      <c r="F253">
        <v>412.95</v>
      </c>
      <c r="G253">
        <v>413.9</v>
      </c>
      <c r="H253">
        <v>413.35</v>
      </c>
      <c r="I253">
        <v>413.57</v>
      </c>
      <c r="J253">
        <v>471.5</v>
      </c>
      <c r="K253">
        <v>390.15</v>
      </c>
      <c r="L253" s="4">
        <v>14185298</v>
      </c>
      <c r="M253" s="3">
        <v>5866630211.25</v>
      </c>
      <c r="N253" s="4">
        <v>142804</v>
      </c>
      <c r="O253">
        <f t="shared" si="3"/>
        <v>9.686402712193586E-4</v>
      </c>
    </row>
    <row r="254" spans="1:15" ht="14.25" customHeight="1" x14ac:dyDescent="0.3">
      <c r="A254" s="2">
        <v>45842</v>
      </c>
      <c r="B254" t="s">
        <v>15</v>
      </c>
      <c r="C254">
        <v>414.9</v>
      </c>
      <c r="D254">
        <v>415</v>
      </c>
      <c r="E254">
        <v>411.75</v>
      </c>
      <c r="F254">
        <v>413.35</v>
      </c>
      <c r="G254">
        <v>412.7</v>
      </c>
      <c r="H254">
        <v>412.55</v>
      </c>
      <c r="I254">
        <v>412.8</v>
      </c>
      <c r="J254">
        <v>471.5</v>
      </c>
      <c r="K254">
        <v>390.15</v>
      </c>
      <c r="L254" s="4">
        <v>8256733</v>
      </c>
      <c r="M254" s="3">
        <v>3408342585.9499998</v>
      </c>
      <c r="N254" s="4">
        <v>103880</v>
      </c>
      <c r="O254">
        <f t="shared" si="3"/>
        <v>-1.9354058304100915E-3</v>
      </c>
    </row>
    <row r="255" spans="1:15" ht="14.25" customHeight="1" x14ac:dyDescent="0.3">
      <c r="A255" s="2">
        <v>45845</v>
      </c>
      <c r="B255" t="s">
        <v>15</v>
      </c>
      <c r="C255">
        <v>413</v>
      </c>
      <c r="D255">
        <v>417.2</v>
      </c>
      <c r="E255">
        <v>412</v>
      </c>
      <c r="F255">
        <v>412.55</v>
      </c>
      <c r="G255">
        <v>416.5</v>
      </c>
      <c r="H255">
        <v>416.15</v>
      </c>
      <c r="I255">
        <v>415.88</v>
      </c>
      <c r="J255">
        <v>471.5</v>
      </c>
      <c r="K255">
        <v>390.15</v>
      </c>
      <c r="L255" s="4">
        <v>6845218</v>
      </c>
      <c r="M255" s="3">
        <v>2846807822.5</v>
      </c>
      <c r="N255" s="4">
        <v>120392</v>
      </c>
      <c r="O255">
        <f t="shared" si="3"/>
        <v>8.7262150042418263E-3</v>
      </c>
    </row>
    <row r="256" spans="1:15" ht="14.25" customHeight="1" x14ac:dyDescent="0.3">
      <c r="A256" s="2">
        <v>45846</v>
      </c>
      <c r="B256" t="s">
        <v>15</v>
      </c>
      <c r="C256">
        <v>416.15</v>
      </c>
      <c r="D256">
        <v>418.1</v>
      </c>
      <c r="E256">
        <v>414.65</v>
      </c>
      <c r="F256">
        <v>416.15</v>
      </c>
      <c r="G256">
        <v>418</v>
      </c>
      <c r="H256">
        <v>417.2</v>
      </c>
      <c r="I256">
        <v>416.46</v>
      </c>
      <c r="J256">
        <v>471.5</v>
      </c>
      <c r="K256">
        <v>390.15</v>
      </c>
      <c r="L256" s="4">
        <v>6807192</v>
      </c>
      <c r="M256" s="3">
        <v>2834924838.5500002</v>
      </c>
      <c r="N256" s="4">
        <v>76566</v>
      </c>
      <c r="O256">
        <f t="shared" si="3"/>
        <v>2.5231286795626851E-3</v>
      </c>
    </row>
    <row r="257" spans="1:15" ht="14.25" customHeight="1" x14ac:dyDescent="0.3">
      <c r="A257" s="2">
        <v>45847</v>
      </c>
      <c r="B257" t="s">
        <v>15</v>
      </c>
      <c r="C257">
        <v>416.2</v>
      </c>
      <c r="D257">
        <v>420.3</v>
      </c>
      <c r="E257">
        <v>415.45</v>
      </c>
      <c r="F257">
        <v>417.2</v>
      </c>
      <c r="G257">
        <v>419.1</v>
      </c>
      <c r="H257">
        <v>419.45</v>
      </c>
      <c r="I257">
        <v>419.08</v>
      </c>
      <c r="J257">
        <v>471.5</v>
      </c>
      <c r="K257">
        <v>390.15</v>
      </c>
      <c r="L257" s="4">
        <v>9930533</v>
      </c>
      <c r="M257" s="3">
        <v>4161651352.25</v>
      </c>
      <c r="N257" s="4">
        <v>146808</v>
      </c>
      <c r="O257">
        <f t="shared" si="3"/>
        <v>5.3930968360498561E-3</v>
      </c>
    </row>
    <row r="258" spans="1:15" ht="14.25" customHeight="1" x14ac:dyDescent="0.3">
      <c r="A258" s="2">
        <v>45848</v>
      </c>
      <c r="B258" t="s">
        <v>15</v>
      </c>
      <c r="C258">
        <v>420.3</v>
      </c>
      <c r="D258">
        <v>420.3</v>
      </c>
      <c r="E258">
        <v>416.4</v>
      </c>
      <c r="F258">
        <v>419.45</v>
      </c>
      <c r="G258">
        <v>416.65</v>
      </c>
      <c r="H258">
        <v>416.85</v>
      </c>
      <c r="I258">
        <v>417.61</v>
      </c>
      <c r="J258">
        <v>471.5</v>
      </c>
      <c r="K258">
        <v>390.15</v>
      </c>
      <c r="L258" s="4">
        <v>6220360</v>
      </c>
      <c r="M258" s="3">
        <v>2597661683.25</v>
      </c>
      <c r="N258" s="4">
        <v>76333</v>
      </c>
      <c r="O258">
        <f t="shared" si="3"/>
        <v>-6.1985933961138774E-3</v>
      </c>
    </row>
    <row r="259" spans="1:15" ht="14.25" customHeight="1" x14ac:dyDescent="0.3">
      <c r="A259" s="2">
        <v>45849</v>
      </c>
      <c r="B259" t="s">
        <v>15</v>
      </c>
      <c r="C259">
        <v>417</v>
      </c>
      <c r="D259">
        <v>418.05</v>
      </c>
      <c r="E259">
        <v>415.5</v>
      </c>
      <c r="F259">
        <v>416.85</v>
      </c>
      <c r="G259">
        <v>416.65</v>
      </c>
      <c r="H259">
        <v>416.8</v>
      </c>
      <c r="I259">
        <v>416.92</v>
      </c>
      <c r="J259">
        <v>471.5</v>
      </c>
      <c r="K259">
        <v>390.15</v>
      </c>
      <c r="L259" s="4">
        <v>8578844</v>
      </c>
      <c r="M259" s="3">
        <v>3576713516.4499998</v>
      </c>
      <c r="N259" s="4">
        <v>96778</v>
      </c>
      <c r="O259">
        <f t="shared" ref="O259:O322" si="4">(H259-H258)/H258</f>
        <v>-1.1994722322180968E-4</v>
      </c>
    </row>
    <row r="260" spans="1:15" ht="14.25" customHeight="1" x14ac:dyDescent="0.3">
      <c r="A260" s="2">
        <v>45852</v>
      </c>
      <c r="B260" t="s">
        <v>15</v>
      </c>
      <c r="C260">
        <v>417.05</v>
      </c>
      <c r="D260">
        <v>419.95</v>
      </c>
      <c r="E260">
        <v>416.55</v>
      </c>
      <c r="F260">
        <v>416.8</v>
      </c>
      <c r="G260">
        <v>419.35</v>
      </c>
      <c r="H260">
        <v>419.4</v>
      </c>
      <c r="I260">
        <v>418.9</v>
      </c>
      <c r="J260">
        <v>471.5</v>
      </c>
      <c r="K260">
        <v>390.15</v>
      </c>
      <c r="L260" s="4">
        <v>6896989</v>
      </c>
      <c r="M260" s="3">
        <v>2889123352.9499998</v>
      </c>
      <c r="N260" s="4">
        <v>94592</v>
      </c>
      <c r="O260">
        <f t="shared" si="4"/>
        <v>6.2380038387715112E-3</v>
      </c>
    </row>
    <row r="261" spans="1:15" ht="14.25" customHeight="1" x14ac:dyDescent="0.3">
      <c r="A261" s="2">
        <v>45853</v>
      </c>
      <c r="B261" t="s">
        <v>15</v>
      </c>
      <c r="C261">
        <v>420.9</v>
      </c>
      <c r="D261">
        <v>422.4</v>
      </c>
      <c r="E261">
        <v>419</v>
      </c>
      <c r="F261">
        <v>419.4</v>
      </c>
      <c r="G261">
        <v>422.3</v>
      </c>
      <c r="H261">
        <v>422.1</v>
      </c>
      <c r="I261">
        <v>421.37</v>
      </c>
      <c r="J261">
        <v>471.5</v>
      </c>
      <c r="K261">
        <v>390.15</v>
      </c>
      <c r="L261" s="4">
        <v>8532755</v>
      </c>
      <c r="M261" s="3">
        <v>3595425226.1999998</v>
      </c>
      <c r="N261" s="4">
        <v>112643</v>
      </c>
      <c r="O261">
        <f t="shared" si="4"/>
        <v>6.437768240343456E-3</v>
      </c>
    </row>
    <row r="262" spans="1:15" ht="14.25" customHeight="1" x14ac:dyDescent="0.3">
      <c r="A262" s="2">
        <v>45854</v>
      </c>
      <c r="B262" t="s">
        <v>15</v>
      </c>
      <c r="C262">
        <v>422.1</v>
      </c>
      <c r="D262">
        <v>425.45</v>
      </c>
      <c r="E262">
        <v>420.3</v>
      </c>
      <c r="F262">
        <v>422.1</v>
      </c>
      <c r="G262">
        <v>424.4</v>
      </c>
      <c r="H262">
        <v>424.6</v>
      </c>
      <c r="I262">
        <v>423.52</v>
      </c>
      <c r="J262">
        <v>471.5</v>
      </c>
      <c r="K262">
        <v>390.15</v>
      </c>
      <c r="L262" s="4">
        <v>9780773</v>
      </c>
      <c r="M262" s="3">
        <v>4142330034.6500001</v>
      </c>
      <c r="N262" s="4">
        <v>91064</v>
      </c>
      <c r="O262">
        <f t="shared" si="4"/>
        <v>5.9227671167969669E-3</v>
      </c>
    </row>
    <row r="263" spans="1:15" ht="14.25" customHeight="1" x14ac:dyDescent="0.3">
      <c r="A263" s="2">
        <v>45855</v>
      </c>
      <c r="B263" t="s">
        <v>15</v>
      </c>
      <c r="C263">
        <v>425.8</v>
      </c>
      <c r="D263">
        <v>425.9</v>
      </c>
      <c r="E263">
        <v>423</v>
      </c>
      <c r="F263">
        <v>424.6</v>
      </c>
      <c r="G263">
        <v>423.25</v>
      </c>
      <c r="H263">
        <v>423.95</v>
      </c>
      <c r="I263">
        <v>424.62</v>
      </c>
      <c r="J263">
        <v>471.5</v>
      </c>
      <c r="K263">
        <v>390.15</v>
      </c>
      <c r="L263" s="4">
        <v>7240795</v>
      </c>
      <c r="M263" s="3">
        <v>3074622256.6999998</v>
      </c>
      <c r="N263" s="4">
        <v>85266</v>
      </c>
      <c r="O263">
        <f t="shared" si="4"/>
        <v>-1.5308525671220775E-3</v>
      </c>
    </row>
    <row r="264" spans="1:15" ht="14.25" customHeight="1" x14ac:dyDescent="0.3">
      <c r="A264" s="2">
        <v>45856</v>
      </c>
      <c r="B264" t="s">
        <v>15</v>
      </c>
      <c r="C264">
        <v>425.2</v>
      </c>
      <c r="D264">
        <v>425.2</v>
      </c>
      <c r="E264">
        <v>420.1</v>
      </c>
      <c r="F264">
        <v>423.95</v>
      </c>
      <c r="G264">
        <v>422</v>
      </c>
      <c r="H264">
        <v>422.75</v>
      </c>
      <c r="I264">
        <v>422.22</v>
      </c>
      <c r="J264">
        <v>471.5</v>
      </c>
      <c r="K264">
        <v>390.15</v>
      </c>
      <c r="L264" s="4">
        <v>6730256</v>
      </c>
      <c r="M264" s="3">
        <v>2841642514.0500002</v>
      </c>
      <c r="N264" s="4">
        <v>82551</v>
      </c>
      <c r="O264">
        <f t="shared" si="4"/>
        <v>-2.8305224672720572E-3</v>
      </c>
    </row>
    <row r="265" spans="1:15" ht="14.25" customHeight="1" x14ac:dyDescent="0.3">
      <c r="A265" s="2">
        <v>45859</v>
      </c>
      <c r="B265" t="s">
        <v>15</v>
      </c>
      <c r="C265">
        <v>422</v>
      </c>
      <c r="D265">
        <v>422.75</v>
      </c>
      <c r="E265">
        <v>418.4</v>
      </c>
      <c r="F265">
        <v>422.75</v>
      </c>
      <c r="G265">
        <v>420.3</v>
      </c>
      <c r="H265">
        <v>420.1</v>
      </c>
      <c r="I265">
        <v>420.55</v>
      </c>
      <c r="J265">
        <v>471.5</v>
      </c>
      <c r="K265">
        <v>390.15</v>
      </c>
      <c r="L265" s="4">
        <v>4822343</v>
      </c>
      <c r="M265" s="3">
        <v>2028012485.95</v>
      </c>
      <c r="N265" s="4">
        <v>85747</v>
      </c>
      <c r="O265">
        <f t="shared" si="4"/>
        <v>-6.2684801892370842E-3</v>
      </c>
    </row>
    <row r="266" spans="1:15" ht="14.25" customHeight="1" x14ac:dyDescent="0.3">
      <c r="A266" s="2">
        <v>45860</v>
      </c>
      <c r="B266" t="s">
        <v>15</v>
      </c>
      <c r="C266">
        <v>420.1</v>
      </c>
      <c r="D266">
        <v>420.4</v>
      </c>
      <c r="E266">
        <v>415.2</v>
      </c>
      <c r="F266">
        <v>420.1</v>
      </c>
      <c r="G266">
        <v>415.95</v>
      </c>
      <c r="H266">
        <v>416</v>
      </c>
      <c r="I266">
        <v>416.82</v>
      </c>
      <c r="J266">
        <v>471.5</v>
      </c>
      <c r="K266">
        <v>390.15</v>
      </c>
      <c r="L266" s="4">
        <v>9869507</v>
      </c>
      <c r="M266" s="3">
        <v>4113826380.9499998</v>
      </c>
      <c r="N266" s="4">
        <v>117437</v>
      </c>
      <c r="O266">
        <f t="shared" si="4"/>
        <v>-9.7595810521304994E-3</v>
      </c>
    </row>
    <row r="267" spans="1:15" ht="14.25" customHeight="1" x14ac:dyDescent="0.3">
      <c r="A267" s="2">
        <v>45861</v>
      </c>
      <c r="B267" t="s">
        <v>15</v>
      </c>
      <c r="C267">
        <v>417.1</v>
      </c>
      <c r="D267">
        <v>417.9</v>
      </c>
      <c r="E267">
        <v>414</v>
      </c>
      <c r="F267">
        <v>416</v>
      </c>
      <c r="G267">
        <v>415</v>
      </c>
      <c r="H267">
        <v>414.95</v>
      </c>
      <c r="I267">
        <v>415.04</v>
      </c>
      <c r="J267">
        <v>471.5</v>
      </c>
      <c r="K267">
        <v>390.15</v>
      </c>
      <c r="L267" s="4">
        <v>12196187</v>
      </c>
      <c r="M267" s="3">
        <v>5061866238.3999996</v>
      </c>
      <c r="N267" s="4">
        <v>99775</v>
      </c>
      <c r="O267">
        <f t="shared" si="4"/>
        <v>-2.524038461538489E-3</v>
      </c>
    </row>
    <row r="268" spans="1:15" ht="14.25" customHeight="1" x14ac:dyDescent="0.3">
      <c r="A268" s="2">
        <v>45862</v>
      </c>
      <c r="B268" t="s">
        <v>15</v>
      </c>
      <c r="C268">
        <v>415.85</v>
      </c>
      <c r="D268">
        <v>415.85</v>
      </c>
      <c r="E268">
        <v>409.45</v>
      </c>
      <c r="F268">
        <v>414.95</v>
      </c>
      <c r="G268">
        <v>410</v>
      </c>
      <c r="H268">
        <v>409.95</v>
      </c>
      <c r="I268">
        <v>411.42</v>
      </c>
      <c r="J268">
        <v>471.5</v>
      </c>
      <c r="K268">
        <v>390.15</v>
      </c>
      <c r="L268" s="4">
        <v>9005157</v>
      </c>
      <c r="M268" s="3">
        <v>3704882523.9499998</v>
      </c>
      <c r="N268" s="4">
        <v>132378</v>
      </c>
      <c r="O268">
        <f t="shared" si="4"/>
        <v>-1.2049644535486204E-2</v>
      </c>
    </row>
    <row r="269" spans="1:15" ht="14.25" customHeight="1" x14ac:dyDescent="0.3">
      <c r="A269" s="2">
        <v>45863</v>
      </c>
      <c r="B269" t="s">
        <v>15</v>
      </c>
      <c r="C269">
        <v>410</v>
      </c>
      <c r="D269">
        <v>410.25</v>
      </c>
      <c r="E269">
        <v>407.75</v>
      </c>
      <c r="F269">
        <v>409.95</v>
      </c>
      <c r="G269">
        <v>409.6</v>
      </c>
      <c r="H269">
        <v>409.4</v>
      </c>
      <c r="I269">
        <v>409.17</v>
      </c>
      <c r="J269">
        <v>471.5</v>
      </c>
      <c r="K269">
        <v>390.15</v>
      </c>
      <c r="L269" s="4">
        <v>5824089</v>
      </c>
      <c r="M269" s="3">
        <v>2383043433.0500002</v>
      </c>
      <c r="N269" s="4">
        <v>100941</v>
      </c>
      <c r="O269">
        <f t="shared" si="4"/>
        <v>-1.3416270276863311E-3</v>
      </c>
    </row>
    <row r="270" spans="1:15" ht="14.25" customHeight="1" x14ac:dyDescent="0.3">
      <c r="A270" s="2">
        <v>45866</v>
      </c>
      <c r="B270" t="s">
        <v>15</v>
      </c>
      <c r="C270">
        <v>410.8</v>
      </c>
      <c r="D270">
        <v>410.85</v>
      </c>
      <c r="E270">
        <v>408.6</v>
      </c>
      <c r="F270">
        <v>409.4</v>
      </c>
      <c r="G270">
        <v>409.8</v>
      </c>
      <c r="H270">
        <v>409.9</v>
      </c>
      <c r="I270">
        <v>409.88</v>
      </c>
      <c r="J270">
        <v>471.5</v>
      </c>
      <c r="K270">
        <v>390.15</v>
      </c>
      <c r="L270" s="4">
        <v>8123337</v>
      </c>
      <c r="M270" s="3">
        <v>3329557179.75</v>
      </c>
      <c r="N270" s="4">
        <v>86106</v>
      </c>
      <c r="O270">
        <f t="shared" si="4"/>
        <v>1.2212994626282364E-3</v>
      </c>
    </row>
    <row r="271" spans="1:15" ht="14.25" customHeight="1" x14ac:dyDescent="0.3">
      <c r="A271" s="2">
        <v>45867</v>
      </c>
      <c r="B271" t="s">
        <v>15</v>
      </c>
      <c r="C271">
        <v>410</v>
      </c>
      <c r="D271">
        <v>411.4</v>
      </c>
      <c r="E271">
        <v>408</v>
      </c>
      <c r="F271">
        <v>409.9</v>
      </c>
      <c r="G271">
        <v>408.2</v>
      </c>
      <c r="H271">
        <v>408.45</v>
      </c>
      <c r="I271">
        <v>409.3</v>
      </c>
      <c r="J271">
        <v>471.5</v>
      </c>
      <c r="K271">
        <v>390.15</v>
      </c>
      <c r="L271" s="4">
        <v>6811772</v>
      </c>
      <c r="M271" s="3">
        <v>2788074823.5500002</v>
      </c>
      <c r="N271" s="4">
        <v>97448</v>
      </c>
      <c r="O271">
        <f t="shared" si="4"/>
        <v>-3.5374481580873109E-3</v>
      </c>
    </row>
    <row r="272" spans="1:15" ht="14.25" customHeight="1" x14ac:dyDescent="0.3">
      <c r="A272" s="2">
        <v>45868</v>
      </c>
      <c r="B272" t="s">
        <v>15</v>
      </c>
      <c r="C272">
        <v>409</v>
      </c>
      <c r="D272">
        <v>409.3</v>
      </c>
      <c r="E272">
        <v>405.75</v>
      </c>
      <c r="F272">
        <v>408.45</v>
      </c>
      <c r="G272">
        <v>407.8</v>
      </c>
      <c r="H272">
        <v>407.6</v>
      </c>
      <c r="I272">
        <v>407.37</v>
      </c>
      <c r="J272">
        <v>471.5</v>
      </c>
      <c r="K272">
        <v>390.15</v>
      </c>
      <c r="L272" s="4">
        <v>10915863</v>
      </c>
      <c r="M272" s="3">
        <v>4446803251.75</v>
      </c>
      <c r="N272" s="4">
        <v>102742</v>
      </c>
      <c r="O272">
        <f t="shared" si="4"/>
        <v>-2.0810380707552111E-3</v>
      </c>
    </row>
    <row r="273" spans="1:15" ht="14.25" customHeight="1" x14ac:dyDescent="0.3">
      <c r="A273" s="2">
        <v>45869</v>
      </c>
      <c r="B273" t="s">
        <v>15</v>
      </c>
      <c r="C273">
        <v>405.95</v>
      </c>
      <c r="D273">
        <v>414</v>
      </c>
      <c r="E273">
        <v>405.55</v>
      </c>
      <c r="F273">
        <v>407.6</v>
      </c>
      <c r="G273">
        <v>411.7</v>
      </c>
      <c r="H273">
        <v>411.95</v>
      </c>
      <c r="I273">
        <v>410.46</v>
      </c>
      <c r="J273">
        <v>471.5</v>
      </c>
      <c r="K273">
        <v>390.15</v>
      </c>
      <c r="L273" s="4">
        <v>19364174</v>
      </c>
      <c r="M273" s="3">
        <v>7948130344.6999998</v>
      </c>
      <c r="N273" s="4">
        <v>145541</v>
      </c>
      <c r="O273">
        <f t="shared" si="4"/>
        <v>1.0672227674190298E-2</v>
      </c>
    </row>
    <row r="274" spans="1:15" ht="14.25" customHeight="1" x14ac:dyDescent="0.3">
      <c r="A274" s="2">
        <v>45870</v>
      </c>
      <c r="B274" t="s">
        <v>15</v>
      </c>
      <c r="C274">
        <v>412.4</v>
      </c>
      <c r="D274">
        <v>419.35</v>
      </c>
      <c r="E274">
        <v>411.8</v>
      </c>
      <c r="F274">
        <v>411.95</v>
      </c>
      <c r="G274">
        <v>416.6</v>
      </c>
      <c r="H274">
        <v>416.45</v>
      </c>
      <c r="I274">
        <v>416.54</v>
      </c>
      <c r="J274">
        <v>471.5</v>
      </c>
      <c r="K274">
        <v>390.15</v>
      </c>
      <c r="L274" s="4">
        <v>14324065</v>
      </c>
      <c r="M274" s="3">
        <v>5966572601.75</v>
      </c>
      <c r="N274" s="4">
        <v>143905</v>
      </c>
      <c r="O274">
        <f t="shared" si="4"/>
        <v>1.0923655783468867E-2</v>
      </c>
    </row>
    <row r="275" spans="1:15" ht="14.25" customHeight="1" x14ac:dyDescent="0.3">
      <c r="A275" s="2">
        <v>45873</v>
      </c>
      <c r="B275" t="s">
        <v>15</v>
      </c>
      <c r="C275">
        <v>420.2</v>
      </c>
      <c r="D275">
        <v>422.5</v>
      </c>
      <c r="E275">
        <v>415.1</v>
      </c>
      <c r="F275">
        <v>416.45</v>
      </c>
      <c r="G275">
        <v>416.65</v>
      </c>
      <c r="H275">
        <v>416.85</v>
      </c>
      <c r="I275">
        <v>417.96</v>
      </c>
      <c r="J275">
        <v>471.5</v>
      </c>
      <c r="K275">
        <v>390.15</v>
      </c>
      <c r="L275" s="4">
        <v>18352458</v>
      </c>
      <c r="M275" s="3">
        <v>7670504419.3999996</v>
      </c>
      <c r="N275" s="4">
        <v>346053</v>
      </c>
      <c r="O275">
        <f t="shared" si="4"/>
        <v>9.6049945971913588E-4</v>
      </c>
    </row>
    <row r="276" spans="1:15" ht="14.25" customHeight="1" x14ac:dyDescent="0.3">
      <c r="A276" s="2">
        <v>45874</v>
      </c>
      <c r="B276" t="s">
        <v>15</v>
      </c>
      <c r="C276">
        <v>417.2</v>
      </c>
      <c r="D276">
        <v>417.95</v>
      </c>
      <c r="E276">
        <v>413</v>
      </c>
      <c r="F276">
        <v>416.85</v>
      </c>
      <c r="G276">
        <v>413.8</v>
      </c>
      <c r="H276">
        <v>414.15</v>
      </c>
      <c r="I276">
        <v>414.33</v>
      </c>
      <c r="J276">
        <v>471.5</v>
      </c>
      <c r="K276">
        <v>390.15</v>
      </c>
      <c r="L276" s="4">
        <v>8495104</v>
      </c>
      <c r="M276" s="3">
        <v>3519798904.0500002</v>
      </c>
      <c r="N276" s="4">
        <v>147684</v>
      </c>
      <c r="O276">
        <f t="shared" si="4"/>
        <v>-6.4771500539763591E-3</v>
      </c>
    </row>
    <row r="277" spans="1:15" ht="14.25" customHeight="1" x14ac:dyDescent="0.3">
      <c r="A277" s="2">
        <v>45875</v>
      </c>
      <c r="B277" t="s">
        <v>15</v>
      </c>
      <c r="C277">
        <v>414.15</v>
      </c>
      <c r="D277">
        <v>415</v>
      </c>
      <c r="E277">
        <v>410.5</v>
      </c>
      <c r="F277">
        <v>414.15</v>
      </c>
      <c r="G277">
        <v>412.2</v>
      </c>
      <c r="H277">
        <v>412</v>
      </c>
      <c r="I277">
        <v>411.74</v>
      </c>
      <c r="J277">
        <v>471.5</v>
      </c>
      <c r="K277">
        <v>390.15</v>
      </c>
      <c r="L277" s="4">
        <v>9080543</v>
      </c>
      <c r="M277" s="3">
        <v>3738841645.3000002</v>
      </c>
      <c r="N277" s="4">
        <v>123746</v>
      </c>
      <c r="O277">
        <f t="shared" si="4"/>
        <v>-5.1913557889652958E-3</v>
      </c>
    </row>
    <row r="278" spans="1:15" ht="14.25" customHeight="1" x14ac:dyDescent="0.3">
      <c r="A278" s="2">
        <v>45876</v>
      </c>
      <c r="B278" t="s">
        <v>15</v>
      </c>
      <c r="C278">
        <v>412</v>
      </c>
      <c r="D278">
        <v>414.75</v>
      </c>
      <c r="E278">
        <v>411.65</v>
      </c>
      <c r="F278">
        <v>412</v>
      </c>
      <c r="G278">
        <v>413.8</v>
      </c>
      <c r="H278">
        <v>413.6</v>
      </c>
      <c r="I278">
        <v>413.34</v>
      </c>
      <c r="J278">
        <v>471.5</v>
      </c>
      <c r="K278">
        <v>390.15</v>
      </c>
      <c r="L278" s="4">
        <v>11514878</v>
      </c>
      <c r="M278" s="3">
        <v>4759538600.1000004</v>
      </c>
      <c r="N278" s="4">
        <v>107647</v>
      </c>
      <c r="O278">
        <f t="shared" si="4"/>
        <v>3.8834951456311233E-3</v>
      </c>
    </row>
    <row r="279" spans="1:15" ht="14.25" customHeight="1" x14ac:dyDescent="0.3">
      <c r="A279" s="2">
        <v>45877</v>
      </c>
      <c r="B279" t="s">
        <v>15</v>
      </c>
      <c r="C279">
        <v>413.9</v>
      </c>
      <c r="D279">
        <v>415.35</v>
      </c>
      <c r="E279">
        <v>412.95</v>
      </c>
      <c r="F279">
        <v>413.6</v>
      </c>
      <c r="G279">
        <v>414.45</v>
      </c>
      <c r="H279">
        <v>414.5</v>
      </c>
      <c r="I279">
        <v>414.32</v>
      </c>
      <c r="J279">
        <v>471.5</v>
      </c>
      <c r="K279">
        <v>390.15</v>
      </c>
      <c r="L279" s="4">
        <v>9814361</v>
      </c>
      <c r="M279" s="3">
        <v>4066250194.9000001</v>
      </c>
      <c r="N279" s="4">
        <v>95336</v>
      </c>
      <c r="O279">
        <f t="shared" si="4"/>
        <v>2.1760154738877592E-3</v>
      </c>
    </row>
    <row r="280" spans="1:15" ht="14.25" customHeight="1" x14ac:dyDescent="0.3">
      <c r="A280" s="2">
        <v>45880</v>
      </c>
      <c r="B280" t="s">
        <v>15</v>
      </c>
      <c r="C280">
        <v>414.5</v>
      </c>
      <c r="D280">
        <v>417</v>
      </c>
      <c r="E280">
        <v>414</v>
      </c>
      <c r="F280">
        <v>414.5</v>
      </c>
      <c r="G280">
        <v>417</v>
      </c>
      <c r="H280">
        <v>416.85</v>
      </c>
      <c r="I280">
        <v>416.05</v>
      </c>
      <c r="J280">
        <v>471.5</v>
      </c>
      <c r="K280">
        <v>390.15</v>
      </c>
      <c r="L280" s="4">
        <v>8514272</v>
      </c>
      <c r="M280" s="3">
        <v>3542355434.8000002</v>
      </c>
      <c r="N280" s="4">
        <v>111986</v>
      </c>
      <c r="O280">
        <f t="shared" si="4"/>
        <v>5.6694813027744822E-3</v>
      </c>
    </row>
    <row r="281" spans="1:15" ht="14.25" customHeight="1" x14ac:dyDescent="0.3">
      <c r="A281" s="2">
        <v>45881</v>
      </c>
      <c r="B281" t="s">
        <v>15</v>
      </c>
      <c r="C281">
        <v>417</v>
      </c>
      <c r="D281">
        <v>419.8</v>
      </c>
      <c r="E281">
        <v>415.3</v>
      </c>
      <c r="F281">
        <v>416.85</v>
      </c>
      <c r="G281">
        <v>416.1</v>
      </c>
      <c r="H281">
        <v>416.35</v>
      </c>
      <c r="I281">
        <v>417.43</v>
      </c>
      <c r="J281">
        <v>471.5</v>
      </c>
      <c r="K281">
        <v>390.15</v>
      </c>
      <c r="L281" s="4">
        <v>13635738</v>
      </c>
      <c r="M281" s="3">
        <v>5692002511.3999996</v>
      </c>
      <c r="N281" s="4">
        <v>105553</v>
      </c>
      <c r="O281">
        <f t="shared" si="4"/>
        <v>-1.199472232217824E-3</v>
      </c>
    </row>
    <row r="282" spans="1:15" ht="14.25" customHeight="1" x14ac:dyDescent="0.3">
      <c r="A282" s="2">
        <v>45882</v>
      </c>
      <c r="B282" t="s">
        <v>15</v>
      </c>
      <c r="C282">
        <v>417.2</v>
      </c>
      <c r="D282">
        <v>417.5</v>
      </c>
      <c r="E282">
        <v>413.6</v>
      </c>
      <c r="F282">
        <v>416.35</v>
      </c>
      <c r="G282">
        <v>414.2</v>
      </c>
      <c r="H282">
        <v>414.1</v>
      </c>
      <c r="I282">
        <v>414.82</v>
      </c>
      <c r="J282">
        <v>471.5</v>
      </c>
      <c r="K282">
        <v>390.15</v>
      </c>
      <c r="L282" s="4">
        <v>10874910</v>
      </c>
      <c r="M282" s="3">
        <v>4511079760.8000002</v>
      </c>
      <c r="N282" s="4">
        <v>86765</v>
      </c>
      <c r="O282">
        <f t="shared" si="4"/>
        <v>-5.4041071214122726E-3</v>
      </c>
    </row>
    <row r="283" spans="1:15" ht="14.25" customHeight="1" x14ac:dyDescent="0.3">
      <c r="A283" s="2">
        <v>45883</v>
      </c>
      <c r="B283" t="s">
        <v>15</v>
      </c>
      <c r="C283">
        <v>414.25</v>
      </c>
      <c r="D283">
        <v>415.05</v>
      </c>
      <c r="E283">
        <v>411</v>
      </c>
      <c r="F283">
        <v>414.1</v>
      </c>
      <c r="G283">
        <v>411.45</v>
      </c>
      <c r="H283">
        <v>411.45</v>
      </c>
      <c r="I283">
        <v>412.48</v>
      </c>
      <c r="J283">
        <v>471.5</v>
      </c>
      <c r="K283">
        <v>390.15</v>
      </c>
      <c r="L283" s="4">
        <v>9580361</v>
      </c>
      <c r="M283" s="3">
        <v>3951669337.5</v>
      </c>
      <c r="N283" s="4">
        <v>122767</v>
      </c>
      <c r="O283">
        <f t="shared" si="4"/>
        <v>-6.3994204298479448E-3</v>
      </c>
    </row>
    <row r="284" spans="1:15" ht="14.25" customHeight="1" x14ac:dyDescent="0.3">
      <c r="A284" s="2">
        <v>45887</v>
      </c>
      <c r="B284" t="s">
        <v>15</v>
      </c>
      <c r="C284">
        <v>413</v>
      </c>
      <c r="D284">
        <v>413.7</v>
      </c>
      <c r="E284">
        <v>404.85</v>
      </c>
      <c r="F284">
        <v>411.45</v>
      </c>
      <c r="G284">
        <v>405.3</v>
      </c>
      <c r="H284">
        <v>406.3</v>
      </c>
      <c r="I284">
        <v>408.7</v>
      </c>
      <c r="J284">
        <v>471.5</v>
      </c>
      <c r="K284">
        <v>390.15</v>
      </c>
      <c r="L284" s="4">
        <v>30950814</v>
      </c>
      <c r="M284" s="3">
        <v>12649659054.299999</v>
      </c>
      <c r="N284" s="4">
        <v>193343</v>
      </c>
      <c r="O284">
        <f t="shared" si="4"/>
        <v>-1.2516709199173599E-2</v>
      </c>
    </row>
    <row r="285" spans="1:15" ht="14.25" customHeight="1" x14ac:dyDescent="0.3">
      <c r="A285" s="2">
        <v>45888</v>
      </c>
      <c r="B285" t="s">
        <v>15</v>
      </c>
      <c r="C285">
        <v>406.35</v>
      </c>
      <c r="D285">
        <v>409.4</v>
      </c>
      <c r="E285">
        <v>404.5</v>
      </c>
      <c r="F285">
        <v>406.3</v>
      </c>
      <c r="G285">
        <v>409.1</v>
      </c>
      <c r="H285">
        <v>409.1</v>
      </c>
      <c r="I285">
        <v>406.86</v>
      </c>
      <c r="J285">
        <v>471.5</v>
      </c>
      <c r="K285">
        <v>390.15</v>
      </c>
      <c r="L285" s="4">
        <v>16681331</v>
      </c>
      <c r="M285" s="3">
        <v>6786912397.3000002</v>
      </c>
      <c r="N285" s="4">
        <v>175005</v>
      </c>
      <c r="O285">
        <f t="shared" si="4"/>
        <v>6.8914595126753908E-3</v>
      </c>
    </row>
    <row r="286" spans="1:15" ht="14.25" customHeight="1" x14ac:dyDescent="0.3">
      <c r="A286" s="2">
        <v>45889</v>
      </c>
      <c r="B286" t="s">
        <v>15</v>
      </c>
      <c r="C286">
        <v>409.1</v>
      </c>
      <c r="D286">
        <v>410.25</v>
      </c>
      <c r="E286">
        <v>405.45</v>
      </c>
      <c r="F286">
        <v>409.1</v>
      </c>
      <c r="G286">
        <v>406.25</v>
      </c>
      <c r="H286">
        <v>406.05</v>
      </c>
      <c r="I286">
        <v>407.87</v>
      </c>
      <c r="J286">
        <v>471.5</v>
      </c>
      <c r="K286">
        <v>390.15</v>
      </c>
      <c r="L286" s="4">
        <v>18188129</v>
      </c>
      <c r="M286" s="3">
        <v>7418416584.5500002</v>
      </c>
      <c r="N286" s="4">
        <v>158846</v>
      </c>
      <c r="O286">
        <f t="shared" si="4"/>
        <v>-7.455389880224911E-3</v>
      </c>
    </row>
    <row r="287" spans="1:15" ht="14.25" customHeight="1" x14ac:dyDescent="0.3">
      <c r="A287" s="2">
        <v>45890</v>
      </c>
      <c r="B287" t="s">
        <v>15</v>
      </c>
      <c r="C287">
        <v>406.05</v>
      </c>
      <c r="D287">
        <v>406.85</v>
      </c>
      <c r="E287">
        <v>403.35</v>
      </c>
      <c r="F287">
        <v>406.05</v>
      </c>
      <c r="G287">
        <v>406</v>
      </c>
      <c r="H287">
        <v>405.55</v>
      </c>
      <c r="I287">
        <v>405.69</v>
      </c>
      <c r="J287">
        <v>471.5</v>
      </c>
      <c r="K287">
        <v>390.15</v>
      </c>
      <c r="L287" s="4">
        <v>15028966</v>
      </c>
      <c r="M287" s="3">
        <v>6097100177.4499998</v>
      </c>
      <c r="N287" s="4">
        <v>182931</v>
      </c>
      <c r="O287">
        <f t="shared" si="4"/>
        <v>-1.2313754463735994E-3</v>
      </c>
    </row>
    <row r="288" spans="1:15" ht="14.25" customHeight="1" x14ac:dyDescent="0.3">
      <c r="A288" s="2">
        <v>45891</v>
      </c>
      <c r="B288" t="s">
        <v>15</v>
      </c>
      <c r="C288">
        <v>406</v>
      </c>
      <c r="D288">
        <v>406.5</v>
      </c>
      <c r="E288">
        <v>397.5</v>
      </c>
      <c r="F288">
        <v>405.55</v>
      </c>
      <c r="G288">
        <v>398.3</v>
      </c>
      <c r="H288">
        <v>398.3</v>
      </c>
      <c r="I288">
        <v>399.91</v>
      </c>
      <c r="J288">
        <v>471.5</v>
      </c>
      <c r="K288">
        <v>390.15</v>
      </c>
      <c r="L288" s="4">
        <v>13087624</v>
      </c>
      <c r="M288" s="3">
        <v>5233881432.8000002</v>
      </c>
      <c r="N288" s="4">
        <v>204639</v>
      </c>
      <c r="O288">
        <f t="shared" si="4"/>
        <v>-1.7876957218592036E-2</v>
      </c>
    </row>
    <row r="289" spans="1:15" ht="14.25" customHeight="1" x14ac:dyDescent="0.3">
      <c r="A289" s="2">
        <v>45894</v>
      </c>
      <c r="B289" t="s">
        <v>15</v>
      </c>
      <c r="C289">
        <v>399</v>
      </c>
      <c r="D289">
        <v>400.55</v>
      </c>
      <c r="E289">
        <v>396.25</v>
      </c>
      <c r="F289">
        <v>398.3</v>
      </c>
      <c r="G289">
        <v>399.15</v>
      </c>
      <c r="H289">
        <v>399.35</v>
      </c>
      <c r="I289">
        <v>399.17</v>
      </c>
      <c r="J289">
        <v>471.5</v>
      </c>
      <c r="K289">
        <v>390.15</v>
      </c>
      <c r="L289" s="4">
        <v>10440286</v>
      </c>
      <c r="M289" s="3">
        <v>4167497911.5</v>
      </c>
      <c r="N289" s="4">
        <v>142577</v>
      </c>
      <c r="O289">
        <f t="shared" si="4"/>
        <v>2.6362038664323661E-3</v>
      </c>
    </row>
    <row r="290" spans="1:15" ht="14.25" customHeight="1" x14ac:dyDescent="0.3">
      <c r="A290" s="2">
        <v>45895</v>
      </c>
      <c r="B290" t="s">
        <v>15</v>
      </c>
      <c r="C290">
        <v>399.3</v>
      </c>
      <c r="D290">
        <v>405.4</v>
      </c>
      <c r="E290">
        <v>398.4</v>
      </c>
      <c r="F290">
        <v>399.35</v>
      </c>
      <c r="G290">
        <v>403.35</v>
      </c>
      <c r="H290">
        <v>403.35</v>
      </c>
      <c r="I290">
        <v>402.3</v>
      </c>
      <c r="J290">
        <v>471.5</v>
      </c>
      <c r="K290">
        <v>390.15</v>
      </c>
      <c r="L290" s="4">
        <v>13715752</v>
      </c>
      <c r="M290" s="3">
        <v>5517842190</v>
      </c>
      <c r="N290" s="4">
        <v>180641</v>
      </c>
      <c r="O290">
        <f t="shared" si="4"/>
        <v>1.0016276449229998E-2</v>
      </c>
    </row>
    <row r="291" spans="1:15" ht="14.25" customHeight="1" x14ac:dyDescent="0.3">
      <c r="A291" s="2">
        <v>45897</v>
      </c>
      <c r="B291" t="s">
        <v>15</v>
      </c>
      <c r="C291">
        <v>404.5</v>
      </c>
      <c r="D291">
        <v>404.5</v>
      </c>
      <c r="E291">
        <v>400</v>
      </c>
      <c r="F291">
        <v>403.35</v>
      </c>
      <c r="G291">
        <v>400.8</v>
      </c>
      <c r="H291">
        <v>400.9</v>
      </c>
      <c r="I291">
        <v>401.4</v>
      </c>
      <c r="J291">
        <v>471.5</v>
      </c>
      <c r="K291">
        <v>390.15</v>
      </c>
      <c r="L291" s="4">
        <v>12471719</v>
      </c>
      <c r="M291" s="3">
        <v>5006114050</v>
      </c>
      <c r="N291" s="4">
        <v>165609</v>
      </c>
      <c r="O291">
        <f t="shared" si="4"/>
        <v>-6.0741291682163022E-3</v>
      </c>
    </row>
    <row r="292" spans="1:15" ht="14.25" customHeight="1" x14ac:dyDescent="0.3">
      <c r="A292" s="2">
        <v>45898</v>
      </c>
      <c r="B292" t="s">
        <v>15</v>
      </c>
      <c r="C292">
        <v>402</v>
      </c>
      <c r="D292">
        <v>410.45</v>
      </c>
      <c r="E292">
        <v>401.9</v>
      </c>
      <c r="F292">
        <v>400.9</v>
      </c>
      <c r="G292">
        <v>409.5</v>
      </c>
      <c r="H292">
        <v>409.75</v>
      </c>
      <c r="I292">
        <v>407.54</v>
      </c>
      <c r="J292">
        <v>471.5</v>
      </c>
      <c r="K292">
        <v>390.15</v>
      </c>
      <c r="L292" s="4">
        <v>25255050</v>
      </c>
      <c r="M292" s="3">
        <v>10292536558.9</v>
      </c>
      <c r="N292" s="4">
        <v>152907</v>
      </c>
      <c r="O292">
        <f t="shared" si="4"/>
        <v>2.2075330506360746E-2</v>
      </c>
    </row>
    <row r="293" spans="1:15" ht="14.25" customHeight="1" x14ac:dyDescent="0.3">
      <c r="A293" s="2">
        <v>45901</v>
      </c>
      <c r="B293" t="s">
        <v>15</v>
      </c>
      <c r="C293">
        <v>409.75</v>
      </c>
      <c r="D293">
        <v>410.2</v>
      </c>
      <c r="E293">
        <v>405</v>
      </c>
      <c r="F293">
        <v>409.75</v>
      </c>
      <c r="G293">
        <v>405.55</v>
      </c>
      <c r="H293">
        <v>405.85</v>
      </c>
      <c r="I293">
        <v>406.32</v>
      </c>
      <c r="J293">
        <v>471.5</v>
      </c>
      <c r="K293">
        <v>390.15</v>
      </c>
      <c r="L293" s="4">
        <v>12268090</v>
      </c>
      <c r="M293" s="3">
        <v>4984783795.8000002</v>
      </c>
      <c r="N293" s="4">
        <v>169790</v>
      </c>
      <c r="O293">
        <f t="shared" si="4"/>
        <v>-9.5179987797436912E-3</v>
      </c>
    </row>
    <row r="294" spans="1:15" ht="14.25" customHeight="1" x14ac:dyDescent="0.3">
      <c r="A294" s="2">
        <v>45902</v>
      </c>
      <c r="B294" t="s">
        <v>15</v>
      </c>
      <c r="C294">
        <v>406.55</v>
      </c>
      <c r="D294">
        <v>407.85</v>
      </c>
      <c r="E294">
        <v>404.45</v>
      </c>
      <c r="F294">
        <v>405.85</v>
      </c>
      <c r="G294">
        <v>407</v>
      </c>
      <c r="H294">
        <v>406.75</v>
      </c>
      <c r="I294">
        <v>406.37</v>
      </c>
      <c r="J294">
        <v>471.5</v>
      </c>
      <c r="K294">
        <v>390.15</v>
      </c>
      <c r="L294" s="4">
        <v>19808255</v>
      </c>
      <c r="M294" s="3">
        <v>8049546791.5</v>
      </c>
      <c r="N294" s="4">
        <v>224334</v>
      </c>
      <c r="O294">
        <f t="shared" si="4"/>
        <v>2.2175680670197787E-3</v>
      </c>
    </row>
    <row r="295" spans="1:15" ht="14.25" customHeight="1" x14ac:dyDescent="0.3">
      <c r="A295" s="2">
        <v>45903</v>
      </c>
      <c r="B295" t="s">
        <v>15</v>
      </c>
      <c r="C295">
        <v>408.5</v>
      </c>
      <c r="D295">
        <v>413.25</v>
      </c>
      <c r="E295">
        <v>407.3</v>
      </c>
      <c r="F295">
        <v>406.75</v>
      </c>
      <c r="G295">
        <v>411.1</v>
      </c>
      <c r="H295">
        <v>411.75</v>
      </c>
      <c r="I295">
        <v>410.55</v>
      </c>
      <c r="J295">
        <v>471.5</v>
      </c>
      <c r="K295">
        <v>390.15</v>
      </c>
      <c r="L295" s="4">
        <v>12936588</v>
      </c>
      <c r="M295" s="3">
        <v>5311134586.6000004</v>
      </c>
      <c r="N295" s="4">
        <v>118422</v>
      </c>
      <c r="O295">
        <f t="shared" si="4"/>
        <v>1.2292562999385371E-2</v>
      </c>
    </row>
    <row r="296" spans="1:15" ht="14.25" customHeight="1" x14ac:dyDescent="0.3">
      <c r="A296" s="2">
        <v>45904</v>
      </c>
      <c r="B296" t="s">
        <v>15</v>
      </c>
      <c r="C296">
        <v>423.95</v>
      </c>
      <c r="D296">
        <v>427</v>
      </c>
      <c r="E296">
        <v>415</v>
      </c>
      <c r="F296">
        <v>411.75</v>
      </c>
      <c r="G296">
        <v>415.75</v>
      </c>
      <c r="H296">
        <v>415.9</v>
      </c>
      <c r="I296">
        <v>418.56</v>
      </c>
      <c r="J296">
        <v>471.5</v>
      </c>
      <c r="K296">
        <v>390.15</v>
      </c>
      <c r="L296" s="4">
        <v>27274123</v>
      </c>
      <c r="M296" s="3">
        <v>11415887821.049999</v>
      </c>
      <c r="N296" s="4">
        <v>271564</v>
      </c>
      <c r="O296">
        <f t="shared" si="4"/>
        <v>1.0078931390406744E-2</v>
      </c>
    </row>
    <row r="297" spans="1:15" ht="14.25" customHeight="1" x14ac:dyDescent="0.3">
      <c r="A297" s="2">
        <v>45905</v>
      </c>
      <c r="B297" t="s">
        <v>15</v>
      </c>
      <c r="C297">
        <v>416.9</v>
      </c>
      <c r="D297">
        <v>417</v>
      </c>
      <c r="E297">
        <v>404.4</v>
      </c>
      <c r="F297">
        <v>415.9</v>
      </c>
      <c r="G297">
        <v>407.9</v>
      </c>
      <c r="H297">
        <v>407.35</v>
      </c>
      <c r="I297">
        <v>406.82</v>
      </c>
      <c r="J297">
        <v>471.5</v>
      </c>
      <c r="K297">
        <v>390.15</v>
      </c>
      <c r="L297" s="4">
        <v>16000675</v>
      </c>
      <c r="M297" s="3">
        <v>6509428201.4499998</v>
      </c>
      <c r="N297" s="4">
        <v>213298</v>
      </c>
      <c r="O297">
        <f t="shared" si="4"/>
        <v>-2.0557826400576955E-2</v>
      </c>
    </row>
    <row r="298" spans="1:15" ht="14.25" customHeight="1" x14ac:dyDescent="0.3">
      <c r="A298" s="2">
        <v>45908</v>
      </c>
      <c r="B298" t="s">
        <v>15</v>
      </c>
      <c r="C298">
        <v>407.45</v>
      </c>
      <c r="D298">
        <v>410.55</v>
      </c>
      <c r="E298">
        <v>406.8</v>
      </c>
      <c r="F298">
        <v>407.35</v>
      </c>
      <c r="G298">
        <v>408.4</v>
      </c>
      <c r="H298">
        <v>407.55</v>
      </c>
      <c r="I298">
        <v>408.21</v>
      </c>
      <c r="J298">
        <v>471.5</v>
      </c>
      <c r="K298">
        <v>390.15</v>
      </c>
      <c r="L298" s="4">
        <v>7419022</v>
      </c>
      <c r="M298" s="3">
        <v>3028506105.1500001</v>
      </c>
      <c r="N298" s="4">
        <v>113635</v>
      </c>
      <c r="O298">
        <f t="shared" si="4"/>
        <v>4.9097827421133819E-4</v>
      </c>
    </row>
    <row r="299" spans="1:15" ht="14.25" customHeight="1" x14ac:dyDescent="0.3">
      <c r="A299" s="2">
        <v>45909</v>
      </c>
      <c r="B299" t="s">
        <v>15</v>
      </c>
      <c r="C299">
        <v>408.5</v>
      </c>
      <c r="D299">
        <v>410.95</v>
      </c>
      <c r="E299">
        <v>407.4</v>
      </c>
      <c r="F299">
        <v>407.55</v>
      </c>
      <c r="G299">
        <v>410</v>
      </c>
      <c r="H299">
        <v>410.05</v>
      </c>
      <c r="I299">
        <v>409.78</v>
      </c>
      <c r="J299">
        <v>471.5</v>
      </c>
      <c r="K299">
        <v>390.15</v>
      </c>
      <c r="L299" s="4">
        <v>8825896</v>
      </c>
      <c r="M299" s="3">
        <v>3616692854.5999999</v>
      </c>
      <c r="N299" s="4">
        <v>88691</v>
      </c>
      <c r="O299">
        <f t="shared" si="4"/>
        <v>6.1342166605324495E-3</v>
      </c>
    </row>
    <row r="300" spans="1:15" ht="14.25" customHeight="1" x14ac:dyDescent="0.3">
      <c r="A300" s="2">
        <v>45910</v>
      </c>
      <c r="B300" t="s">
        <v>15</v>
      </c>
      <c r="C300">
        <v>411</v>
      </c>
      <c r="D300">
        <v>413.7</v>
      </c>
      <c r="E300">
        <v>408.95</v>
      </c>
      <c r="F300">
        <v>410.05</v>
      </c>
      <c r="G300">
        <v>413</v>
      </c>
      <c r="H300">
        <v>413.05</v>
      </c>
      <c r="I300">
        <v>411.25</v>
      </c>
      <c r="J300">
        <v>471.5</v>
      </c>
      <c r="K300">
        <v>390.15</v>
      </c>
      <c r="L300" s="4">
        <v>9252397</v>
      </c>
      <c r="M300" s="3">
        <v>3805055609.0500002</v>
      </c>
      <c r="N300" s="4">
        <v>141806</v>
      </c>
      <c r="O300">
        <f t="shared" si="4"/>
        <v>7.3161809535422506E-3</v>
      </c>
    </row>
    <row r="301" spans="1:15" ht="14.25" customHeight="1" x14ac:dyDescent="0.3">
      <c r="A301" s="2">
        <v>45911</v>
      </c>
      <c r="B301" t="s">
        <v>15</v>
      </c>
      <c r="C301">
        <v>413.05</v>
      </c>
      <c r="D301">
        <v>416.7</v>
      </c>
      <c r="E301">
        <v>412.45</v>
      </c>
      <c r="F301">
        <v>413.05</v>
      </c>
      <c r="G301">
        <v>415.35</v>
      </c>
      <c r="H301">
        <v>415.05</v>
      </c>
      <c r="I301">
        <v>415.51</v>
      </c>
      <c r="J301">
        <v>471.5</v>
      </c>
      <c r="K301">
        <v>390.15</v>
      </c>
      <c r="L301" s="4">
        <v>8274406</v>
      </c>
      <c r="M301" s="3">
        <v>3438066391.5500002</v>
      </c>
      <c r="N301" s="4">
        <v>195524</v>
      </c>
      <c r="O301">
        <f t="shared" si="4"/>
        <v>4.8420288100714196E-3</v>
      </c>
    </row>
    <row r="302" spans="1:15" ht="14.25" customHeight="1" x14ac:dyDescent="0.3">
      <c r="A302" s="2">
        <v>45912</v>
      </c>
      <c r="B302" t="s">
        <v>15</v>
      </c>
      <c r="C302">
        <v>415.35</v>
      </c>
      <c r="D302">
        <v>417.05</v>
      </c>
      <c r="E302">
        <v>412.85</v>
      </c>
      <c r="F302">
        <v>415.05</v>
      </c>
      <c r="G302">
        <v>413.55</v>
      </c>
      <c r="H302">
        <v>413.75</v>
      </c>
      <c r="I302">
        <v>414.89</v>
      </c>
      <c r="J302">
        <v>471.5</v>
      </c>
      <c r="K302">
        <v>390.15</v>
      </c>
      <c r="L302" s="4">
        <v>7803379</v>
      </c>
      <c r="M302" s="3">
        <v>3237550924.5</v>
      </c>
      <c r="N302" s="4">
        <v>78225</v>
      </c>
      <c r="O302">
        <f t="shared" si="4"/>
        <v>-3.1321527526804271E-3</v>
      </c>
    </row>
    <row r="303" spans="1:15" ht="14.25" customHeight="1" x14ac:dyDescent="0.3">
      <c r="A303" s="2">
        <v>45915</v>
      </c>
      <c r="B303" t="s">
        <v>15</v>
      </c>
      <c r="C303">
        <v>413.05</v>
      </c>
      <c r="D303">
        <v>414.3</v>
      </c>
      <c r="E303">
        <v>411.75</v>
      </c>
      <c r="F303">
        <v>413.75</v>
      </c>
      <c r="G303">
        <v>412.8</v>
      </c>
      <c r="H303">
        <v>412.65</v>
      </c>
      <c r="I303">
        <v>413.05</v>
      </c>
      <c r="J303">
        <v>471.5</v>
      </c>
      <c r="K303">
        <v>390.15</v>
      </c>
      <c r="L303" s="4">
        <v>5707331</v>
      </c>
      <c r="M303" s="3">
        <v>2357418512.5500002</v>
      </c>
      <c r="N303" s="4">
        <v>91972</v>
      </c>
      <c r="O303">
        <f t="shared" si="4"/>
        <v>-2.6586102719033783E-3</v>
      </c>
    </row>
    <row r="304" spans="1:15" ht="14.25" customHeight="1" x14ac:dyDescent="0.3">
      <c r="A304" s="2">
        <v>45916</v>
      </c>
      <c r="B304" t="s">
        <v>15</v>
      </c>
      <c r="C304">
        <v>413.2</v>
      </c>
      <c r="D304">
        <v>414.35</v>
      </c>
      <c r="E304">
        <v>412</v>
      </c>
      <c r="F304">
        <v>412.65</v>
      </c>
      <c r="G304">
        <v>413.65</v>
      </c>
      <c r="H304">
        <v>413.1</v>
      </c>
      <c r="I304">
        <v>413.12</v>
      </c>
      <c r="J304">
        <v>471.5</v>
      </c>
      <c r="K304">
        <v>390.15</v>
      </c>
      <c r="L304" s="4">
        <v>8239087</v>
      </c>
      <c r="M304" s="3">
        <v>3403729371.0500002</v>
      </c>
      <c r="N304" s="4">
        <v>97899</v>
      </c>
      <c r="O304">
        <f t="shared" si="4"/>
        <v>1.0905125408943305E-3</v>
      </c>
    </row>
    <row r="305" spans="1:15" ht="14.25" customHeight="1" x14ac:dyDescent="0.3">
      <c r="A305" s="2">
        <v>45917</v>
      </c>
      <c r="B305" t="s">
        <v>15</v>
      </c>
      <c r="C305">
        <v>413.95</v>
      </c>
      <c r="D305">
        <v>414.6</v>
      </c>
      <c r="E305">
        <v>408.05</v>
      </c>
      <c r="F305">
        <v>413.1</v>
      </c>
      <c r="G305">
        <v>410.05</v>
      </c>
      <c r="H305">
        <v>409.3</v>
      </c>
      <c r="I305">
        <v>410.17</v>
      </c>
      <c r="J305">
        <v>471.5</v>
      </c>
      <c r="K305">
        <v>390.15</v>
      </c>
      <c r="L305" s="4">
        <v>14113882</v>
      </c>
      <c r="M305" s="3">
        <v>5789128854.5500002</v>
      </c>
      <c r="N305" s="4">
        <v>147228</v>
      </c>
      <c r="O305">
        <f t="shared" si="4"/>
        <v>-9.1987412248850427E-3</v>
      </c>
    </row>
    <row r="306" spans="1:15" ht="14.25" customHeight="1" x14ac:dyDescent="0.3">
      <c r="A306" s="2">
        <v>45918</v>
      </c>
      <c r="B306" t="s">
        <v>15</v>
      </c>
      <c r="C306">
        <v>411.35</v>
      </c>
      <c r="D306">
        <v>413.05</v>
      </c>
      <c r="E306">
        <v>410.1</v>
      </c>
      <c r="F306">
        <v>409.3</v>
      </c>
      <c r="G306">
        <v>412.5</v>
      </c>
      <c r="H306">
        <v>411.55</v>
      </c>
      <c r="I306">
        <v>411.51</v>
      </c>
      <c r="J306">
        <v>471.5</v>
      </c>
      <c r="K306">
        <v>390.15</v>
      </c>
      <c r="L306" s="4">
        <v>15647808</v>
      </c>
      <c r="M306" s="3">
        <v>6439299773.3000002</v>
      </c>
      <c r="N306" s="4">
        <v>105500</v>
      </c>
      <c r="O306">
        <f t="shared" si="4"/>
        <v>5.4971903249450282E-3</v>
      </c>
    </row>
    <row r="307" spans="1:15" ht="14.25" customHeight="1" x14ac:dyDescent="0.3">
      <c r="A307" s="2">
        <v>45919</v>
      </c>
      <c r="B307" t="s">
        <v>15</v>
      </c>
      <c r="C307">
        <v>411.55</v>
      </c>
      <c r="D307">
        <v>412.6</v>
      </c>
      <c r="E307">
        <v>408.95</v>
      </c>
      <c r="F307">
        <v>411.55</v>
      </c>
      <c r="G307">
        <v>410</v>
      </c>
      <c r="H307">
        <v>410.65</v>
      </c>
      <c r="I307">
        <v>410.47</v>
      </c>
      <c r="J307">
        <v>471.5</v>
      </c>
      <c r="K307">
        <v>390.15</v>
      </c>
      <c r="L307" s="4">
        <v>19505321</v>
      </c>
      <c r="M307" s="3">
        <v>8006379578.25</v>
      </c>
      <c r="N307" s="4">
        <v>119041</v>
      </c>
      <c r="O307">
        <f t="shared" si="4"/>
        <v>-2.1868545741709003E-3</v>
      </c>
    </row>
    <row r="308" spans="1:15" ht="14.25" customHeight="1" x14ac:dyDescent="0.3">
      <c r="A308" s="2">
        <v>45922</v>
      </c>
      <c r="B308" t="s">
        <v>15</v>
      </c>
      <c r="C308">
        <v>410.65</v>
      </c>
      <c r="D308">
        <v>411</v>
      </c>
      <c r="E308">
        <v>406.05</v>
      </c>
      <c r="F308">
        <v>410.65</v>
      </c>
      <c r="G308">
        <v>407</v>
      </c>
      <c r="H308">
        <v>406.95</v>
      </c>
      <c r="I308">
        <v>408.02</v>
      </c>
      <c r="J308">
        <v>471.5</v>
      </c>
      <c r="K308">
        <v>390.15</v>
      </c>
      <c r="L308" s="4">
        <v>8930779</v>
      </c>
      <c r="M308" s="3">
        <v>3643975296.25</v>
      </c>
      <c r="N308" s="4">
        <v>128779</v>
      </c>
      <c r="O308">
        <f t="shared" si="4"/>
        <v>-9.01010592962374E-3</v>
      </c>
    </row>
    <row r="309" spans="1:15" ht="14.25" customHeight="1" x14ac:dyDescent="0.3">
      <c r="A309" s="2">
        <v>45923</v>
      </c>
      <c r="B309" t="s">
        <v>15</v>
      </c>
      <c r="C309">
        <v>407.1</v>
      </c>
      <c r="D309">
        <v>408.1</v>
      </c>
      <c r="E309">
        <v>402.1</v>
      </c>
      <c r="F309">
        <v>406.95</v>
      </c>
      <c r="G309">
        <v>404</v>
      </c>
      <c r="H309">
        <v>403.2</v>
      </c>
      <c r="I309">
        <v>403.67</v>
      </c>
      <c r="J309">
        <v>471.5</v>
      </c>
      <c r="K309">
        <v>390.15</v>
      </c>
      <c r="L309" s="4">
        <v>14936357</v>
      </c>
      <c r="M309" s="3">
        <v>6029414917.8500004</v>
      </c>
      <c r="N309" s="4">
        <v>165353</v>
      </c>
      <c r="O309">
        <f t="shared" si="4"/>
        <v>-9.2148912642830809E-3</v>
      </c>
    </row>
    <row r="310" spans="1:15" ht="14.25" customHeight="1" x14ac:dyDescent="0.3">
      <c r="A310" s="2">
        <v>45924</v>
      </c>
      <c r="B310" t="s">
        <v>15</v>
      </c>
      <c r="C310">
        <v>403.2</v>
      </c>
      <c r="D310">
        <v>404.65</v>
      </c>
      <c r="E310">
        <v>400.7</v>
      </c>
      <c r="F310">
        <v>403.2</v>
      </c>
      <c r="G310">
        <v>401</v>
      </c>
      <c r="H310">
        <v>401</v>
      </c>
      <c r="I310">
        <v>401.65</v>
      </c>
      <c r="J310">
        <v>471.5</v>
      </c>
      <c r="K310">
        <v>390.15</v>
      </c>
      <c r="L310" s="4">
        <v>12380865</v>
      </c>
      <c r="M310" s="3">
        <v>4972836129.3500004</v>
      </c>
      <c r="N310" s="4">
        <v>117613</v>
      </c>
      <c r="O310">
        <f t="shared" si="4"/>
        <v>-5.4563492063491783E-3</v>
      </c>
    </row>
    <row r="311" spans="1:15" ht="14.25" customHeight="1" x14ac:dyDescent="0.3">
      <c r="A311" s="2">
        <v>45925</v>
      </c>
      <c r="B311" t="s">
        <v>15</v>
      </c>
      <c r="C311">
        <v>401.45</v>
      </c>
      <c r="D311">
        <v>403</v>
      </c>
      <c r="E311">
        <v>398</v>
      </c>
      <c r="F311">
        <v>401</v>
      </c>
      <c r="G311">
        <v>400.45</v>
      </c>
      <c r="H311">
        <v>400.1</v>
      </c>
      <c r="I311">
        <v>400.05</v>
      </c>
      <c r="J311">
        <v>471.5</v>
      </c>
      <c r="K311">
        <v>390.15</v>
      </c>
      <c r="L311" s="4">
        <v>22006368</v>
      </c>
      <c r="M311" s="3">
        <v>8803608106.5499992</v>
      </c>
      <c r="N311" s="4">
        <v>174393</v>
      </c>
      <c r="O311">
        <f t="shared" si="4"/>
        <v>-2.2443890274313648E-3</v>
      </c>
    </row>
    <row r="312" spans="1:15" ht="14.25" customHeight="1" x14ac:dyDescent="0.3">
      <c r="A312" s="2">
        <v>45926</v>
      </c>
      <c r="B312" t="s">
        <v>15</v>
      </c>
      <c r="C312">
        <v>400.1</v>
      </c>
      <c r="D312">
        <v>405.9</v>
      </c>
      <c r="E312">
        <v>399.8</v>
      </c>
      <c r="F312">
        <v>400.1</v>
      </c>
      <c r="G312">
        <v>405</v>
      </c>
      <c r="H312">
        <v>405.1</v>
      </c>
      <c r="I312">
        <v>403.62</v>
      </c>
      <c r="J312">
        <v>471.5</v>
      </c>
      <c r="K312">
        <v>390.15</v>
      </c>
      <c r="L312" s="4">
        <v>14414044</v>
      </c>
      <c r="M312" s="3">
        <v>5817782528.8999996</v>
      </c>
      <c r="N312" s="4">
        <v>120767</v>
      </c>
      <c r="O312">
        <f t="shared" si="4"/>
        <v>1.2496875781054736E-2</v>
      </c>
    </row>
    <row r="313" spans="1:15" ht="14.25" customHeight="1" x14ac:dyDescent="0.3">
      <c r="A313" s="2">
        <v>45929</v>
      </c>
      <c r="B313" t="s">
        <v>15</v>
      </c>
      <c r="C313">
        <v>406.9</v>
      </c>
      <c r="D313">
        <v>408</v>
      </c>
      <c r="E313">
        <v>403.2</v>
      </c>
      <c r="F313">
        <v>405.1</v>
      </c>
      <c r="G313">
        <v>404.4</v>
      </c>
      <c r="H313">
        <v>407.25</v>
      </c>
      <c r="I313">
        <v>406.55</v>
      </c>
      <c r="J313">
        <v>471.5</v>
      </c>
      <c r="K313">
        <v>390.15</v>
      </c>
      <c r="L313" s="4">
        <v>19717660</v>
      </c>
      <c r="M313" s="3">
        <v>8016125728.8000002</v>
      </c>
      <c r="N313" s="4">
        <v>138356</v>
      </c>
      <c r="O313">
        <f t="shared" si="4"/>
        <v>5.3073315230806641E-3</v>
      </c>
    </row>
    <row r="314" spans="1:15" ht="14.25" customHeight="1" x14ac:dyDescent="0.3">
      <c r="A314" s="2">
        <v>45930</v>
      </c>
      <c r="B314" t="s">
        <v>15</v>
      </c>
      <c r="C314">
        <v>406.75</v>
      </c>
      <c r="D314">
        <v>406.75</v>
      </c>
      <c r="E314">
        <v>400.4</v>
      </c>
      <c r="F314">
        <v>407.25</v>
      </c>
      <c r="G314">
        <v>401.7</v>
      </c>
      <c r="H314">
        <v>401.55</v>
      </c>
      <c r="I314">
        <v>402.22</v>
      </c>
      <c r="J314">
        <v>471.5</v>
      </c>
      <c r="K314">
        <v>390.15</v>
      </c>
      <c r="L314" s="4">
        <v>9465490</v>
      </c>
      <c r="M314" s="3">
        <v>3807199569.5</v>
      </c>
      <c r="N314" s="4">
        <v>135011</v>
      </c>
      <c r="O314">
        <f t="shared" si="4"/>
        <v>-1.3996316758747671E-2</v>
      </c>
    </row>
    <row r="315" spans="1:15" ht="14.25" customHeight="1" x14ac:dyDescent="0.3">
      <c r="A315" s="2">
        <v>45931</v>
      </c>
      <c r="B315" t="s">
        <v>15</v>
      </c>
      <c r="C315">
        <v>402.35</v>
      </c>
      <c r="D315">
        <v>406</v>
      </c>
      <c r="E315">
        <v>399.75</v>
      </c>
      <c r="F315">
        <v>401.55</v>
      </c>
      <c r="G315">
        <v>404.9</v>
      </c>
      <c r="H315">
        <v>405.6</v>
      </c>
      <c r="I315">
        <v>403.72</v>
      </c>
      <c r="J315">
        <v>471.5</v>
      </c>
      <c r="K315">
        <v>390.15</v>
      </c>
      <c r="L315" s="4">
        <v>17643039</v>
      </c>
      <c r="M315" s="3">
        <v>7122831971.25</v>
      </c>
      <c r="N315" s="4">
        <v>116986</v>
      </c>
      <c r="O315">
        <f t="shared" si="4"/>
        <v>1.0085917071348552E-2</v>
      </c>
    </row>
    <row r="316" spans="1:15" ht="14.25" customHeight="1" x14ac:dyDescent="0.3">
      <c r="A316" s="2">
        <v>45933</v>
      </c>
      <c r="B316" t="s">
        <v>15</v>
      </c>
      <c r="C316">
        <v>404.9</v>
      </c>
      <c r="D316">
        <v>405.5</v>
      </c>
      <c r="E316">
        <v>402.3</v>
      </c>
      <c r="F316">
        <v>405.6</v>
      </c>
      <c r="G316">
        <v>404.6</v>
      </c>
      <c r="H316">
        <v>404.3</v>
      </c>
      <c r="I316">
        <v>404.32</v>
      </c>
      <c r="J316">
        <v>471.5</v>
      </c>
      <c r="K316">
        <v>390.15</v>
      </c>
      <c r="L316" s="4">
        <v>16987141</v>
      </c>
      <c r="M316" s="3">
        <v>6868213808.3000002</v>
      </c>
      <c r="N316" s="4">
        <v>119898</v>
      </c>
      <c r="O316">
        <f t="shared" si="4"/>
        <v>-3.2051282051282328E-3</v>
      </c>
    </row>
    <row r="317" spans="1:15" ht="14.25" customHeight="1" x14ac:dyDescent="0.3">
      <c r="A317" s="2">
        <v>45936</v>
      </c>
      <c r="B317" t="s">
        <v>15</v>
      </c>
      <c r="C317">
        <v>403</v>
      </c>
      <c r="D317">
        <v>403.9</v>
      </c>
      <c r="E317">
        <v>399.8</v>
      </c>
      <c r="F317">
        <v>404.3</v>
      </c>
      <c r="G317">
        <v>401.1</v>
      </c>
      <c r="H317">
        <v>400.75</v>
      </c>
      <c r="I317">
        <v>400.71</v>
      </c>
      <c r="J317">
        <v>471.5</v>
      </c>
      <c r="K317">
        <v>390.15</v>
      </c>
      <c r="L317" s="4">
        <v>13989077</v>
      </c>
      <c r="M317" s="3">
        <v>5605584637.3000002</v>
      </c>
      <c r="N317" s="4">
        <v>119696</v>
      </c>
      <c r="O317">
        <f t="shared" si="4"/>
        <v>-8.7806084590650781E-3</v>
      </c>
    </row>
    <row r="318" spans="1:15" ht="14.25" customHeight="1" x14ac:dyDescent="0.3">
      <c r="A318" s="2">
        <v>45937</v>
      </c>
      <c r="B318" t="s">
        <v>15</v>
      </c>
      <c r="C318">
        <v>402.5</v>
      </c>
      <c r="D318">
        <v>402.6</v>
      </c>
      <c r="E318">
        <v>399.5</v>
      </c>
      <c r="F318">
        <v>400.75</v>
      </c>
      <c r="G318">
        <v>399.9</v>
      </c>
      <c r="H318">
        <v>399.8</v>
      </c>
      <c r="I318">
        <v>400.47</v>
      </c>
      <c r="J318">
        <v>471.5</v>
      </c>
      <c r="K318">
        <v>390.15</v>
      </c>
      <c r="L318" s="4">
        <v>12298968</v>
      </c>
      <c r="M318" s="3">
        <v>4925318576.6999998</v>
      </c>
      <c r="N318" s="4">
        <v>128812</v>
      </c>
      <c r="O318">
        <f t="shared" si="4"/>
        <v>-2.370555208983128E-3</v>
      </c>
    </row>
    <row r="319" spans="1:15" ht="14.25" customHeight="1" x14ac:dyDescent="0.3">
      <c r="A319" s="2">
        <v>45938</v>
      </c>
      <c r="B319" t="s">
        <v>15</v>
      </c>
      <c r="C319">
        <v>400</v>
      </c>
      <c r="D319">
        <v>401.75</v>
      </c>
      <c r="E319">
        <v>398</v>
      </c>
      <c r="F319">
        <v>399.8</v>
      </c>
      <c r="G319">
        <v>399.5</v>
      </c>
      <c r="H319">
        <v>399.75</v>
      </c>
      <c r="I319">
        <v>399.5</v>
      </c>
      <c r="J319">
        <v>471.5</v>
      </c>
      <c r="K319">
        <v>390.15</v>
      </c>
      <c r="L319" s="4">
        <v>8402463</v>
      </c>
      <c r="M319" s="3">
        <v>3356745732.5500002</v>
      </c>
      <c r="N319" s="4">
        <v>93216</v>
      </c>
      <c r="O319">
        <f t="shared" si="4"/>
        <v>-1.2506253126566124E-4</v>
      </c>
    </row>
    <row r="320" spans="1:15" ht="14.25" customHeight="1" x14ac:dyDescent="0.3">
      <c r="A320" s="2">
        <v>45939</v>
      </c>
      <c r="B320" t="s">
        <v>15</v>
      </c>
      <c r="C320">
        <v>399</v>
      </c>
      <c r="D320">
        <v>401.4</v>
      </c>
      <c r="E320">
        <v>398.95</v>
      </c>
      <c r="F320">
        <v>399.75</v>
      </c>
      <c r="G320">
        <v>399.3</v>
      </c>
      <c r="H320">
        <v>399.9</v>
      </c>
      <c r="I320">
        <v>399.97</v>
      </c>
      <c r="J320">
        <v>471.5</v>
      </c>
      <c r="K320">
        <v>390.15</v>
      </c>
      <c r="L320" s="4">
        <v>15656267</v>
      </c>
      <c r="M320" s="3">
        <v>6262021427.1000004</v>
      </c>
      <c r="N320" s="4">
        <v>127019</v>
      </c>
      <c r="O320">
        <f t="shared" si="4"/>
        <v>3.7523452157592812E-4</v>
      </c>
    </row>
    <row r="321" spans="1:15" ht="14.25" customHeight="1" x14ac:dyDescent="0.3">
      <c r="A321" s="2">
        <v>45940</v>
      </c>
      <c r="B321" t="s">
        <v>15</v>
      </c>
      <c r="C321">
        <v>400.45</v>
      </c>
      <c r="D321">
        <v>403.85</v>
      </c>
      <c r="E321">
        <v>399.5</v>
      </c>
      <c r="F321">
        <v>399.9</v>
      </c>
      <c r="G321">
        <v>402.5</v>
      </c>
      <c r="H321">
        <v>402.8</v>
      </c>
      <c r="I321">
        <v>402.29</v>
      </c>
      <c r="J321">
        <v>471.5</v>
      </c>
      <c r="K321">
        <v>390.15</v>
      </c>
      <c r="L321" s="4">
        <v>15085738</v>
      </c>
      <c r="M321" s="3">
        <v>6068794009.1000004</v>
      </c>
      <c r="N321" s="4">
        <v>115991</v>
      </c>
      <c r="O321">
        <f t="shared" si="4"/>
        <v>7.2518129532383952E-3</v>
      </c>
    </row>
    <row r="322" spans="1:15" ht="14.25" customHeight="1" x14ac:dyDescent="0.3">
      <c r="A322" s="2">
        <v>45943</v>
      </c>
      <c r="B322" t="s">
        <v>15</v>
      </c>
      <c r="C322">
        <v>400</v>
      </c>
      <c r="D322">
        <v>400.95</v>
      </c>
      <c r="E322">
        <v>398.55</v>
      </c>
      <c r="F322">
        <v>402.8</v>
      </c>
      <c r="G322">
        <v>399.4</v>
      </c>
      <c r="H322">
        <v>399.25</v>
      </c>
      <c r="I322">
        <v>399.67</v>
      </c>
      <c r="J322">
        <v>471.5</v>
      </c>
      <c r="K322">
        <v>390.15</v>
      </c>
      <c r="L322" s="4">
        <v>9508594</v>
      </c>
      <c r="M322" s="3">
        <v>3800278856.6999998</v>
      </c>
      <c r="N322" s="4">
        <v>172792</v>
      </c>
      <c r="O322">
        <f t="shared" si="4"/>
        <v>-8.8133068520357769E-3</v>
      </c>
    </row>
    <row r="323" spans="1:15" ht="14.25" customHeight="1" x14ac:dyDescent="0.3">
      <c r="A323" s="2">
        <v>45944</v>
      </c>
      <c r="B323" t="s">
        <v>15</v>
      </c>
      <c r="C323">
        <v>400</v>
      </c>
      <c r="D323">
        <v>400.85</v>
      </c>
      <c r="E323">
        <v>396.2</v>
      </c>
      <c r="F323">
        <v>399.25</v>
      </c>
      <c r="G323">
        <v>396.7</v>
      </c>
      <c r="H323">
        <v>396.8</v>
      </c>
      <c r="I323">
        <v>397.77</v>
      </c>
      <c r="J323">
        <v>471.5</v>
      </c>
      <c r="K323">
        <v>390.15</v>
      </c>
      <c r="L323" s="4">
        <v>10291102</v>
      </c>
      <c r="M323" s="3">
        <v>4093509264</v>
      </c>
      <c r="N323" s="4">
        <v>155469</v>
      </c>
      <c r="O323">
        <f t="shared" ref="O323:O386" si="5">(H323-H322)/H322</f>
        <v>-6.1365059486536968E-3</v>
      </c>
    </row>
    <row r="324" spans="1:15" ht="14.25" customHeight="1" x14ac:dyDescent="0.3">
      <c r="A324" s="2">
        <v>45945</v>
      </c>
      <c r="B324" t="s">
        <v>15</v>
      </c>
      <c r="C324">
        <v>398</v>
      </c>
      <c r="D324">
        <v>400.85</v>
      </c>
      <c r="E324">
        <v>397.25</v>
      </c>
      <c r="F324">
        <v>396.8</v>
      </c>
      <c r="G324">
        <v>400.3</v>
      </c>
      <c r="H324">
        <v>399.9</v>
      </c>
      <c r="I324">
        <v>399.77</v>
      </c>
      <c r="J324">
        <v>471.5</v>
      </c>
      <c r="K324">
        <v>390.15</v>
      </c>
      <c r="L324" s="4">
        <v>16043867</v>
      </c>
      <c r="M324" s="3">
        <v>6413886116.5</v>
      </c>
      <c r="N324" s="4">
        <v>107335</v>
      </c>
      <c r="O324">
        <f t="shared" si="5"/>
        <v>7.8124999999999141E-3</v>
      </c>
    </row>
    <row r="325" spans="1:15" ht="14.25" customHeight="1" x14ac:dyDescent="0.3">
      <c r="A325" s="2">
        <v>45946</v>
      </c>
      <c r="B325" t="s">
        <v>15</v>
      </c>
      <c r="C325">
        <v>401</v>
      </c>
      <c r="D325">
        <v>406</v>
      </c>
      <c r="E325">
        <v>399.55</v>
      </c>
      <c r="F325">
        <v>399.9</v>
      </c>
      <c r="G325">
        <v>405.45</v>
      </c>
      <c r="H325">
        <v>405.15</v>
      </c>
      <c r="I325">
        <v>403</v>
      </c>
      <c r="J325">
        <v>471.5</v>
      </c>
      <c r="K325">
        <v>390.15</v>
      </c>
      <c r="L325" s="4">
        <v>22962049</v>
      </c>
      <c r="M325" s="3">
        <v>9253741617.7000008</v>
      </c>
      <c r="N325" s="4">
        <v>161737</v>
      </c>
      <c r="O325">
        <f t="shared" si="5"/>
        <v>1.312828207051763E-2</v>
      </c>
    </row>
    <row r="326" spans="1:15" ht="14.25" customHeight="1" x14ac:dyDescent="0.3">
      <c r="A326" s="2">
        <v>45947</v>
      </c>
      <c r="B326" t="s">
        <v>15</v>
      </c>
      <c r="C326">
        <v>405.35</v>
      </c>
      <c r="D326">
        <v>413.85</v>
      </c>
      <c r="E326">
        <v>405.25</v>
      </c>
      <c r="F326">
        <v>405.15</v>
      </c>
      <c r="G326">
        <v>411.4</v>
      </c>
      <c r="H326">
        <v>412.15</v>
      </c>
      <c r="I326">
        <v>411.42</v>
      </c>
      <c r="J326">
        <v>471.5</v>
      </c>
      <c r="K326">
        <v>390.15</v>
      </c>
      <c r="L326" s="4">
        <v>21071344</v>
      </c>
      <c r="M326" s="3">
        <v>8669197740.6499996</v>
      </c>
      <c r="N326" s="4">
        <v>155146</v>
      </c>
      <c r="O326">
        <f t="shared" si="5"/>
        <v>1.7277551524126869E-2</v>
      </c>
    </row>
    <row r="327" spans="1:15" ht="14.25" customHeight="1" x14ac:dyDescent="0.3">
      <c r="A327" s="2">
        <v>45950</v>
      </c>
      <c r="B327" t="s">
        <v>15</v>
      </c>
      <c r="C327">
        <v>412.55</v>
      </c>
      <c r="D327">
        <v>414.85</v>
      </c>
      <c r="E327">
        <v>411.3</v>
      </c>
      <c r="F327">
        <v>412.15</v>
      </c>
      <c r="G327">
        <v>412.6</v>
      </c>
      <c r="H327">
        <v>413.05</v>
      </c>
      <c r="I327">
        <v>412.96</v>
      </c>
      <c r="J327">
        <v>471.5</v>
      </c>
      <c r="K327">
        <v>390.15</v>
      </c>
      <c r="L327" s="4">
        <v>13083621</v>
      </c>
      <c r="M327" s="3">
        <v>5403072501.6000004</v>
      </c>
      <c r="N327" s="4">
        <v>126249</v>
      </c>
      <c r="O327">
        <f t="shared" si="5"/>
        <v>2.1836709935703848E-3</v>
      </c>
    </row>
    <row r="328" spans="1:15" ht="14.25" customHeight="1" x14ac:dyDescent="0.3">
      <c r="A328" s="2">
        <v>45951</v>
      </c>
      <c r="B328" t="s">
        <v>15</v>
      </c>
      <c r="C328">
        <v>413.5</v>
      </c>
      <c r="D328">
        <v>413.95</v>
      </c>
      <c r="E328">
        <v>412.35</v>
      </c>
      <c r="F328">
        <v>413.05</v>
      </c>
      <c r="G328">
        <v>412.5</v>
      </c>
      <c r="H328">
        <v>412.85</v>
      </c>
      <c r="I328">
        <v>412.93</v>
      </c>
      <c r="J328">
        <v>471.5</v>
      </c>
      <c r="K328">
        <v>390.15</v>
      </c>
      <c r="L328" s="4">
        <v>1142130</v>
      </c>
      <c r="M328" s="3">
        <v>471623300.60000002</v>
      </c>
      <c r="N328" s="4">
        <v>38260</v>
      </c>
      <c r="O328">
        <f t="shared" si="5"/>
        <v>-4.8420288100711447E-4</v>
      </c>
    </row>
    <row r="329" spans="1:15" ht="14.25" customHeight="1" x14ac:dyDescent="0.3">
      <c r="A329" s="2">
        <v>45953</v>
      </c>
      <c r="B329" t="s">
        <v>15</v>
      </c>
      <c r="C329">
        <v>416</v>
      </c>
      <c r="D329">
        <v>420.45</v>
      </c>
      <c r="E329">
        <v>413.55</v>
      </c>
      <c r="F329">
        <v>412.85</v>
      </c>
      <c r="G329">
        <v>416.25</v>
      </c>
      <c r="H329">
        <v>415.95</v>
      </c>
      <c r="I329">
        <v>417.33</v>
      </c>
      <c r="J329">
        <v>471.5</v>
      </c>
      <c r="K329">
        <v>390.15</v>
      </c>
      <c r="L329" s="4">
        <v>24305990</v>
      </c>
      <c r="M329" s="3">
        <v>10143543220.15</v>
      </c>
      <c r="N329" s="4">
        <v>189470</v>
      </c>
      <c r="O329">
        <f t="shared" si="5"/>
        <v>7.5087804287270578E-3</v>
      </c>
    </row>
    <row r="330" spans="1:15" ht="14.25" customHeight="1" x14ac:dyDescent="0.3">
      <c r="A330" s="2">
        <v>45954</v>
      </c>
      <c r="B330" t="s">
        <v>15</v>
      </c>
      <c r="C330">
        <v>415.95</v>
      </c>
      <c r="D330">
        <v>417.95</v>
      </c>
      <c r="E330">
        <v>413.45</v>
      </c>
      <c r="F330">
        <v>415.95</v>
      </c>
      <c r="G330">
        <v>417.8</v>
      </c>
      <c r="H330">
        <v>416.8</v>
      </c>
      <c r="I330">
        <v>415.51</v>
      </c>
      <c r="J330">
        <v>471.5</v>
      </c>
      <c r="K330">
        <v>390.15</v>
      </c>
      <c r="L330" s="4">
        <v>14935678</v>
      </c>
      <c r="M330" s="3">
        <v>6205957776.1000004</v>
      </c>
      <c r="N330" s="4">
        <v>114037</v>
      </c>
      <c r="O330">
        <f t="shared" si="5"/>
        <v>2.0435148455343736E-3</v>
      </c>
    </row>
    <row r="331" spans="1:15" ht="14.25" customHeight="1" x14ac:dyDescent="0.3">
      <c r="A331" s="2">
        <v>45957</v>
      </c>
      <c r="B331" t="s">
        <v>15</v>
      </c>
      <c r="C331">
        <v>417</v>
      </c>
      <c r="D331">
        <v>422.7</v>
      </c>
      <c r="E331">
        <v>416.6</v>
      </c>
      <c r="F331">
        <v>416.8</v>
      </c>
      <c r="G331">
        <v>421</v>
      </c>
      <c r="H331">
        <v>420.65</v>
      </c>
      <c r="I331">
        <v>420.58</v>
      </c>
      <c r="J331">
        <v>471.5</v>
      </c>
      <c r="K331">
        <v>390.15</v>
      </c>
      <c r="L331" s="4">
        <v>11603679</v>
      </c>
      <c r="M331" s="3">
        <v>4880229507.8500004</v>
      </c>
      <c r="N331" s="4">
        <v>115318</v>
      </c>
      <c r="O331">
        <f t="shared" si="5"/>
        <v>9.2370441458732386E-3</v>
      </c>
    </row>
    <row r="332" spans="1:15" ht="14.25" customHeight="1" x14ac:dyDescent="0.3">
      <c r="A332" s="2">
        <v>45958</v>
      </c>
      <c r="B332" t="s">
        <v>15</v>
      </c>
      <c r="C332">
        <v>420.5</v>
      </c>
      <c r="D332">
        <v>421.65</v>
      </c>
      <c r="E332">
        <v>415.9</v>
      </c>
      <c r="F332">
        <v>420.65</v>
      </c>
      <c r="G332">
        <v>417.85</v>
      </c>
      <c r="H332">
        <v>417.9</v>
      </c>
      <c r="I332">
        <v>417.96</v>
      </c>
      <c r="J332">
        <v>471.5</v>
      </c>
      <c r="K332">
        <v>390.15</v>
      </c>
      <c r="L332" s="4">
        <v>17163147</v>
      </c>
      <c r="M332" s="3">
        <v>7173491707.0500002</v>
      </c>
      <c r="N332" s="4">
        <v>147046</v>
      </c>
      <c r="O332">
        <f t="shared" si="5"/>
        <v>-6.5375014857957927E-3</v>
      </c>
    </row>
    <row r="333" spans="1:15" ht="14.25" customHeight="1" x14ac:dyDescent="0.3">
      <c r="A333" s="2">
        <v>45959</v>
      </c>
      <c r="B333" t="s">
        <v>15</v>
      </c>
      <c r="C333">
        <v>418.2</v>
      </c>
      <c r="D333">
        <v>422.2</v>
      </c>
      <c r="E333">
        <v>416.05</v>
      </c>
      <c r="F333">
        <v>417.9</v>
      </c>
      <c r="G333">
        <v>421.85</v>
      </c>
      <c r="H333">
        <v>421.6</v>
      </c>
      <c r="I333">
        <v>419.47</v>
      </c>
      <c r="J333">
        <v>471.5</v>
      </c>
      <c r="K333">
        <v>390.15</v>
      </c>
      <c r="L333" s="4">
        <v>11470661</v>
      </c>
      <c r="M333" s="3">
        <v>4811576571.1499996</v>
      </c>
      <c r="N333" s="4">
        <v>126826</v>
      </c>
      <c r="O333">
        <f t="shared" si="5"/>
        <v>8.8537927733908731E-3</v>
      </c>
    </row>
    <row r="334" spans="1:15" ht="14.25" customHeight="1" x14ac:dyDescent="0.3">
      <c r="A334" s="2">
        <v>45960</v>
      </c>
      <c r="B334" t="s">
        <v>15</v>
      </c>
      <c r="C334">
        <v>421.6</v>
      </c>
      <c r="D334">
        <v>421.7</v>
      </c>
      <c r="E334">
        <v>416.15</v>
      </c>
      <c r="F334">
        <v>421.6</v>
      </c>
      <c r="G334">
        <v>419.35</v>
      </c>
      <c r="H334">
        <v>418.75</v>
      </c>
      <c r="I334">
        <v>419.29</v>
      </c>
      <c r="J334">
        <v>471.5</v>
      </c>
      <c r="K334">
        <v>390.15</v>
      </c>
      <c r="L334" s="4">
        <v>12938674</v>
      </c>
      <c r="M334" s="3">
        <v>5425028130.1999998</v>
      </c>
      <c r="N334" s="4">
        <v>128633</v>
      </c>
      <c r="O334">
        <f t="shared" si="5"/>
        <v>-6.7599620493359169E-3</v>
      </c>
    </row>
    <row r="335" spans="1:15" ht="14.25" customHeight="1" x14ac:dyDescent="0.3">
      <c r="A335" s="2">
        <v>45961</v>
      </c>
      <c r="B335" t="s">
        <v>15</v>
      </c>
      <c r="C335">
        <v>420.5</v>
      </c>
      <c r="D335">
        <v>426.4</v>
      </c>
      <c r="E335">
        <v>418.2</v>
      </c>
      <c r="F335">
        <v>418.75</v>
      </c>
      <c r="G335">
        <v>419.95</v>
      </c>
      <c r="H335">
        <v>420.35</v>
      </c>
      <c r="I335">
        <v>422.45</v>
      </c>
      <c r="J335">
        <v>471.5</v>
      </c>
      <c r="K335">
        <v>390.15</v>
      </c>
      <c r="L335" s="4">
        <v>18599864</v>
      </c>
      <c r="M335" s="3">
        <v>7857495955.9499998</v>
      </c>
      <c r="N335" s="4">
        <v>203655</v>
      </c>
      <c r="O335">
        <f t="shared" si="5"/>
        <v>3.820895522388114E-3</v>
      </c>
    </row>
    <row r="336" spans="1:15" ht="14.25" customHeight="1" x14ac:dyDescent="0.3">
      <c r="A336" s="2">
        <v>45964</v>
      </c>
      <c r="B336" t="s">
        <v>15</v>
      </c>
      <c r="C336">
        <v>419.95</v>
      </c>
      <c r="D336">
        <v>421.65</v>
      </c>
      <c r="E336">
        <v>413.3</v>
      </c>
      <c r="F336">
        <v>420.35</v>
      </c>
      <c r="G336">
        <v>414</v>
      </c>
      <c r="H336">
        <v>413.95</v>
      </c>
      <c r="I336">
        <v>415.71</v>
      </c>
      <c r="J336">
        <v>471.5</v>
      </c>
      <c r="K336">
        <v>390.15</v>
      </c>
      <c r="L336" s="4">
        <v>7635440</v>
      </c>
      <c r="M336" s="3">
        <v>3174092208.1999998</v>
      </c>
      <c r="N336" s="4">
        <v>168846</v>
      </c>
      <c r="O336">
        <f t="shared" si="5"/>
        <v>-1.5225407398596487E-2</v>
      </c>
    </row>
    <row r="337" spans="1:15" ht="14.25" customHeight="1" x14ac:dyDescent="0.3">
      <c r="A337" s="2">
        <v>45965</v>
      </c>
      <c r="B337" t="s">
        <v>15</v>
      </c>
      <c r="C337">
        <v>414</v>
      </c>
      <c r="D337">
        <v>414.5</v>
      </c>
      <c r="E337">
        <v>408.35</v>
      </c>
      <c r="F337">
        <v>413.95</v>
      </c>
      <c r="G337">
        <v>408.8</v>
      </c>
      <c r="H337">
        <v>408.9</v>
      </c>
      <c r="I337">
        <v>410.16</v>
      </c>
      <c r="J337">
        <v>471.5</v>
      </c>
      <c r="K337">
        <v>390.15</v>
      </c>
      <c r="L337" s="4">
        <v>10085404</v>
      </c>
      <c r="M337" s="3">
        <v>4136635461.4000001</v>
      </c>
      <c r="N337" s="4">
        <v>140114</v>
      </c>
      <c r="O337">
        <f t="shared" si="5"/>
        <v>-1.2199541007368067E-2</v>
      </c>
    </row>
    <row r="338" spans="1:15" ht="14.25" customHeight="1" x14ac:dyDescent="0.3">
      <c r="A338" s="2">
        <v>45967</v>
      </c>
      <c r="B338" t="s">
        <v>15</v>
      </c>
      <c r="C338">
        <v>410</v>
      </c>
      <c r="D338">
        <v>413.3</v>
      </c>
      <c r="E338">
        <v>406.55</v>
      </c>
      <c r="F338">
        <v>408.9</v>
      </c>
      <c r="G338">
        <v>408.5</v>
      </c>
      <c r="H338">
        <v>407.5</v>
      </c>
      <c r="I338">
        <v>408.26</v>
      </c>
      <c r="J338">
        <v>471.5</v>
      </c>
      <c r="K338">
        <v>390.15</v>
      </c>
      <c r="L338" s="4">
        <v>10095563</v>
      </c>
      <c r="M338" s="3">
        <v>4121588309.6500001</v>
      </c>
      <c r="N338" s="4">
        <v>146248</v>
      </c>
      <c r="O338">
        <f t="shared" si="5"/>
        <v>-3.4238200048911159E-3</v>
      </c>
    </row>
    <row r="339" spans="1:15" ht="14.25" customHeight="1" x14ac:dyDescent="0.3">
      <c r="A339" s="2">
        <v>45968</v>
      </c>
      <c r="B339" t="s">
        <v>15</v>
      </c>
      <c r="C339">
        <v>406.05</v>
      </c>
      <c r="D339">
        <v>409.1</v>
      </c>
      <c r="E339">
        <v>403.1</v>
      </c>
      <c r="F339">
        <v>407.5</v>
      </c>
      <c r="G339">
        <v>404.4</v>
      </c>
      <c r="H339">
        <v>404.05</v>
      </c>
      <c r="I339">
        <v>405.13</v>
      </c>
      <c r="J339">
        <v>471.5</v>
      </c>
      <c r="K339">
        <v>390.15</v>
      </c>
      <c r="L339" s="4">
        <v>8411611</v>
      </c>
      <c r="M339" s="3">
        <v>3407815043.1999998</v>
      </c>
      <c r="N339" s="4">
        <v>92747</v>
      </c>
      <c r="O339">
        <f t="shared" si="5"/>
        <v>-8.4662576687116291E-3</v>
      </c>
    </row>
    <row r="340" spans="1:15" ht="14.25" customHeight="1" x14ac:dyDescent="0.3">
      <c r="A340" s="2">
        <v>45971</v>
      </c>
      <c r="B340" t="s">
        <v>15</v>
      </c>
      <c r="C340">
        <v>404.05</v>
      </c>
      <c r="D340">
        <v>407.1</v>
      </c>
      <c r="E340">
        <v>403.65</v>
      </c>
      <c r="F340">
        <v>404.05</v>
      </c>
      <c r="G340">
        <v>406</v>
      </c>
      <c r="H340">
        <v>405.55</v>
      </c>
      <c r="I340">
        <v>405.75</v>
      </c>
      <c r="J340">
        <v>471.5</v>
      </c>
      <c r="K340">
        <v>390.15</v>
      </c>
      <c r="L340" s="4">
        <v>6650003</v>
      </c>
      <c r="M340" s="3">
        <v>2698266556.5500002</v>
      </c>
      <c r="N340" s="4">
        <v>128591</v>
      </c>
      <c r="O340">
        <f t="shared" si="5"/>
        <v>3.7124118302190321E-3</v>
      </c>
    </row>
    <row r="341" spans="1:15" ht="14.25" customHeight="1" x14ac:dyDescent="0.3">
      <c r="A341" s="2">
        <v>45972</v>
      </c>
      <c r="B341" t="s">
        <v>15</v>
      </c>
      <c r="C341">
        <v>406</v>
      </c>
      <c r="D341">
        <v>408.05</v>
      </c>
      <c r="E341">
        <v>404.6</v>
      </c>
      <c r="F341">
        <v>405.55</v>
      </c>
      <c r="G341">
        <v>407.2</v>
      </c>
      <c r="H341">
        <v>406.85</v>
      </c>
      <c r="I341">
        <v>406.29</v>
      </c>
      <c r="J341">
        <v>471.5</v>
      </c>
      <c r="K341">
        <v>390.15</v>
      </c>
      <c r="L341" s="4">
        <v>12005318</v>
      </c>
      <c r="M341" s="3">
        <v>4877632724.5500002</v>
      </c>
      <c r="N341" s="4">
        <v>97321</v>
      </c>
      <c r="O341">
        <f t="shared" si="5"/>
        <v>3.2055233633337724E-3</v>
      </c>
    </row>
    <row r="342" spans="1:15" ht="14.25" customHeight="1" x14ac:dyDescent="0.3">
      <c r="A342" s="2">
        <v>45973</v>
      </c>
      <c r="B342" t="s">
        <v>15</v>
      </c>
      <c r="C342">
        <v>408</v>
      </c>
      <c r="D342">
        <v>408.1</v>
      </c>
      <c r="E342">
        <v>405.55</v>
      </c>
      <c r="F342">
        <v>406.85</v>
      </c>
      <c r="G342">
        <v>407.4</v>
      </c>
      <c r="H342">
        <v>407</v>
      </c>
      <c r="I342">
        <v>406.82</v>
      </c>
      <c r="J342">
        <v>471.5</v>
      </c>
      <c r="K342">
        <v>390.15</v>
      </c>
      <c r="L342" s="4">
        <v>7987236</v>
      </c>
      <c r="M342" s="3">
        <v>3249380333.5500002</v>
      </c>
      <c r="N342" s="4">
        <v>107940</v>
      </c>
      <c r="O342">
        <f t="shared" si="5"/>
        <v>3.6868624800289357E-4</v>
      </c>
    </row>
    <row r="343" spans="1:15" ht="14.25" customHeight="1" x14ac:dyDescent="0.3">
      <c r="A343" s="2">
        <v>45974</v>
      </c>
      <c r="B343" t="s">
        <v>15</v>
      </c>
      <c r="C343">
        <v>407</v>
      </c>
      <c r="D343">
        <v>407.5</v>
      </c>
      <c r="E343">
        <v>404.5</v>
      </c>
      <c r="F343">
        <v>407</v>
      </c>
      <c r="G343">
        <v>406.5</v>
      </c>
      <c r="H343">
        <v>405.7</v>
      </c>
      <c r="I343">
        <v>406.31</v>
      </c>
      <c r="J343">
        <v>471.5</v>
      </c>
      <c r="K343">
        <v>390.15</v>
      </c>
      <c r="L343" s="4">
        <v>6617185</v>
      </c>
      <c r="M343" s="3">
        <v>2688612018.5</v>
      </c>
      <c r="N343" s="4">
        <v>90395</v>
      </c>
      <c r="O343">
        <f t="shared" si="5"/>
        <v>-3.194103194103222E-3</v>
      </c>
    </row>
    <row r="344" spans="1:15" ht="14.25" customHeight="1" x14ac:dyDescent="0.3">
      <c r="A344" s="2">
        <v>45975</v>
      </c>
      <c r="B344" t="s">
        <v>15</v>
      </c>
      <c r="C344">
        <v>404.7</v>
      </c>
      <c r="D344">
        <v>408.75</v>
      </c>
      <c r="E344">
        <v>400.1</v>
      </c>
      <c r="F344">
        <v>405.7</v>
      </c>
      <c r="G344">
        <v>408.25</v>
      </c>
      <c r="H344">
        <v>408.15</v>
      </c>
      <c r="I344">
        <v>401.39</v>
      </c>
      <c r="J344">
        <v>471.5</v>
      </c>
      <c r="K344">
        <v>390.15</v>
      </c>
      <c r="L344" s="4">
        <v>64020258</v>
      </c>
      <c r="M344" s="3">
        <v>25697182566.799999</v>
      </c>
      <c r="N344" s="4">
        <v>151924</v>
      </c>
      <c r="O344">
        <f t="shared" si="5"/>
        <v>6.0389450332757914E-3</v>
      </c>
    </row>
    <row r="345" spans="1:15" ht="14.25" customHeight="1" x14ac:dyDescent="0.3">
      <c r="A345" s="2">
        <v>45978</v>
      </c>
      <c r="B345" t="s">
        <v>15</v>
      </c>
      <c r="C345">
        <v>409.75</v>
      </c>
      <c r="D345">
        <v>412</v>
      </c>
      <c r="E345">
        <v>406</v>
      </c>
      <c r="F345">
        <v>408.15</v>
      </c>
      <c r="G345">
        <v>407.5</v>
      </c>
      <c r="H345">
        <v>407.1</v>
      </c>
      <c r="I345">
        <v>407.38</v>
      </c>
      <c r="J345">
        <v>471.5</v>
      </c>
      <c r="K345">
        <v>390.15</v>
      </c>
      <c r="L345" s="4">
        <v>7855399</v>
      </c>
      <c r="M345" s="3">
        <v>3200140693.4000001</v>
      </c>
      <c r="N345" s="4">
        <v>114679</v>
      </c>
      <c r="O345">
        <f t="shared" si="5"/>
        <v>-2.5725836089671803E-3</v>
      </c>
    </row>
    <row r="346" spans="1:15" ht="14.25" customHeight="1" x14ac:dyDescent="0.3">
      <c r="A346" s="2">
        <v>45979</v>
      </c>
      <c r="B346" t="s">
        <v>15</v>
      </c>
      <c r="C346">
        <v>408.25</v>
      </c>
      <c r="D346">
        <v>409.8</v>
      </c>
      <c r="E346">
        <v>404.55</v>
      </c>
      <c r="F346">
        <v>407.1</v>
      </c>
      <c r="G346">
        <v>405.7</v>
      </c>
      <c r="H346">
        <v>405.85</v>
      </c>
      <c r="I346">
        <v>405.64</v>
      </c>
      <c r="J346">
        <v>471.5</v>
      </c>
      <c r="K346">
        <v>390.15</v>
      </c>
      <c r="L346" s="4">
        <v>7661681</v>
      </c>
      <c r="M346" s="3">
        <v>3107854790.6500001</v>
      </c>
      <c r="N346" s="4">
        <v>92029</v>
      </c>
      <c r="O346">
        <f t="shared" si="5"/>
        <v>-3.0704986489805942E-3</v>
      </c>
    </row>
    <row r="347" spans="1:15" ht="14.25" customHeight="1" x14ac:dyDescent="0.3">
      <c r="A347" s="2">
        <v>45980</v>
      </c>
      <c r="B347" t="s">
        <v>15</v>
      </c>
      <c r="C347">
        <v>404.85</v>
      </c>
      <c r="D347">
        <v>405.55</v>
      </c>
      <c r="E347">
        <v>402.8</v>
      </c>
      <c r="F347">
        <v>405.85</v>
      </c>
      <c r="G347">
        <v>403.7</v>
      </c>
      <c r="H347">
        <v>403.55</v>
      </c>
      <c r="I347">
        <v>403.68</v>
      </c>
      <c r="J347">
        <v>471.5</v>
      </c>
      <c r="K347">
        <v>390.15</v>
      </c>
      <c r="L347" s="4">
        <v>7882450</v>
      </c>
      <c r="M347" s="3">
        <v>3181992048.0999999</v>
      </c>
      <c r="N347" s="4">
        <v>134281</v>
      </c>
      <c r="O347">
        <f t="shared" si="5"/>
        <v>-5.6671183934951614E-3</v>
      </c>
    </row>
    <row r="348" spans="1:15" ht="14.25" customHeight="1" x14ac:dyDescent="0.3">
      <c r="A348" s="2">
        <v>45981</v>
      </c>
      <c r="B348" t="s">
        <v>15</v>
      </c>
      <c r="C348">
        <v>403.55</v>
      </c>
      <c r="D348">
        <v>407</v>
      </c>
      <c r="E348">
        <v>403.25</v>
      </c>
      <c r="F348">
        <v>403.55</v>
      </c>
      <c r="G348">
        <v>405.6</v>
      </c>
      <c r="H348">
        <v>405.45</v>
      </c>
      <c r="I348">
        <v>405.55</v>
      </c>
      <c r="J348">
        <v>471.5</v>
      </c>
      <c r="K348">
        <v>390.15</v>
      </c>
      <c r="L348" s="4">
        <v>6693410</v>
      </c>
      <c r="M348" s="3">
        <v>2714519990.3499999</v>
      </c>
      <c r="N348" s="4">
        <v>108333</v>
      </c>
      <c r="O348">
        <f t="shared" si="5"/>
        <v>4.7082145954651898E-3</v>
      </c>
    </row>
    <row r="349" spans="1:15" ht="14.25" customHeight="1" x14ac:dyDescent="0.3">
      <c r="A349" s="2">
        <v>45982</v>
      </c>
      <c r="B349" t="s">
        <v>15</v>
      </c>
      <c r="C349">
        <v>405</v>
      </c>
      <c r="D349">
        <v>408.5</v>
      </c>
      <c r="E349">
        <v>404.7</v>
      </c>
      <c r="F349">
        <v>405.45</v>
      </c>
      <c r="G349">
        <v>408</v>
      </c>
      <c r="H349">
        <v>407.85</v>
      </c>
      <c r="I349">
        <v>407.28</v>
      </c>
      <c r="J349">
        <v>471.5</v>
      </c>
      <c r="K349">
        <v>390.15</v>
      </c>
      <c r="L349" s="4">
        <v>5808131</v>
      </c>
      <c r="M349" s="3">
        <v>2365541111.25</v>
      </c>
      <c r="N349" s="4">
        <v>92059</v>
      </c>
      <c r="O349">
        <f t="shared" si="5"/>
        <v>5.9193488716242056E-3</v>
      </c>
    </row>
    <row r="350" spans="1:15" ht="14.25" customHeight="1" x14ac:dyDescent="0.3">
      <c r="A350" s="2">
        <v>45985</v>
      </c>
      <c r="B350" t="s">
        <v>15</v>
      </c>
      <c r="C350">
        <v>408.4</v>
      </c>
      <c r="D350">
        <v>408.8</v>
      </c>
      <c r="E350">
        <v>402.85</v>
      </c>
      <c r="F350">
        <v>407.85</v>
      </c>
      <c r="G350">
        <v>404.2</v>
      </c>
      <c r="H350">
        <v>403.55</v>
      </c>
      <c r="I350">
        <v>404.39</v>
      </c>
      <c r="J350">
        <v>471.5</v>
      </c>
      <c r="K350">
        <v>390.15</v>
      </c>
      <c r="L350" s="4">
        <v>11037491</v>
      </c>
      <c r="M350" s="3">
        <v>4463445092.75</v>
      </c>
      <c r="N350" s="4">
        <v>128280</v>
      </c>
      <c r="O350">
        <f t="shared" si="5"/>
        <v>-1.054309182297416E-2</v>
      </c>
    </row>
    <row r="351" spans="1:15" ht="14.25" customHeight="1" x14ac:dyDescent="0.3">
      <c r="A351" s="2">
        <v>45986</v>
      </c>
      <c r="B351" t="s">
        <v>15</v>
      </c>
      <c r="C351">
        <v>403.55</v>
      </c>
      <c r="D351">
        <v>404.5</v>
      </c>
      <c r="E351">
        <v>400.1</v>
      </c>
      <c r="F351">
        <v>403.55</v>
      </c>
      <c r="G351">
        <v>400.4</v>
      </c>
      <c r="H351">
        <v>400.8</v>
      </c>
      <c r="I351">
        <v>402.29</v>
      </c>
      <c r="J351">
        <v>471.5</v>
      </c>
      <c r="K351">
        <v>390.15</v>
      </c>
      <c r="L351" s="4">
        <v>8199785</v>
      </c>
      <c r="M351" s="3">
        <v>3298722901.6500001</v>
      </c>
      <c r="N351" s="4">
        <v>114076</v>
      </c>
      <c r="O351">
        <f t="shared" si="5"/>
        <v>-6.8145211250154871E-3</v>
      </c>
    </row>
    <row r="352" spans="1:15" ht="14.25" customHeight="1" x14ac:dyDescent="0.3">
      <c r="A352" s="2">
        <v>45987</v>
      </c>
      <c r="B352" t="s">
        <v>15</v>
      </c>
      <c r="C352">
        <v>401</v>
      </c>
      <c r="D352">
        <v>403.95</v>
      </c>
      <c r="E352">
        <v>400.95</v>
      </c>
      <c r="F352">
        <v>400.8</v>
      </c>
      <c r="G352">
        <v>402.55</v>
      </c>
      <c r="H352">
        <v>402.3</v>
      </c>
      <c r="I352">
        <v>402.6</v>
      </c>
      <c r="J352">
        <v>471.5</v>
      </c>
      <c r="K352">
        <v>390.15</v>
      </c>
      <c r="L352" s="4">
        <v>11443953</v>
      </c>
      <c r="M352" s="3">
        <v>4607286432.3999996</v>
      </c>
      <c r="N352" s="4">
        <v>107847</v>
      </c>
      <c r="O352">
        <f t="shared" si="5"/>
        <v>3.7425149700598802E-3</v>
      </c>
    </row>
    <row r="353" spans="1:15" ht="14.25" customHeight="1" x14ac:dyDescent="0.3">
      <c r="A353" s="2">
        <v>45988</v>
      </c>
      <c r="B353" t="s">
        <v>15</v>
      </c>
      <c r="C353">
        <v>403.5</v>
      </c>
      <c r="D353">
        <v>405.95</v>
      </c>
      <c r="E353">
        <v>402.1</v>
      </c>
      <c r="F353">
        <v>402.3</v>
      </c>
      <c r="G353">
        <v>405</v>
      </c>
      <c r="H353">
        <v>404.3</v>
      </c>
      <c r="I353">
        <v>403.22</v>
      </c>
      <c r="J353">
        <v>471.5</v>
      </c>
      <c r="K353">
        <v>390.15</v>
      </c>
      <c r="L353" s="4">
        <v>8679529</v>
      </c>
      <c r="M353" s="3">
        <v>3499792465.4000001</v>
      </c>
      <c r="N353" s="4">
        <v>105551</v>
      </c>
      <c r="O353">
        <f t="shared" si="5"/>
        <v>4.9714143673875218E-3</v>
      </c>
    </row>
    <row r="354" spans="1:15" ht="14.25" customHeight="1" x14ac:dyDescent="0.3">
      <c r="A354" s="2">
        <v>45989</v>
      </c>
      <c r="B354" t="s">
        <v>15</v>
      </c>
      <c r="C354">
        <v>404.3</v>
      </c>
      <c r="D354">
        <v>405</v>
      </c>
      <c r="E354">
        <v>402.5</v>
      </c>
      <c r="F354">
        <v>404.3</v>
      </c>
      <c r="G354">
        <v>404.3</v>
      </c>
      <c r="H354">
        <v>404.25</v>
      </c>
      <c r="I354">
        <v>403.67</v>
      </c>
      <c r="J354">
        <v>471.5</v>
      </c>
      <c r="K354">
        <v>390.15</v>
      </c>
      <c r="L354" s="4">
        <v>6883500</v>
      </c>
      <c r="M354" s="3">
        <v>2778654678.4000001</v>
      </c>
      <c r="N354" s="4">
        <v>104754</v>
      </c>
      <c r="O354">
        <f t="shared" si="5"/>
        <v>-1.2367054167700066E-4</v>
      </c>
    </row>
    <row r="355" spans="1:15" ht="14.25" customHeight="1" x14ac:dyDescent="0.3">
      <c r="A355" s="2">
        <v>45992</v>
      </c>
      <c r="B355" t="s">
        <v>15</v>
      </c>
      <c r="C355">
        <v>402.8</v>
      </c>
      <c r="D355">
        <v>405.5</v>
      </c>
      <c r="E355">
        <v>398.2</v>
      </c>
      <c r="F355">
        <v>404.25</v>
      </c>
      <c r="G355">
        <v>404.05</v>
      </c>
      <c r="H355">
        <v>404.25</v>
      </c>
      <c r="I355">
        <v>402.48</v>
      </c>
      <c r="J355">
        <v>471.5</v>
      </c>
      <c r="K355">
        <v>390.15</v>
      </c>
      <c r="L355" s="4">
        <v>13442658</v>
      </c>
      <c r="M355" s="3">
        <v>5410424427.8999996</v>
      </c>
      <c r="N355" s="4">
        <v>204438</v>
      </c>
      <c r="O355">
        <f t="shared" si="5"/>
        <v>0</v>
      </c>
    </row>
    <row r="356" spans="1:15" ht="14.25" customHeight="1" x14ac:dyDescent="0.3">
      <c r="A356" s="2">
        <v>45993</v>
      </c>
      <c r="B356" t="s">
        <v>15</v>
      </c>
      <c r="C356">
        <v>404.25</v>
      </c>
      <c r="D356">
        <v>405.5</v>
      </c>
      <c r="E356">
        <v>400.5</v>
      </c>
      <c r="F356">
        <v>404.25</v>
      </c>
      <c r="G356">
        <v>401.7</v>
      </c>
      <c r="H356">
        <v>400.95</v>
      </c>
      <c r="I356">
        <v>401.68</v>
      </c>
      <c r="J356">
        <v>471.5</v>
      </c>
      <c r="K356">
        <v>390.15</v>
      </c>
      <c r="L356" s="4">
        <v>8093808</v>
      </c>
      <c r="M356" s="3">
        <v>3251135210.4499998</v>
      </c>
      <c r="N356" s="4">
        <v>112342</v>
      </c>
      <c r="O356">
        <f t="shared" si="5"/>
        <v>-8.1632653061224775E-3</v>
      </c>
    </row>
    <row r="357" spans="1:15" ht="14.25" customHeight="1" x14ac:dyDescent="0.3">
      <c r="A357" s="2">
        <v>45994</v>
      </c>
      <c r="B357" t="s">
        <v>15</v>
      </c>
      <c r="C357">
        <v>401.7</v>
      </c>
      <c r="D357">
        <v>402.2</v>
      </c>
      <c r="E357">
        <v>398.85</v>
      </c>
      <c r="F357">
        <v>400.95</v>
      </c>
      <c r="G357">
        <v>400.7</v>
      </c>
      <c r="H357">
        <v>400.5</v>
      </c>
      <c r="I357">
        <v>400.33</v>
      </c>
      <c r="J357">
        <v>471.5</v>
      </c>
      <c r="K357">
        <v>390.15</v>
      </c>
      <c r="L357" s="4">
        <v>10772192</v>
      </c>
      <c r="M357" s="3">
        <v>4312388380.25</v>
      </c>
      <c r="N357" s="4">
        <v>145572</v>
      </c>
      <c r="O357">
        <f t="shared" si="5"/>
        <v>-1.1223344556677607E-3</v>
      </c>
    </row>
    <row r="358" spans="1:15" ht="14.25" customHeight="1" x14ac:dyDescent="0.3">
      <c r="A358" s="2">
        <v>45995</v>
      </c>
      <c r="B358" t="s">
        <v>15</v>
      </c>
      <c r="C358">
        <v>400.1</v>
      </c>
      <c r="D358">
        <v>403.55</v>
      </c>
      <c r="E358">
        <v>399.05</v>
      </c>
      <c r="F358">
        <v>400.5</v>
      </c>
      <c r="G358">
        <v>403.25</v>
      </c>
      <c r="H358">
        <v>403.05</v>
      </c>
      <c r="I358">
        <v>402.09</v>
      </c>
      <c r="J358">
        <v>471.5</v>
      </c>
      <c r="K358">
        <v>390.15</v>
      </c>
      <c r="L358" s="4">
        <v>8057989</v>
      </c>
      <c r="M358" s="3">
        <v>3240008562.1500001</v>
      </c>
      <c r="N358" s="4">
        <v>100529</v>
      </c>
      <c r="O358">
        <f t="shared" si="5"/>
        <v>6.367041198501901E-3</v>
      </c>
    </row>
    <row r="359" spans="1:15" ht="14.25" customHeight="1" x14ac:dyDescent="0.3">
      <c r="A359" s="2">
        <v>45996</v>
      </c>
      <c r="B359" t="s">
        <v>15</v>
      </c>
      <c r="C359">
        <v>403.05</v>
      </c>
      <c r="D359">
        <v>405.35</v>
      </c>
      <c r="E359">
        <v>402</v>
      </c>
      <c r="F359">
        <v>403.05</v>
      </c>
      <c r="G359">
        <v>404.6</v>
      </c>
      <c r="H359">
        <v>404.95</v>
      </c>
      <c r="I359">
        <v>404.12</v>
      </c>
      <c r="J359">
        <v>471.5</v>
      </c>
      <c r="K359">
        <v>390.15</v>
      </c>
      <c r="L359" s="4">
        <v>4419747</v>
      </c>
      <c r="M359" s="3">
        <v>1786097800.3499999</v>
      </c>
      <c r="N359" s="4">
        <v>73360</v>
      </c>
      <c r="O359">
        <f t="shared" si="5"/>
        <v>4.7140553281230053E-3</v>
      </c>
    </row>
    <row r="360" spans="1:15" ht="14.25" customHeight="1" x14ac:dyDescent="0.3">
      <c r="A360" s="2">
        <v>45999</v>
      </c>
      <c r="B360" t="s">
        <v>15</v>
      </c>
      <c r="C360">
        <v>404.95</v>
      </c>
      <c r="D360">
        <v>405.25</v>
      </c>
      <c r="E360">
        <v>400.55</v>
      </c>
      <c r="F360">
        <v>404.95</v>
      </c>
      <c r="G360">
        <v>402</v>
      </c>
      <c r="H360">
        <v>402.3</v>
      </c>
      <c r="I360">
        <v>402.89</v>
      </c>
      <c r="J360">
        <v>471.5</v>
      </c>
      <c r="K360">
        <v>390.15</v>
      </c>
      <c r="L360" s="4">
        <v>6056866</v>
      </c>
      <c r="M360" s="3">
        <v>2440276710.1500001</v>
      </c>
      <c r="N360" s="4">
        <v>101139</v>
      </c>
      <c r="O360">
        <f t="shared" si="5"/>
        <v>-6.54401777997278E-3</v>
      </c>
    </row>
    <row r="361" spans="1:15" ht="14.25" customHeight="1" x14ac:dyDescent="0.3">
      <c r="A361" s="2">
        <v>46000</v>
      </c>
      <c r="B361" t="s">
        <v>15</v>
      </c>
      <c r="C361">
        <v>402</v>
      </c>
      <c r="D361">
        <v>404.5</v>
      </c>
      <c r="E361">
        <v>400</v>
      </c>
      <c r="F361">
        <v>402.3</v>
      </c>
      <c r="G361">
        <v>401.25</v>
      </c>
      <c r="H361">
        <v>401.05</v>
      </c>
      <c r="I361">
        <v>402.28</v>
      </c>
      <c r="J361">
        <v>471.5</v>
      </c>
      <c r="K361">
        <v>390.15</v>
      </c>
      <c r="L361" s="4">
        <v>9426717</v>
      </c>
      <c r="M361" s="3">
        <v>3792190139.0500002</v>
      </c>
      <c r="N361" s="4">
        <v>119643</v>
      </c>
      <c r="O361">
        <f t="shared" si="5"/>
        <v>-3.1071339796172009E-3</v>
      </c>
    </row>
    <row r="362" spans="1:15" ht="14.25" customHeight="1" x14ac:dyDescent="0.3">
      <c r="A362" s="2">
        <v>46001</v>
      </c>
      <c r="B362" t="s">
        <v>15</v>
      </c>
      <c r="C362">
        <v>401.1</v>
      </c>
      <c r="D362">
        <v>404.4</v>
      </c>
      <c r="E362">
        <v>401</v>
      </c>
      <c r="F362">
        <v>401.05</v>
      </c>
      <c r="G362">
        <v>403.05</v>
      </c>
      <c r="H362">
        <v>403.15</v>
      </c>
      <c r="I362">
        <v>403.31</v>
      </c>
      <c r="J362">
        <v>471.5</v>
      </c>
      <c r="K362">
        <v>390.15</v>
      </c>
      <c r="L362" s="4">
        <v>6969146</v>
      </c>
      <c r="M362" s="3">
        <v>2810730997.4499998</v>
      </c>
      <c r="N362" s="4">
        <v>106280</v>
      </c>
      <c r="O362">
        <f t="shared" si="5"/>
        <v>5.23625483106836E-3</v>
      </c>
    </row>
    <row r="363" spans="1:15" ht="14.25" customHeight="1" x14ac:dyDescent="0.3">
      <c r="A363" s="2">
        <v>46002</v>
      </c>
      <c r="B363" t="s">
        <v>15</v>
      </c>
      <c r="C363">
        <v>403.15</v>
      </c>
      <c r="D363">
        <v>404</v>
      </c>
      <c r="E363">
        <v>401.1</v>
      </c>
      <c r="F363">
        <v>403.15</v>
      </c>
      <c r="G363">
        <v>403</v>
      </c>
      <c r="H363">
        <v>402.9</v>
      </c>
      <c r="I363">
        <v>402.4</v>
      </c>
      <c r="J363">
        <v>471.5</v>
      </c>
      <c r="K363">
        <v>390.15</v>
      </c>
      <c r="L363" s="4">
        <v>6980147</v>
      </c>
      <c r="M363" s="3">
        <v>2808821372.0500002</v>
      </c>
      <c r="N363" s="4">
        <v>99653</v>
      </c>
      <c r="O363">
        <f t="shared" si="5"/>
        <v>-6.2011658191740053E-4</v>
      </c>
    </row>
    <row r="364" spans="1:15" ht="14.25" customHeight="1" x14ac:dyDescent="0.3">
      <c r="A364" s="2">
        <v>46003</v>
      </c>
      <c r="B364" t="s">
        <v>15</v>
      </c>
      <c r="C364">
        <v>402.9</v>
      </c>
      <c r="D364">
        <v>404</v>
      </c>
      <c r="E364">
        <v>399.85</v>
      </c>
      <c r="F364">
        <v>402.9</v>
      </c>
      <c r="G364">
        <v>400.7</v>
      </c>
      <c r="H364">
        <v>400.1</v>
      </c>
      <c r="I364">
        <v>400.55</v>
      </c>
      <c r="J364">
        <v>471.5</v>
      </c>
      <c r="K364">
        <v>390.15</v>
      </c>
      <c r="L364" s="4">
        <v>12407516</v>
      </c>
      <c r="M364" s="3">
        <v>4969785471.8500004</v>
      </c>
      <c r="N364" s="4">
        <v>115410</v>
      </c>
      <c r="O364">
        <f t="shared" si="5"/>
        <v>-6.9496152891535233E-3</v>
      </c>
    </row>
    <row r="365" spans="1:15" ht="14.25" customHeight="1" x14ac:dyDescent="0.3">
      <c r="A365" s="2">
        <v>46006</v>
      </c>
      <c r="B365" t="s">
        <v>15</v>
      </c>
      <c r="C365">
        <v>400.1</v>
      </c>
      <c r="D365">
        <v>403.35</v>
      </c>
      <c r="E365">
        <v>399.5</v>
      </c>
      <c r="F365">
        <v>400.1</v>
      </c>
      <c r="G365">
        <v>402</v>
      </c>
      <c r="H365">
        <v>402.3</v>
      </c>
      <c r="I365">
        <v>401.8</v>
      </c>
      <c r="J365">
        <v>471.5</v>
      </c>
      <c r="K365">
        <v>390.15</v>
      </c>
      <c r="L365" s="4">
        <v>7756564</v>
      </c>
      <c r="M365" s="3">
        <v>3116564595.5500002</v>
      </c>
      <c r="N365" s="4">
        <v>96420</v>
      </c>
      <c r="O365">
        <f t="shared" si="5"/>
        <v>5.4986253436640556E-3</v>
      </c>
    </row>
    <row r="366" spans="1:15" ht="14.25" customHeight="1" x14ac:dyDescent="0.3">
      <c r="A366" s="2">
        <v>46007</v>
      </c>
      <c r="B366" t="s">
        <v>15</v>
      </c>
      <c r="C366">
        <v>401.4</v>
      </c>
      <c r="D366">
        <v>405.75</v>
      </c>
      <c r="E366">
        <v>401.05</v>
      </c>
      <c r="F366">
        <v>402.3</v>
      </c>
      <c r="G366">
        <v>402</v>
      </c>
      <c r="H366">
        <v>401.7</v>
      </c>
      <c r="I366">
        <v>403.11</v>
      </c>
      <c r="J366">
        <v>471.5</v>
      </c>
      <c r="K366">
        <v>390.15</v>
      </c>
      <c r="L366" s="4">
        <v>12347384</v>
      </c>
      <c r="M366" s="3">
        <v>4977388189.8000002</v>
      </c>
      <c r="N366" s="4">
        <v>120140</v>
      </c>
      <c r="O366">
        <f t="shared" si="5"/>
        <v>-1.491424310216313E-3</v>
      </c>
    </row>
    <row r="367" spans="1:15" ht="14.25" customHeight="1" x14ac:dyDescent="0.3">
      <c r="A367" s="2">
        <v>46008</v>
      </c>
      <c r="B367" t="s">
        <v>15</v>
      </c>
      <c r="C367">
        <v>401</v>
      </c>
      <c r="D367">
        <v>403.1</v>
      </c>
      <c r="E367">
        <v>399.1</v>
      </c>
      <c r="F367">
        <v>401.7</v>
      </c>
      <c r="G367">
        <v>400.25</v>
      </c>
      <c r="H367">
        <v>399.8</v>
      </c>
      <c r="I367">
        <v>400.53</v>
      </c>
      <c r="J367">
        <v>471.5</v>
      </c>
      <c r="K367">
        <v>390.15</v>
      </c>
      <c r="L367" s="4">
        <v>8087490</v>
      </c>
      <c r="M367" s="3">
        <v>3239301844.8000002</v>
      </c>
      <c r="N367" s="4">
        <v>117330</v>
      </c>
      <c r="O367">
        <f t="shared" si="5"/>
        <v>-4.7298979337813728E-3</v>
      </c>
    </row>
    <row r="368" spans="1:15" ht="14.25" customHeight="1" x14ac:dyDescent="0.3">
      <c r="A368" s="2">
        <v>46009</v>
      </c>
      <c r="B368" t="s">
        <v>15</v>
      </c>
      <c r="C368">
        <v>400</v>
      </c>
      <c r="D368">
        <v>401.95</v>
      </c>
      <c r="E368">
        <v>399.85</v>
      </c>
      <c r="F368">
        <v>399.8</v>
      </c>
      <c r="G368">
        <v>400.85</v>
      </c>
      <c r="H368">
        <v>400.4</v>
      </c>
      <c r="I368">
        <v>400.74</v>
      </c>
      <c r="J368">
        <v>471.5</v>
      </c>
      <c r="K368">
        <v>390.15</v>
      </c>
      <c r="L368" s="4">
        <v>7227668</v>
      </c>
      <c r="M368" s="3">
        <v>2896390248.8000002</v>
      </c>
      <c r="N368" s="4">
        <v>106780</v>
      </c>
      <c r="O368">
        <f t="shared" si="5"/>
        <v>1.5007503751875084E-3</v>
      </c>
    </row>
    <row r="369" spans="1:15" ht="14.25" customHeight="1" x14ac:dyDescent="0.3">
      <c r="A369" s="2">
        <v>46010</v>
      </c>
      <c r="B369" t="s">
        <v>15</v>
      </c>
      <c r="C369">
        <v>400.25</v>
      </c>
      <c r="D369">
        <v>402.65</v>
      </c>
      <c r="E369">
        <v>400.25</v>
      </c>
      <c r="F369">
        <v>400.4</v>
      </c>
      <c r="G369">
        <v>400.9</v>
      </c>
      <c r="H369">
        <v>401.05</v>
      </c>
      <c r="I369">
        <v>401.39</v>
      </c>
      <c r="J369">
        <v>471.5</v>
      </c>
      <c r="K369">
        <v>390.15</v>
      </c>
      <c r="L369" s="4">
        <v>10654835</v>
      </c>
      <c r="M369" s="3">
        <v>4276783887.1999998</v>
      </c>
      <c r="N369" s="4">
        <v>138048</v>
      </c>
      <c r="O369">
        <f t="shared" si="5"/>
        <v>1.6233766233767087E-3</v>
      </c>
    </row>
    <row r="370" spans="1:15" ht="14.25" customHeight="1" x14ac:dyDescent="0.3">
      <c r="A370" s="2">
        <v>46013</v>
      </c>
      <c r="B370" t="s">
        <v>15</v>
      </c>
      <c r="C370">
        <v>401.6</v>
      </c>
      <c r="D370">
        <v>403.65</v>
      </c>
      <c r="E370">
        <v>401.2</v>
      </c>
      <c r="F370">
        <v>401.05</v>
      </c>
      <c r="G370">
        <v>402.85</v>
      </c>
      <c r="H370">
        <v>402.7</v>
      </c>
      <c r="I370">
        <v>402.79</v>
      </c>
      <c r="J370">
        <v>471.5</v>
      </c>
      <c r="K370">
        <v>390.15</v>
      </c>
      <c r="L370" s="4">
        <v>6847871</v>
      </c>
      <c r="M370" s="3">
        <v>2758263703.8000002</v>
      </c>
      <c r="N370" s="4">
        <v>96410</v>
      </c>
      <c r="O370">
        <f t="shared" si="5"/>
        <v>4.1142002244108642E-3</v>
      </c>
    </row>
    <row r="371" spans="1:15" ht="14.25" customHeight="1" x14ac:dyDescent="0.3">
      <c r="A371" s="2">
        <v>46014</v>
      </c>
      <c r="B371" t="s">
        <v>15</v>
      </c>
      <c r="C371">
        <v>402.5</v>
      </c>
      <c r="D371">
        <v>408.9</v>
      </c>
      <c r="E371">
        <v>401.8</v>
      </c>
      <c r="F371">
        <v>402.7</v>
      </c>
      <c r="G371">
        <v>408.85</v>
      </c>
      <c r="H371">
        <v>407.35</v>
      </c>
      <c r="I371">
        <v>405.66</v>
      </c>
      <c r="J371">
        <v>471.5</v>
      </c>
      <c r="K371">
        <v>390.15</v>
      </c>
      <c r="L371" s="4">
        <v>10081997</v>
      </c>
      <c r="M371" s="3">
        <v>4089815715.8499999</v>
      </c>
      <c r="N371" s="4">
        <v>158483</v>
      </c>
      <c r="O371">
        <f t="shared" si="5"/>
        <v>1.1547057362801177E-2</v>
      </c>
    </row>
    <row r="372" spans="1:15" ht="14.25" customHeight="1" x14ac:dyDescent="0.3">
      <c r="A372" s="2">
        <v>46015</v>
      </c>
      <c r="B372" t="s">
        <v>15</v>
      </c>
      <c r="C372">
        <v>407.95</v>
      </c>
      <c r="D372">
        <v>409.5</v>
      </c>
      <c r="E372">
        <v>405.65</v>
      </c>
      <c r="F372">
        <v>407.35</v>
      </c>
      <c r="G372">
        <v>406.8</v>
      </c>
      <c r="H372">
        <v>406.6</v>
      </c>
      <c r="I372">
        <v>407.18</v>
      </c>
      <c r="J372">
        <v>471.5</v>
      </c>
      <c r="K372">
        <v>390.15</v>
      </c>
      <c r="L372" s="4">
        <v>5777430</v>
      </c>
      <c r="M372" s="3">
        <v>2352433725</v>
      </c>
      <c r="N372" s="4">
        <v>73260</v>
      </c>
      <c r="O372">
        <f t="shared" si="5"/>
        <v>-1.841168528292623E-3</v>
      </c>
    </row>
    <row r="373" spans="1:15" ht="14.25" customHeight="1" x14ac:dyDescent="0.3">
      <c r="A373" s="2">
        <v>46017</v>
      </c>
      <c r="B373" t="s">
        <v>15</v>
      </c>
      <c r="C373">
        <v>406.5</v>
      </c>
      <c r="D373">
        <v>407.15</v>
      </c>
      <c r="E373">
        <v>403.85</v>
      </c>
      <c r="F373">
        <v>406.6</v>
      </c>
      <c r="G373">
        <v>404.9</v>
      </c>
      <c r="H373">
        <v>404.15</v>
      </c>
      <c r="I373">
        <v>404.63</v>
      </c>
      <c r="J373">
        <v>471.5</v>
      </c>
      <c r="K373">
        <v>390.15</v>
      </c>
      <c r="L373" s="4">
        <v>3152453</v>
      </c>
      <c r="M373" s="3">
        <v>1275562322.5999999</v>
      </c>
      <c r="N373" s="4">
        <v>76263</v>
      </c>
      <c r="O373">
        <f t="shared" si="5"/>
        <v>-6.0255779636007017E-3</v>
      </c>
    </row>
    <row r="374" spans="1:15" ht="14.25" customHeight="1" x14ac:dyDescent="0.3">
      <c r="A374" s="2">
        <v>46020</v>
      </c>
      <c r="B374" t="s">
        <v>15</v>
      </c>
      <c r="C374">
        <v>404.1</v>
      </c>
      <c r="D374">
        <v>404.8</v>
      </c>
      <c r="E374">
        <v>401.45</v>
      </c>
      <c r="F374">
        <v>404.15</v>
      </c>
      <c r="G374">
        <v>402.95</v>
      </c>
      <c r="H374">
        <v>402.6</v>
      </c>
      <c r="I374">
        <v>402.55</v>
      </c>
      <c r="J374">
        <v>471.5</v>
      </c>
      <c r="K374">
        <v>390.15</v>
      </c>
      <c r="L374" s="4">
        <v>6647710</v>
      </c>
      <c r="M374" s="3">
        <v>2676007103.6999998</v>
      </c>
      <c r="N374" s="4">
        <v>90644</v>
      </c>
      <c r="O374">
        <f t="shared" si="5"/>
        <v>-3.8352096993689339E-3</v>
      </c>
    </row>
    <row r="375" spans="1:15" ht="14.25" customHeight="1" x14ac:dyDescent="0.3">
      <c r="A375" s="2">
        <v>46021</v>
      </c>
      <c r="B375" t="s">
        <v>15</v>
      </c>
      <c r="C375">
        <v>403</v>
      </c>
      <c r="D375">
        <v>403.45</v>
      </c>
      <c r="E375">
        <v>400.3</v>
      </c>
      <c r="F375">
        <v>402.6</v>
      </c>
      <c r="G375">
        <v>401.1</v>
      </c>
      <c r="H375">
        <v>400.6</v>
      </c>
      <c r="I375">
        <v>401.22</v>
      </c>
      <c r="J375">
        <v>471.5</v>
      </c>
      <c r="K375">
        <v>390.15</v>
      </c>
      <c r="L375" s="4">
        <v>12340527</v>
      </c>
      <c r="M375" s="3">
        <v>4951265566.8500004</v>
      </c>
      <c r="N375" s="4">
        <v>134214</v>
      </c>
      <c r="O375">
        <f t="shared" si="5"/>
        <v>-4.9677098857426726E-3</v>
      </c>
    </row>
    <row r="376" spans="1:15" ht="14.25" customHeight="1" x14ac:dyDescent="0.3">
      <c r="A376" s="2">
        <v>46022</v>
      </c>
      <c r="B376" t="s">
        <v>15</v>
      </c>
      <c r="C376">
        <v>401.1</v>
      </c>
      <c r="D376">
        <v>403.75</v>
      </c>
      <c r="E376">
        <v>400.85</v>
      </c>
      <c r="F376">
        <v>400.6</v>
      </c>
      <c r="G376">
        <v>402.7</v>
      </c>
      <c r="H376">
        <v>403</v>
      </c>
      <c r="I376">
        <v>402.81</v>
      </c>
      <c r="J376">
        <v>471.5</v>
      </c>
      <c r="K376">
        <v>390.15</v>
      </c>
      <c r="L376" s="4">
        <v>9945109</v>
      </c>
      <c r="M376" s="3">
        <v>4005957774.4499998</v>
      </c>
      <c r="N376" s="4">
        <v>93789</v>
      </c>
      <c r="O376">
        <f t="shared" si="5"/>
        <v>5.9910134797802727E-3</v>
      </c>
    </row>
    <row r="377" spans="1:15" ht="14.25" customHeight="1" x14ac:dyDescent="0.3">
      <c r="A377" s="2">
        <v>46023</v>
      </c>
      <c r="B377" t="s">
        <v>15</v>
      </c>
      <c r="C377">
        <v>402.7</v>
      </c>
      <c r="D377">
        <v>402.7</v>
      </c>
      <c r="E377">
        <v>362.7</v>
      </c>
      <c r="F377">
        <v>403</v>
      </c>
      <c r="G377">
        <v>363.95</v>
      </c>
      <c r="H377">
        <v>363.85</v>
      </c>
      <c r="I377">
        <v>374.71</v>
      </c>
      <c r="J377">
        <v>471.5</v>
      </c>
      <c r="K377">
        <v>362.7</v>
      </c>
      <c r="L377" s="4">
        <v>282626710</v>
      </c>
      <c r="M377" s="3">
        <v>105902987176.3</v>
      </c>
      <c r="N377" s="4">
        <v>1497861</v>
      </c>
      <c r="O377">
        <f t="shared" si="5"/>
        <v>-9.7146401985111611E-2</v>
      </c>
    </row>
    <row r="378" spans="1:15" ht="14.25" customHeight="1" x14ac:dyDescent="0.3">
      <c r="A378" s="2">
        <v>46024</v>
      </c>
      <c r="B378" t="s">
        <v>15</v>
      </c>
      <c r="C378">
        <v>360</v>
      </c>
      <c r="D378">
        <v>360</v>
      </c>
      <c r="E378">
        <v>345.25</v>
      </c>
      <c r="F378">
        <v>363.85</v>
      </c>
      <c r="G378">
        <v>350.1</v>
      </c>
      <c r="H378">
        <v>350.05</v>
      </c>
      <c r="I378">
        <v>349.61</v>
      </c>
      <c r="J378">
        <v>471.5</v>
      </c>
      <c r="K378">
        <v>345.25</v>
      </c>
      <c r="L378" s="4">
        <v>118790358</v>
      </c>
      <c r="M378" s="3">
        <v>41530103424.050003</v>
      </c>
      <c r="N378" s="4">
        <v>911774</v>
      </c>
      <c r="O378">
        <f t="shared" si="5"/>
        <v>-3.7927717465988761E-2</v>
      </c>
    </row>
    <row r="379" spans="1:15" ht="14.25" customHeight="1" x14ac:dyDescent="0.3">
      <c r="A379" s="2">
        <v>46027</v>
      </c>
      <c r="B379" t="s">
        <v>15</v>
      </c>
      <c r="C379">
        <v>350.2</v>
      </c>
      <c r="D379">
        <v>353.95</v>
      </c>
      <c r="E379">
        <v>346.05</v>
      </c>
      <c r="F379">
        <v>350.05</v>
      </c>
      <c r="G379">
        <v>349.6</v>
      </c>
      <c r="H379">
        <v>349.7</v>
      </c>
      <c r="I379">
        <v>350.61</v>
      </c>
      <c r="J379">
        <v>471.5</v>
      </c>
      <c r="K379">
        <v>345.25</v>
      </c>
      <c r="L379" s="4">
        <v>48358124</v>
      </c>
      <c r="M379" s="3">
        <v>16954786530.5</v>
      </c>
      <c r="N379" s="4">
        <v>449885</v>
      </c>
      <c r="O379">
        <f t="shared" si="5"/>
        <v>-9.998571632624559E-4</v>
      </c>
    </row>
    <row r="380" spans="1:15" ht="14.25" customHeight="1" x14ac:dyDescent="0.3">
      <c r="A380" s="2">
        <v>46028</v>
      </c>
      <c r="B380" t="s">
        <v>15</v>
      </c>
      <c r="C380">
        <v>350.25</v>
      </c>
      <c r="D380">
        <v>350.7</v>
      </c>
      <c r="E380">
        <v>337.75</v>
      </c>
      <c r="F380">
        <v>349.7</v>
      </c>
      <c r="G380">
        <v>343.25</v>
      </c>
      <c r="H380">
        <v>342.45</v>
      </c>
      <c r="I380">
        <v>342.54</v>
      </c>
      <c r="J380">
        <v>471.5</v>
      </c>
      <c r="K380">
        <v>337.75</v>
      </c>
      <c r="L380" s="4">
        <v>72582738</v>
      </c>
      <c r="M380" s="3">
        <v>24862418456.650002</v>
      </c>
      <c r="N380" s="4">
        <v>618090</v>
      </c>
      <c r="O380">
        <f t="shared" si="5"/>
        <v>-2.0732056048041177E-2</v>
      </c>
    </row>
    <row r="381" spans="1:15" ht="14.25" customHeight="1" x14ac:dyDescent="0.3">
      <c r="A381" s="2">
        <v>46029</v>
      </c>
      <c r="B381" t="s">
        <v>15</v>
      </c>
      <c r="C381">
        <v>343</v>
      </c>
      <c r="D381">
        <v>344.55</v>
      </c>
      <c r="E381">
        <v>339.3</v>
      </c>
      <c r="F381">
        <v>342.45</v>
      </c>
      <c r="G381">
        <v>341.75</v>
      </c>
      <c r="H381">
        <v>341.25</v>
      </c>
      <c r="I381">
        <v>341.74</v>
      </c>
      <c r="J381">
        <v>471.5</v>
      </c>
      <c r="K381">
        <v>337.75</v>
      </c>
      <c r="L381" s="4">
        <v>29440734</v>
      </c>
      <c r="M381" s="3">
        <v>10061169190.15</v>
      </c>
      <c r="N381" s="4">
        <v>385259</v>
      </c>
      <c r="O381">
        <f t="shared" si="5"/>
        <v>-3.504161191414772E-3</v>
      </c>
    </row>
    <row r="382" spans="1:15" ht="14.25" customHeight="1" x14ac:dyDescent="0.3">
      <c r="A382" s="2">
        <v>46030</v>
      </c>
      <c r="B382" t="s">
        <v>15</v>
      </c>
      <c r="C382">
        <v>341.5</v>
      </c>
      <c r="D382">
        <v>345.15</v>
      </c>
      <c r="E382">
        <v>339.05</v>
      </c>
      <c r="F382">
        <v>341.25</v>
      </c>
      <c r="G382">
        <v>340.5</v>
      </c>
      <c r="H382">
        <v>340.9</v>
      </c>
      <c r="I382">
        <v>341.13</v>
      </c>
      <c r="J382">
        <v>471.5</v>
      </c>
      <c r="K382">
        <v>337.75</v>
      </c>
      <c r="L382" s="4">
        <v>36706319</v>
      </c>
      <c r="M382" s="3">
        <v>12521721172.049999</v>
      </c>
      <c r="N382" s="4">
        <v>317166</v>
      </c>
      <c r="O382">
        <f t="shared" si="5"/>
        <v>-1.0256410256410922E-3</v>
      </c>
    </row>
    <row r="383" spans="1:15" ht="14.25" customHeight="1" x14ac:dyDescent="0.3">
      <c r="A383" s="2">
        <v>46031</v>
      </c>
      <c r="B383" t="s">
        <v>15</v>
      </c>
      <c r="C383">
        <v>340.9</v>
      </c>
      <c r="D383">
        <v>341</v>
      </c>
      <c r="E383">
        <v>336.1</v>
      </c>
      <c r="F383">
        <v>340.9</v>
      </c>
      <c r="G383">
        <v>338.25</v>
      </c>
      <c r="H383">
        <v>337.15</v>
      </c>
      <c r="I383">
        <v>338.09</v>
      </c>
      <c r="J383">
        <v>471.5</v>
      </c>
      <c r="K383">
        <v>336.1</v>
      </c>
      <c r="L383" s="4">
        <v>35193201</v>
      </c>
      <c r="M383" s="3">
        <v>11898498989.6</v>
      </c>
      <c r="N383" s="4">
        <v>430291</v>
      </c>
      <c r="O383">
        <f t="shared" si="5"/>
        <v>-1.1000293341155765E-2</v>
      </c>
    </row>
    <row r="384" spans="1:15" ht="14.25" customHeight="1" x14ac:dyDescent="0.3">
      <c r="A384" s="2">
        <v>46034</v>
      </c>
      <c r="B384" t="s">
        <v>15</v>
      </c>
      <c r="C384">
        <v>338.25</v>
      </c>
      <c r="D384">
        <v>339.5</v>
      </c>
      <c r="E384">
        <v>335.8</v>
      </c>
      <c r="F384">
        <v>337.15</v>
      </c>
      <c r="G384">
        <v>338</v>
      </c>
      <c r="H384">
        <v>338.4</v>
      </c>
      <c r="I384">
        <v>337.78</v>
      </c>
      <c r="J384">
        <v>471.5</v>
      </c>
      <c r="K384">
        <v>335.8</v>
      </c>
      <c r="L384" s="4">
        <v>16156143</v>
      </c>
      <c r="M384" s="3">
        <v>5457235038.8500004</v>
      </c>
      <c r="N384" s="4">
        <v>213285</v>
      </c>
      <c r="O384">
        <f t="shared" si="5"/>
        <v>3.7075485688862525E-3</v>
      </c>
    </row>
    <row r="385" spans="1:15" ht="14.25" customHeight="1" x14ac:dyDescent="0.3">
      <c r="A385" s="2">
        <v>46035</v>
      </c>
      <c r="B385" t="s">
        <v>15</v>
      </c>
      <c r="C385">
        <v>339</v>
      </c>
      <c r="D385">
        <v>339.5</v>
      </c>
      <c r="E385">
        <v>333.7</v>
      </c>
      <c r="F385">
        <v>338.4</v>
      </c>
      <c r="G385">
        <v>334.3</v>
      </c>
      <c r="H385">
        <v>334.7</v>
      </c>
      <c r="I385">
        <v>335.34</v>
      </c>
      <c r="J385">
        <v>471.5</v>
      </c>
      <c r="K385">
        <v>333.7</v>
      </c>
      <c r="L385" s="4">
        <v>24922339</v>
      </c>
      <c r="M385" s="3">
        <v>8357506586.5500002</v>
      </c>
      <c r="N385" s="4">
        <v>237948</v>
      </c>
      <c r="O385">
        <f t="shared" si="5"/>
        <v>-1.0933806146572071E-2</v>
      </c>
    </row>
    <row r="386" spans="1:15" ht="14.25" customHeight="1" x14ac:dyDescent="0.3">
      <c r="A386" s="2">
        <v>46036</v>
      </c>
      <c r="B386" t="s">
        <v>15</v>
      </c>
      <c r="C386">
        <v>336</v>
      </c>
      <c r="D386">
        <v>336</v>
      </c>
      <c r="E386">
        <v>333.45</v>
      </c>
      <c r="F386">
        <v>334.7</v>
      </c>
      <c r="G386">
        <v>334.85</v>
      </c>
      <c r="H386">
        <v>334.75</v>
      </c>
      <c r="I386">
        <v>334.9</v>
      </c>
      <c r="J386">
        <v>471.5</v>
      </c>
      <c r="K386">
        <v>333.45</v>
      </c>
      <c r="L386" s="4">
        <v>14913422</v>
      </c>
      <c r="M386" s="3">
        <v>4994508399.3000002</v>
      </c>
      <c r="N386" s="4">
        <v>206398</v>
      </c>
      <c r="O386">
        <f t="shared" si="5"/>
        <v>1.4938751120409732E-4</v>
      </c>
    </row>
    <row r="387" spans="1:15" ht="14.25" customHeight="1" x14ac:dyDescent="0.3">
      <c r="A387" s="2">
        <v>46038</v>
      </c>
      <c r="B387" t="s">
        <v>15</v>
      </c>
      <c r="C387">
        <v>337.5</v>
      </c>
      <c r="D387">
        <v>337.5</v>
      </c>
      <c r="E387">
        <v>328.55</v>
      </c>
      <c r="F387">
        <v>334.75</v>
      </c>
      <c r="G387">
        <v>329</v>
      </c>
      <c r="H387">
        <v>329.2</v>
      </c>
      <c r="I387">
        <v>331.06</v>
      </c>
      <c r="J387">
        <v>471.5</v>
      </c>
      <c r="K387">
        <v>328.55</v>
      </c>
      <c r="L387" s="4">
        <v>30526898</v>
      </c>
      <c r="M387" s="3">
        <v>10106142548.799999</v>
      </c>
      <c r="N387" s="4">
        <v>344862</v>
      </c>
      <c r="O387">
        <f t="shared" ref="O387:O450" si="6">(H387-H386)/H386</f>
        <v>-1.6579536967886516E-2</v>
      </c>
    </row>
    <row r="388" spans="1:15" ht="14.25" customHeight="1" x14ac:dyDescent="0.3">
      <c r="A388" s="2">
        <v>46041</v>
      </c>
      <c r="B388" t="s">
        <v>15</v>
      </c>
      <c r="C388">
        <v>330</v>
      </c>
      <c r="D388">
        <v>334.65</v>
      </c>
      <c r="E388">
        <v>327.3</v>
      </c>
      <c r="F388">
        <v>329.2</v>
      </c>
      <c r="G388">
        <v>332.8</v>
      </c>
      <c r="H388">
        <v>333.2</v>
      </c>
      <c r="I388">
        <v>331.9</v>
      </c>
      <c r="J388">
        <v>471.5</v>
      </c>
      <c r="K388">
        <v>327.3</v>
      </c>
      <c r="L388" s="4">
        <v>15507440</v>
      </c>
      <c r="M388" s="3">
        <v>5146896960.75</v>
      </c>
      <c r="N388" s="4">
        <v>182190</v>
      </c>
      <c r="O388">
        <f t="shared" si="6"/>
        <v>1.2150668286755772E-2</v>
      </c>
    </row>
    <row r="389" spans="1:15" ht="14.25" customHeight="1" x14ac:dyDescent="0.3">
      <c r="A389" s="2">
        <v>46042</v>
      </c>
      <c r="B389" t="s">
        <v>15</v>
      </c>
      <c r="C389">
        <v>334.05</v>
      </c>
      <c r="D389">
        <v>334.5</v>
      </c>
      <c r="E389">
        <v>325.5</v>
      </c>
      <c r="F389">
        <v>333.2</v>
      </c>
      <c r="G389">
        <v>326.14999999999998</v>
      </c>
      <c r="H389">
        <v>326.3</v>
      </c>
      <c r="I389">
        <v>329.59</v>
      </c>
      <c r="J389">
        <v>471.5</v>
      </c>
      <c r="K389">
        <v>325.5</v>
      </c>
      <c r="L389" s="4">
        <v>18771011</v>
      </c>
      <c r="M389" s="3">
        <v>6186667084.4499998</v>
      </c>
      <c r="N389" s="4">
        <v>224010</v>
      </c>
      <c r="O389">
        <f t="shared" si="6"/>
        <v>-2.0708283313325263E-2</v>
      </c>
    </row>
    <row r="390" spans="1:15" ht="14.25" customHeight="1" x14ac:dyDescent="0.3">
      <c r="A390" s="2">
        <v>46043</v>
      </c>
      <c r="B390" t="s">
        <v>15</v>
      </c>
      <c r="C390">
        <v>326</v>
      </c>
      <c r="D390">
        <v>329.3</v>
      </c>
      <c r="E390">
        <v>324.35000000000002</v>
      </c>
      <c r="F390">
        <v>326.3</v>
      </c>
      <c r="G390">
        <v>325.05</v>
      </c>
      <c r="H390">
        <v>324.75</v>
      </c>
      <c r="I390">
        <v>326.02</v>
      </c>
      <c r="J390">
        <v>471.5</v>
      </c>
      <c r="K390">
        <v>324.35000000000002</v>
      </c>
      <c r="L390" s="4">
        <v>14177965</v>
      </c>
      <c r="M390" s="3">
        <v>4622334427.75</v>
      </c>
      <c r="N390" s="4">
        <v>212066</v>
      </c>
      <c r="O390">
        <f t="shared" si="6"/>
        <v>-4.7502298498314785E-3</v>
      </c>
    </row>
    <row r="391" spans="1:15" ht="14.25" customHeight="1" x14ac:dyDescent="0.3">
      <c r="A391" s="2">
        <v>46044</v>
      </c>
      <c r="B391" t="s">
        <v>15</v>
      </c>
      <c r="C391">
        <v>326.10000000000002</v>
      </c>
      <c r="D391">
        <v>328.7</v>
      </c>
      <c r="E391">
        <v>321.05</v>
      </c>
      <c r="F391">
        <v>324.75</v>
      </c>
      <c r="G391">
        <v>325.55</v>
      </c>
      <c r="H391">
        <v>324.85000000000002</v>
      </c>
      <c r="I391">
        <v>325.12</v>
      </c>
      <c r="J391">
        <v>471.5</v>
      </c>
      <c r="K391">
        <v>321.05</v>
      </c>
      <c r="L391" s="4">
        <v>18622852</v>
      </c>
      <c r="M391" s="3">
        <v>6054614413.4499998</v>
      </c>
      <c r="N391" s="4">
        <v>214762</v>
      </c>
      <c r="O391">
        <f t="shared" si="6"/>
        <v>3.0792917628952342E-4</v>
      </c>
    </row>
    <row r="392" spans="1:15" ht="14.25" customHeight="1" x14ac:dyDescent="0.3">
      <c r="A392" s="2">
        <v>46045</v>
      </c>
      <c r="B392" t="s">
        <v>15</v>
      </c>
      <c r="C392">
        <v>325.55</v>
      </c>
      <c r="D392">
        <v>326.39999999999998</v>
      </c>
      <c r="E392">
        <v>322.7</v>
      </c>
      <c r="F392">
        <v>324.85000000000002</v>
      </c>
      <c r="G392">
        <v>323</v>
      </c>
      <c r="H392">
        <v>323.39999999999998</v>
      </c>
      <c r="I392">
        <v>324.48</v>
      </c>
      <c r="J392">
        <v>471.5</v>
      </c>
      <c r="K392">
        <v>321.05</v>
      </c>
      <c r="L392" s="4">
        <v>11950089</v>
      </c>
      <c r="M392" s="3">
        <v>3877610831.5</v>
      </c>
      <c r="N392" s="4">
        <v>147883</v>
      </c>
      <c r="O392">
        <f t="shared" si="6"/>
        <v>-4.4635985839619682E-3</v>
      </c>
    </row>
    <row r="393" spans="1:15" ht="14.25" customHeight="1" x14ac:dyDescent="0.3">
      <c r="A393" s="2">
        <v>46049</v>
      </c>
      <c r="B393" t="s">
        <v>15</v>
      </c>
      <c r="C393">
        <v>323.60000000000002</v>
      </c>
      <c r="D393">
        <v>324.7</v>
      </c>
      <c r="E393">
        <v>317.85000000000002</v>
      </c>
      <c r="F393">
        <v>323.39999999999998</v>
      </c>
      <c r="G393">
        <v>319.8</v>
      </c>
      <c r="H393">
        <v>318.64999999999998</v>
      </c>
      <c r="I393">
        <v>320.05</v>
      </c>
      <c r="J393">
        <v>471.5</v>
      </c>
      <c r="K393">
        <v>317.85000000000002</v>
      </c>
      <c r="L393" s="4">
        <v>47847784</v>
      </c>
      <c r="M393" s="3">
        <v>15313889340.85</v>
      </c>
      <c r="N393" s="4">
        <v>291334</v>
      </c>
      <c r="O393">
        <f t="shared" si="6"/>
        <v>-1.4687693259121832E-2</v>
      </c>
    </row>
    <row r="394" spans="1:15" ht="14.25" customHeight="1" x14ac:dyDescent="0.3">
      <c r="A394" s="2">
        <v>46050</v>
      </c>
      <c r="B394" t="s">
        <v>15</v>
      </c>
      <c r="C394">
        <v>319.95</v>
      </c>
      <c r="D394">
        <v>323.7</v>
      </c>
      <c r="E394">
        <v>319.35000000000002</v>
      </c>
      <c r="F394">
        <v>318.64999999999998</v>
      </c>
      <c r="G394">
        <v>321.39999999999998</v>
      </c>
      <c r="H394">
        <v>321.14999999999998</v>
      </c>
      <c r="I394">
        <v>321.10000000000002</v>
      </c>
      <c r="J394">
        <v>471.5</v>
      </c>
      <c r="K394">
        <v>317.85000000000002</v>
      </c>
      <c r="L394" s="4">
        <v>28400238</v>
      </c>
      <c r="M394" s="3">
        <v>9119202270.5</v>
      </c>
      <c r="N394" s="4">
        <v>175716</v>
      </c>
      <c r="O394">
        <f t="shared" si="6"/>
        <v>7.8455986191746444E-3</v>
      </c>
    </row>
    <row r="395" spans="1:15" ht="14.25" customHeight="1" x14ac:dyDescent="0.3">
      <c r="A395" s="2">
        <v>46051</v>
      </c>
      <c r="B395" t="s">
        <v>15</v>
      </c>
      <c r="C395">
        <v>322.60000000000002</v>
      </c>
      <c r="D395">
        <v>322.60000000000002</v>
      </c>
      <c r="E395">
        <v>318.05</v>
      </c>
      <c r="F395">
        <v>321.14999999999998</v>
      </c>
      <c r="G395">
        <v>318.8</v>
      </c>
      <c r="H395">
        <v>318.60000000000002</v>
      </c>
      <c r="I395">
        <v>318.98</v>
      </c>
      <c r="J395">
        <v>471.5</v>
      </c>
      <c r="K395">
        <v>317.85000000000002</v>
      </c>
      <c r="L395" s="4">
        <v>17719420</v>
      </c>
      <c r="M395" s="3">
        <v>5652076130.5</v>
      </c>
      <c r="N395" s="4">
        <v>167761</v>
      </c>
      <c r="O395">
        <f t="shared" si="6"/>
        <v>-7.9402148528723484E-3</v>
      </c>
    </row>
    <row r="396" spans="1:15" ht="14.25" customHeight="1" x14ac:dyDescent="0.3">
      <c r="A396" s="2">
        <v>46052</v>
      </c>
      <c r="B396" t="s">
        <v>15</v>
      </c>
      <c r="C396">
        <v>318.8</v>
      </c>
      <c r="D396">
        <v>325.14999999999998</v>
      </c>
      <c r="E396">
        <v>316.45</v>
      </c>
      <c r="F396">
        <v>318.60000000000002</v>
      </c>
      <c r="G396">
        <v>322.3</v>
      </c>
      <c r="H396">
        <v>322.14999999999998</v>
      </c>
      <c r="I396">
        <v>321.82</v>
      </c>
      <c r="J396">
        <v>471.5</v>
      </c>
      <c r="K396">
        <v>316.45</v>
      </c>
      <c r="L396" s="4">
        <v>41975824</v>
      </c>
      <c r="M396" s="3">
        <v>13508758883.65</v>
      </c>
      <c r="N396" s="4">
        <v>255515</v>
      </c>
      <c r="O396">
        <f t="shared" si="6"/>
        <v>1.114249843063388E-2</v>
      </c>
    </row>
    <row r="397" spans="1:15" ht="14.25" customHeight="1" x14ac:dyDescent="0.3">
      <c r="A397" s="2">
        <v>46054</v>
      </c>
      <c r="B397" t="s">
        <v>15</v>
      </c>
      <c r="C397">
        <v>324.60000000000002</v>
      </c>
      <c r="D397">
        <v>324.60000000000002</v>
      </c>
      <c r="E397">
        <v>306.05</v>
      </c>
      <c r="F397">
        <v>322.14999999999998</v>
      </c>
      <c r="G397">
        <v>308.14999999999998</v>
      </c>
      <c r="H397">
        <v>309.45</v>
      </c>
      <c r="I397">
        <v>314.62</v>
      </c>
      <c r="J397">
        <v>471.5</v>
      </c>
      <c r="K397">
        <v>306.05</v>
      </c>
      <c r="L397" s="4">
        <v>33278995</v>
      </c>
      <c r="M397" s="3">
        <v>10470159897.549999</v>
      </c>
      <c r="N397" s="4">
        <v>352370</v>
      </c>
      <c r="O397">
        <f t="shared" si="6"/>
        <v>-3.9422629209995314E-2</v>
      </c>
    </row>
    <row r="398" spans="1:15" ht="14.25" customHeight="1" x14ac:dyDescent="0.3">
      <c r="A398" s="2">
        <v>46055</v>
      </c>
      <c r="B398" t="s">
        <v>15</v>
      </c>
      <c r="C398">
        <v>309.45</v>
      </c>
      <c r="D398">
        <v>315.39999999999998</v>
      </c>
      <c r="E398">
        <v>302</v>
      </c>
      <c r="F398">
        <v>309.45</v>
      </c>
      <c r="G398">
        <v>314.55</v>
      </c>
      <c r="H398">
        <v>314.7</v>
      </c>
      <c r="I398">
        <v>308.57</v>
      </c>
      <c r="J398">
        <v>465.2</v>
      </c>
      <c r="K398">
        <v>302</v>
      </c>
      <c r="L398" s="4">
        <v>35227572</v>
      </c>
      <c r="M398" s="3">
        <v>10870308122.700001</v>
      </c>
      <c r="N398" s="4">
        <v>365578</v>
      </c>
      <c r="O398">
        <f t="shared" si="6"/>
        <v>1.6965584100824042E-2</v>
      </c>
    </row>
    <row r="399" spans="1:15" ht="14.25" customHeight="1" x14ac:dyDescent="0.3">
      <c r="A399" s="2">
        <v>46056</v>
      </c>
      <c r="B399" t="s">
        <v>15</v>
      </c>
      <c r="C399">
        <v>321.2</v>
      </c>
      <c r="D399">
        <v>324.75</v>
      </c>
      <c r="E399">
        <v>311.60000000000002</v>
      </c>
      <c r="F399">
        <v>314.7</v>
      </c>
      <c r="G399">
        <v>316.95</v>
      </c>
      <c r="H399">
        <v>316.64999999999998</v>
      </c>
      <c r="I399">
        <v>315.87</v>
      </c>
      <c r="J399">
        <v>465.2</v>
      </c>
      <c r="K399">
        <v>302</v>
      </c>
      <c r="L399" s="4">
        <v>33168353</v>
      </c>
      <c r="M399" s="3">
        <v>10477003433.799999</v>
      </c>
      <c r="N399" s="4">
        <v>252922</v>
      </c>
      <c r="O399">
        <f t="shared" si="6"/>
        <v>6.1963775023831866E-3</v>
      </c>
    </row>
    <row r="400" spans="1:15" ht="14.25" customHeight="1" x14ac:dyDescent="0.3">
      <c r="A400" s="2">
        <v>46057</v>
      </c>
      <c r="B400" t="s">
        <v>15</v>
      </c>
      <c r="C400">
        <v>312.5</v>
      </c>
      <c r="D400">
        <v>314.95</v>
      </c>
      <c r="E400">
        <v>311.35000000000002</v>
      </c>
      <c r="F400">
        <v>316.64999999999998</v>
      </c>
      <c r="G400">
        <v>313.85000000000002</v>
      </c>
      <c r="H400">
        <v>313.85000000000002</v>
      </c>
      <c r="I400">
        <v>313.67</v>
      </c>
      <c r="J400">
        <v>465.2</v>
      </c>
      <c r="K400">
        <v>302</v>
      </c>
      <c r="L400" s="4">
        <v>11196759</v>
      </c>
      <c r="M400" s="3">
        <v>3512093652.5999999</v>
      </c>
      <c r="N400" s="4">
        <v>171556</v>
      </c>
      <c r="O400">
        <f t="shared" si="6"/>
        <v>-8.842570661613626E-3</v>
      </c>
    </row>
    <row r="401" spans="1:15" ht="14.25" customHeight="1" x14ac:dyDescent="0.3">
      <c r="A401" s="2">
        <v>46058</v>
      </c>
      <c r="B401" t="s">
        <v>15</v>
      </c>
      <c r="C401">
        <v>313.95</v>
      </c>
      <c r="D401">
        <v>315.35000000000002</v>
      </c>
      <c r="E401">
        <v>309.3</v>
      </c>
      <c r="F401">
        <v>313.85000000000002</v>
      </c>
      <c r="G401">
        <v>310.10000000000002</v>
      </c>
      <c r="H401">
        <v>310.2</v>
      </c>
      <c r="I401">
        <v>310.95999999999998</v>
      </c>
      <c r="J401">
        <v>465.2</v>
      </c>
      <c r="K401">
        <v>302</v>
      </c>
      <c r="L401" s="4">
        <v>15816704</v>
      </c>
      <c r="M401" s="3">
        <v>4918377985.8999996</v>
      </c>
      <c r="N401" s="4">
        <v>263742</v>
      </c>
      <c r="O401">
        <f t="shared" si="6"/>
        <v>-1.1629759439222667E-2</v>
      </c>
    </row>
    <row r="402" spans="1:15" ht="14.25" customHeight="1" x14ac:dyDescent="0.3">
      <c r="A402" s="2">
        <v>46059</v>
      </c>
      <c r="B402" t="s">
        <v>15</v>
      </c>
      <c r="C402">
        <v>310</v>
      </c>
      <c r="D402">
        <v>327.7</v>
      </c>
      <c r="E402">
        <v>308.3</v>
      </c>
      <c r="F402">
        <v>310.2</v>
      </c>
      <c r="G402">
        <v>326.35000000000002</v>
      </c>
      <c r="H402">
        <v>325.8</v>
      </c>
      <c r="I402">
        <v>322.67</v>
      </c>
      <c r="J402">
        <v>465.2</v>
      </c>
      <c r="K402">
        <v>302</v>
      </c>
      <c r="L402" s="4">
        <v>68057745</v>
      </c>
      <c r="M402" s="3">
        <v>21959853321.299999</v>
      </c>
      <c r="N402" s="4">
        <v>358377</v>
      </c>
      <c r="O402">
        <f t="shared" si="6"/>
        <v>5.029013539651845E-2</v>
      </c>
    </row>
    <row r="403" spans="1:15" ht="14.25" customHeight="1" x14ac:dyDescent="0.3">
      <c r="A403" s="2">
        <v>46062</v>
      </c>
      <c r="B403" t="s">
        <v>15</v>
      </c>
      <c r="C403">
        <v>327.95</v>
      </c>
      <c r="D403">
        <v>328.7</v>
      </c>
      <c r="E403">
        <v>321.64999999999998</v>
      </c>
      <c r="F403">
        <v>325.8</v>
      </c>
      <c r="G403">
        <v>322.7</v>
      </c>
      <c r="H403">
        <v>322.8</v>
      </c>
      <c r="I403">
        <v>323.66000000000003</v>
      </c>
      <c r="J403">
        <v>444.2</v>
      </c>
      <c r="K403">
        <v>302</v>
      </c>
      <c r="L403" s="4">
        <v>20059198</v>
      </c>
      <c r="M403" s="3">
        <v>6492354416.3000002</v>
      </c>
      <c r="N403" s="4">
        <v>169853</v>
      </c>
      <c r="O403">
        <f t="shared" si="6"/>
        <v>-9.2081031307550635E-3</v>
      </c>
    </row>
    <row r="404" spans="1:15" ht="14.25" customHeight="1" x14ac:dyDescent="0.3">
      <c r="A404" s="2">
        <v>46063</v>
      </c>
      <c r="B404" t="s">
        <v>15</v>
      </c>
      <c r="C404">
        <v>323</v>
      </c>
      <c r="D404">
        <v>323.55</v>
      </c>
      <c r="E404">
        <v>320.75</v>
      </c>
      <c r="F404">
        <v>322.8</v>
      </c>
      <c r="G404">
        <v>321.25</v>
      </c>
      <c r="H404">
        <v>321.39999999999998</v>
      </c>
      <c r="I404">
        <v>321.76</v>
      </c>
      <c r="J404">
        <v>444.2</v>
      </c>
      <c r="K404">
        <v>302</v>
      </c>
      <c r="L404" s="4">
        <v>11489090</v>
      </c>
      <c r="M404" s="3">
        <v>3696775555.25</v>
      </c>
      <c r="N404" s="4">
        <v>146227</v>
      </c>
      <c r="O404">
        <f t="shared" si="6"/>
        <v>-4.3370508054523978E-3</v>
      </c>
    </row>
    <row r="405" spans="1:15" ht="14.25" customHeight="1" x14ac:dyDescent="0.3">
      <c r="A405" s="2">
        <v>46064</v>
      </c>
      <c r="B405" t="s">
        <v>15</v>
      </c>
      <c r="C405">
        <v>321.95</v>
      </c>
      <c r="D405">
        <v>322.2</v>
      </c>
      <c r="E405">
        <v>316.3</v>
      </c>
      <c r="F405">
        <v>321.39999999999998</v>
      </c>
      <c r="G405">
        <v>318.10000000000002</v>
      </c>
      <c r="H405">
        <v>318.25</v>
      </c>
      <c r="I405">
        <v>317.45</v>
      </c>
      <c r="J405">
        <v>444.2</v>
      </c>
      <c r="K405">
        <v>302</v>
      </c>
      <c r="L405" s="4">
        <v>24843366</v>
      </c>
      <c r="M405" s="3">
        <v>7886524787.9499998</v>
      </c>
      <c r="N405" s="4">
        <v>168577</v>
      </c>
      <c r="O405">
        <f t="shared" si="6"/>
        <v>-9.8008711885500237E-3</v>
      </c>
    </row>
    <row r="406" spans="1:15" ht="14.25" customHeight="1" x14ac:dyDescent="0.3">
      <c r="A406" s="2">
        <v>46065</v>
      </c>
      <c r="B406" t="s">
        <v>15</v>
      </c>
      <c r="C406">
        <v>317.3</v>
      </c>
      <c r="D406">
        <v>320.39999999999998</v>
      </c>
      <c r="E406">
        <v>316.89999999999998</v>
      </c>
      <c r="F406">
        <v>318.25</v>
      </c>
      <c r="G406">
        <v>317.5</v>
      </c>
      <c r="H406">
        <v>317.45</v>
      </c>
      <c r="I406">
        <v>318.27999999999997</v>
      </c>
      <c r="J406">
        <v>444.2</v>
      </c>
      <c r="K406">
        <v>302</v>
      </c>
      <c r="L406" s="4">
        <v>13294561</v>
      </c>
      <c r="M406" s="3">
        <v>4231413265.1500001</v>
      </c>
      <c r="N406" s="4">
        <v>155726</v>
      </c>
      <c r="O406">
        <f t="shared" si="6"/>
        <v>-2.5137470542027068E-3</v>
      </c>
    </row>
    <row r="407" spans="1:15" ht="14.25" customHeight="1" x14ac:dyDescent="0.3">
      <c r="A407" s="2">
        <v>46066</v>
      </c>
      <c r="B407" t="s">
        <v>15</v>
      </c>
      <c r="C407">
        <v>316</v>
      </c>
      <c r="D407">
        <v>318.39999999999998</v>
      </c>
      <c r="E407">
        <v>313.25</v>
      </c>
      <c r="F407">
        <v>317.45</v>
      </c>
      <c r="G407">
        <v>313.60000000000002</v>
      </c>
      <c r="H407">
        <v>313.75</v>
      </c>
      <c r="I407">
        <v>315.37</v>
      </c>
      <c r="J407">
        <v>444.2</v>
      </c>
      <c r="K407">
        <v>302</v>
      </c>
      <c r="L407" s="4">
        <v>8730618</v>
      </c>
      <c r="M407" s="3">
        <v>2753341305.6500001</v>
      </c>
      <c r="N407" s="4">
        <v>131785</v>
      </c>
      <c r="O407">
        <f t="shared" si="6"/>
        <v>-1.1655378799810958E-2</v>
      </c>
    </row>
    <row r="408" spans="1:15" ht="14.25" customHeight="1" x14ac:dyDescent="0.3">
      <c r="A408" s="2">
        <v>46069</v>
      </c>
      <c r="B408" t="s">
        <v>15</v>
      </c>
      <c r="C408">
        <v>313.75</v>
      </c>
      <c r="D408">
        <v>318.25</v>
      </c>
      <c r="E408">
        <v>313.14999999999998</v>
      </c>
      <c r="F408">
        <v>313.75</v>
      </c>
      <c r="G408">
        <v>318.10000000000002</v>
      </c>
      <c r="H408">
        <v>317.95</v>
      </c>
      <c r="I408">
        <v>316.61</v>
      </c>
      <c r="J408">
        <v>444.2</v>
      </c>
      <c r="K408">
        <v>302</v>
      </c>
      <c r="L408" s="4">
        <v>11693763</v>
      </c>
      <c r="M408" s="3">
        <v>3702390906.0999999</v>
      </c>
      <c r="N408" s="4">
        <v>132407</v>
      </c>
      <c r="O408">
        <f t="shared" si="6"/>
        <v>1.3386454183266895E-2</v>
      </c>
    </row>
    <row r="409" spans="1:15" ht="14.25" customHeight="1" x14ac:dyDescent="0.3">
      <c r="A409" s="2">
        <v>46070</v>
      </c>
      <c r="B409" t="s">
        <v>15</v>
      </c>
      <c r="C409">
        <v>318.45</v>
      </c>
      <c r="D409">
        <v>328.05</v>
      </c>
      <c r="E409">
        <v>318.14999999999998</v>
      </c>
      <c r="F409">
        <v>317.95</v>
      </c>
      <c r="G409">
        <v>325.39999999999998</v>
      </c>
      <c r="H409">
        <v>325.45</v>
      </c>
      <c r="I409">
        <v>324.94</v>
      </c>
      <c r="J409">
        <v>444.2</v>
      </c>
      <c r="K409">
        <v>302</v>
      </c>
      <c r="L409" s="4">
        <v>39360672</v>
      </c>
      <c r="M409" s="3">
        <v>12789737872.299999</v>
      </c>
      <c r="N409" s="4">
        <v>246283</v>
      </c>
      <c r="O409">
        <f t="shared" si="6"/>
        <v>2.3588614562038056E-2</v>
      </c>
    </row>
    <row r="410" spans="1:15" ht="14.25" customHeight="1" x14ac:dyDescent="0.3">
      <c r="A410" s="2">
        <v>46071</v>
      </c>
      <c r="B410" t="s">
        <v>15</v>
      </c>
      <c r="C410">
        <v>326</v>
      </c>
      <c r="D410">
        <v>332.95</v>
      </c>
      <c r="E410">
        <v>324.8</v>
      </c>
      <c r="F410">
        <v>325.45</v>
      </c>
      <c r="G410">
        <v>332.65</v>
      </c>
      <c r="H410">
        <v>332.45</v>
      </c>
      <c r="I410">
        <v>330.36</v>
      </c>
      <c r="J410">
        <v>444.2</v>
      </c>
      <c r="K410">
        <v>302</v>
      </c>
      <c r="L410" s="4">
        <v>35473203</v>
      </c>
      <c r="M410" s="3">
        <v>11719043134.9</v>
      </c>
      <c r="N410" s="4">
        <v>228303</v>
      </c>
      <c r="O410">
        <f t="shared" si="6"/>
        <v>2.150868028883085E-2</v>
      </c>
    </row>
    <row r="411" spans="1:15" ht="14.25" customHeight="1" x14ac:dyDescent="0.3">
      <c r="A411" s="2">
        <v>46072</v>
      </c>
      <c r="B411" t="s">
        <v>15</v>
      </c>
      <c r="C411">
        <v>334.05</v>
      </c>
      <c r="D411">
        <v>334.25</v>
      </c>
      <c r="E411">
        <v>325</v>
      </c>
      <c r="F411">
        <v>332.45</v>
      </c>
      <c r="G411">
        <v>325.8</v>
      </c>
      <c r="H411">
        <v>326</v>
      </c>
      <c r="I411">
        <v>329.01</v>
      </c>
      <c r="J411">
        <v>444.2</v>
      </c>
      <c r="K411">
        <v>302</v>
      </c>
      <c r="L411" s="4">
        <v>19911747</v>
      </c>
      <c r="M411" s="3">
        <v>6551069293.75</v>
      </c>
      <c r="N411" s="4">
        <v>169746</v>
      </c>
      <c r="O411">
        <f t="shared" si="6"/>
        <v>-1.9401413746428002E-2</v>
      </c>
    </row>
    <row r="412" spans="1:15" ht="14.25" customHeight="1" x14ac:dyDescent="0.3">
      <c r="A412" s="2">
        <v>46073</v>
      </c>
      <c r="B412" t="s">
        <v>15</v>
      </c>
      <c r="C412">
        <v>325.05</v>
      </c>
      <c r="D412">
        <v>327.85</v>
      </c>
      <c r="E412">
        <v>325.05</v>
      </c>
      <c r="F412">
        <v>326</v>
      </c>
      <c r="G412">
        <v>327.2</v>
      </c>
      <c r="H412">
        <v>327</v>
      </c>
      <c r="I412">
        <v>326.79000000000002</v>
      </c>
      <c r="J412">
        <v>444.2</v>
      </c>
      <c r="K412">
        <v>302</v>
      </c>
      <c r="L412" s="4">
        <v>11282027</v>
      </c>
      <c r="M412" s="3">
        <v>3686834270.9499998</v>
      </c>
      <c r="N412" s="4">
        <v>95724</v>
      </c>
      <c r="O412">
        <f t="shared" si="6"/>
        <v>3.0674846625766872E-3</v>
      </c>
    </row>
    <row r="413" spans="1:15" ht="14.25" customHeight="1" x14ac:dyDescent="0.3">
      <c r="A413" s="2">
        <v>46076</v>
      </c>
      <c r="B413" t="s">
        <v>15</v>
      </c>
      <c r="C413">
        <v>327</v>
      </c>
      <c r="D413">
        <v>328.1</v>
      </c>
      <c r="E413">
        <v>324.39999999999998</v>
      </c>
      <c r="F413">
        <v>327</v>
      </c>
      <c r="G413">
        <v>325.64999999999998</v>
      </c>
      <c r="H413">
        <v>325.39999999999998</v>
      </c>
      <c r="I413">
        <v>325.58</v>
      </c>
      <c r="J413">
        <v>444.2</v>
      </c>
      <c r="K413">
        <v>302</v>
      </c>
      <c r="L413" s="4">
        <v>13486092</v>
      </c>
      <c r="M413" s="3">
        <v>4390780982.0500002</v>
      </c>
      <c r="N413" s="4">
        <v>118812</v>
      </c>
      <c r="O413">
        <f t="shared" si="6"/>
        <v>-4.8929663608563391E-3</v>
      </c>
    </row>
    <row r="414" spans="1:15" ht="14.25" customHeight="1" x14ac:dyDescent="0.3">
      <c r="A414" s="2">
        <v>46077</v>
      </c>
      <c r="B414" t="s">
        <v>15</v>
      </c>
      <c r="C414">
        <v>324</v>
      </c>
      <c r="D414">
        <v>325.39999999999998</v>
      </c>
      <c r="E414">
        <v>322.05</v>
      </c>
      <c r="F414">
        <v>325.39999999999998</v>
      </c>
      <c r="G414">
        <v>324.2</v>
      </c>
      <c r="H414">
        <v>323.5</v>
      </c>
      <c r="I414">
        <v>323.47000000000003</v>
      </c>
      <c r="J414">
        <v>444.2</v>
      </c>
      <c r="K414">
        <v>302</v>
      </c>
      <c r="L414" s="4">
        <v>13135859</v>
      </c>
      <c r="M414" s="3">
        <v>4249087939.9499998</v>
      </c>
      <c r="N414" s="4">
        <v>170638</v>
      </c>
      <c r="O414">
        <f t="shared" si="6"/>
        <v>-5.8389674247079819E-3</v>
      </c>
    </row>
    <row r="415" spans="1:15" ht="14.25" customHeight="1" x14ac:dyDescent="0.3">
      <c r="A415" s="2">
        <v>46078</v>
      </c>
      <c r="B415" t="s">
        <v>15</v>
      </c>
      <c r="C415">
        <v>325.5</v>
      </c>
      <c r="D415">
        <v>326.60000000000002</v>
      </c>
      <c r="E415">
        <v>318.10000000000002</v>
      </c>
      <c r="F415">
        <v>323.5</v>
      </c>
      <c r="G415">
        <v>319.2</v>
      </c>
      <c r="H415">
        <v>319.75</v>
      </c>
      <c r="I415">
        <v>321.05</v>
      </c>
      <c r="J415">
        <v>444.2</v>
      </c>
      <c r="K415">
        <v>302</v>
      </c>
      <c r="L415" s="4">
        <v>13492101</v>
      </c>
      <c r="M415" s="3">
        <v>4331678210.9499998</v>
      </c>
      <c r="N415" s="4">
        <v>143953</v>
      </c>
      <c r="O415">
        <f t="shared" si="6"/>
        <v>-1.1591962905718702E-2</v>
      </c>
    </row>
    <row r="416" spans="1:15" ht="14.25" customHeight="1" x14ac:dyDescent="0.3">
      <c r="A416" s="2">
        <v>46079</v>
      </c>
      <c r="B416" t="s">
        <v>15</v>
      </c>
      <c r="C416">
        <v>320</v>
      </c>
      <c r="D416">
        <v>321.39999999999998</v>
      </c>
      <c r="E416">
        <v>317.60000000000002</v>
      </c>
      <c r="F416">
        <v>319.75</v>
      </c>
      <c r="G416">
        <v>318.45</v>
      </c>
      <c r="H416">
        <v>318.3</v>
      </c>
      <c r="I416">
        <v>318.98</v>
      </c>
      <c r="J416">
        <v>444.2</v>
      </c>
      <c r="K416">
        <v>302</v>
      </c>
      <c r="L416" s="4">
        <v>11270119</v>
      </c>
      <c r="M416" s="3">
        <v>3594934700.8000002</v>
      </c>
      <c r="N416" s="4">
        <v>166420</v>
      </c>
      <c r="O416">
        <f t="shared" si="6"/>
        <v>-4.5347928068803396E-3</v>
      </c>
    </row>
    <row r="417" spans="1:15" ht="14.25" customHeight="1" x14ac:dyDescent="0.3">
      <c r="A417" s="2">
        <v>46080</v>
      </c>
      <c r="B417" t="s">
        <v>15</v>
      </c>
      <c r="C417">
        <v>316</v>
      </c>
      <c r="D417">
        <v>317.75</v>
      </c>
      <c r="E417">
        <v>312.64999999999998</v>
      </c>
      <c r="F417">
        <v>318.3</v>
      </c>
      <c r="G417">
        <v>314.2</v>
      </c>
      <c r="H417">
        <v>313.60000000000002</v>
      </c>
      <c r="I417">
        <v>314.74</v>
      </c>
      <c r="J417">
        <v>444.2</v>
      </c>
      <c r="K417">
        <v>302</v>
      </c>
      <c r="L417" s="4">
        <v>13892595</v>
      </c>
      <c r="M417" s="3">
        <v>4372495896.6999998</v>
      </c>
      <c r="N417" s="4">
        <v>188463</v>
      </c>
      <c r="O417">
        <f t="shared" si="6"/>
        <v>-1.4765944077913882E-2</v>
      </c>
    </row>
    <row r="418" spans="1:15" ht="14.25" customHeight="1" x14ac:dyDescent="0.3">
      <c r="A418" s="2">
        <v>46083</v>
      </c>
      <c r="B418" t="s">
        <v>15</v>
      </c>
      <c r="C418">
        <v>307</v>
      </c>
      <c r="D418">
        <v>315.75</v>
      </c>
      <c r="E418">
        <v>307</v>
      </c>
      <c r="F418">
        <v>313.60000000000002</v>
      </c>
      <c r="G418">
        <v>314.7</v>
      </c>
      <c r="H418">
        <v>314.89999999999998</v>
      </c>
      <c r="I418">
        <v>313.07</v>
      </c>
      <c r="J418">
        <v>444.2</v>
      </c>
      <c r="K418">
        <v>302</v>
      </c>
      <c r="L418" s="4">
        <v>22194311</v>
      </c>
      <c r="M418" s="3">
        <v>6948300891.0500002</v>
      </c>
      <c r="N418" s="4">
        <v>250280</v>
      </c>
      <c r="O418">
        <f t="shared" si="6"/>
        <v>4.1454081632651607E-3</v>
      </c>
    </row>
    <row r="419" spans="1:15" ht="14.25" customHeight="1" x14ac:dyDescent="0.3">
      <c r="A419" s="2">
        <v>46085</v>
      </c>
      <c r="B419" t="s">
        <v>15</v>
      </c>
      <c r="C419">
        <v>310.60000000000002</v>
      </c>
      <c r="D419">
        <v>315.5</v>
      </c>
      <c r="E419">
        <v>310.5</v>
      </c>
      <c r="F419">
        <v>314.89999999999998</v>
      </c>
      <c r="G419">
        <v>311.95</v>
      </c>
      <c r="H419">
        <v>311.95</v>
      </c>
      <c r="I419">
        <v>312.43</v>
      </c>
      <c r="J419">
        <v>444.2</v>
      </c>
      <c r="K419">
        <v>302</v>
      </c>
      <c r="L419" s="4">
        <v>24165489</v>
      </c>
      <c r="M419" s="3">
        <v>7550027631.8000002</v>
      </c>
      <c r="N419" s="4">
        <v>281005</v>
      </c>
      <c r="O419">
        <f t="shared" si="6"/>
        <v>-9.3680533502698924E-3</v>
      </c>
    </row>
    <row r="420" spans="1:15" ht="14.25" customHeight="1" x14ac:dyDescent="0.3">
      <c r="A420" s="2">
        <v>46086</v>
      </c>
      <c r="B420" t="s">
        <v>15</v>
      </c>
      <c r="C420">
        <v>312.2</v>
      </c>
      <c r="D420">
        <v>313.60000000000002</v>
      </c>
      <c r="E420">
        <v>308.2</v>
      </c>
      <c r="F420">
        <v>311.95</v>
      </c>
      <c r="G420">
        <v>311.64999999999998</v>
      </c>
      <c r="H420">
        <v>311.5</v>
      </c>
      <c r="I420">
        <v>310.7</v>
      </c>
      <c r="J420">
        <v>444.2</v>
      </c>
      <c r="K420">
        <v>302</v>
      </c>
      <c r="L420" s="4">
        <v>19938009</v>
      </c>
      <c r="M420" s="3">
        <v>6194801511.75</v>
      </c>
      <c r="N420" s="4">
        <v>206179</v>
      </c>
      <c r="O420">
        <f t="shared" si="6"/>
        <v>-1.4425388684083623E-3</v>
      </c>
    </row>
    <row r="421" spans="1:15" ht="14.25" customHeight="1" x14ac:dyDescent="0.3">
      <c r="A421" s="2">
        <v>46087</v>
      </c>
      <c r="B421" t="s">
        <v>15</v>
      </c>
      <c r="C421">
        <v>310.05</v>
      </c>
      <c r="D421">
        <v>312.3</v>
      </c>
      <c r="E421">
        <v>309.2</v>
      </c>
      <c r="F421">
        <v>311.5</v>
      </c>
      <c r="G421">
        <v>309.95</v>
      </c>
      <c r="H421">
        <v>309.7</v>
      </c>
      <c r="I421">
        <v>310.39999999999998</v>
      </c>
      <c r="J421">
        <v>444.2</v>
      </c>
      <c r="K421">
        <v>302</v>
      </c>
      <c r="L421" s="4">
        <v>21288269</v>
      </c>
      <c r="M421" s="3">
        <v>6607851781.9499998</v>
      </c>
      <c r="N421" s="4">
        <v>212819</v>
      </c>
      <c r="O421">
        <f t="shared" si="6"/>
        <v>-5.7784911717496355E-3</v>
      </c>
    </row>
    <row r="422" spans="1:15" ht="14.25" customHeight="1" x14ac:dyDescent="0.3">
      <c r="A422" s="2">
        <v>46090</v>
      </c>
      <c r="B422" t="s">
        <v>15</v>
      </c>
      <c r="C422">
        <v>305</v>
      </c>
      <c r="D422">
        <v>307.2</v>
      </c>
      <c r="E422">
        <v>303.60000000000002</v>
      </c>
      <c r="F422">
        <v>309.7</v>
      </c>
      <c r="G422">
        <v>305</v>
      </c>
      <c r="H422">
        <v>306</v>
      </c>
      <c r="I422">
        <v>305.17</v>
      </c>
      <c r="J422">
        <v>444.2</v>
      </c>
      <c r="K422">
        <v>302</v>
      </c>
      <c r="L422" s="4">
        <v>14084931</v>
      </c>
      <c r="M422" s="3">
        <v>4298250338.75</v>
      </c>
      <c r="N422" s="4">
        <v>190235</v>
      </c>
      <c r="O422">
        <f t="shared" si="6"/>
        <v>-1.1947045527930219E-2</v>
      </c>
    </row>
    <row r="423" spans="1:15" ht="14.25" customHeight="1" x14ac:dyDescent="0.3">
      <c r="A423" s="2">
        <v>46091</v>
      </c>
      <c r="B423" t="s">
        <v>15</v>
      </c>
      <c r="C423">
        <v>309</v>
      </c>
      <c r="D423">
        <v>310</v>
      </c>
      <c r="E423">
        <v>303.75</v>
      </c>
      <c r="F423">
        <v>306</v>
      </c>
      <c r="G423">
        <v>309.5</v>
      </c>
      <c r="H423">
        <v>309.05</v>
      </c>
      <c r="I423">
        <v>306.70999999999998</v>
      </c>
      <c r="J423">
        <v>444.2</v>
      </c>
      <c r="K423">
        <v>302</v>
      </c>
      <c r="L423" s="4">
        <v>18352950</v>
      </c>
      <c r="M423" s="3">
        <v>5629105639.75</v>
      </c>
      <c r="N423" s="4">
        <v>156365</v>
      </c>
      <c r="O423">
        <f t="shared" si="6"/>
        <v>9.9673202614379459E-3</v>
      </c>
    </row>
    <row r="424" spans="1:15" ht="14.25" customHeight="1" x14ac:dyDescent="0.3">
      <c r="A424" s="2">
        <v>46092</v>
      </c>
      <c r="B424" t="s">
        <v>15</v>
      </c>
      <c r="C424">
        <v>309.05</v>
      </c>
      <c r="D424">
        <v>310.64999999999998</v>
      </c>
      <c r="E424">
        <v>307.7</v>
      </c>
      <c r="F424">
        <v>309.05</v>
      </c>
      <c r="G424">
        <v>308.89999999999998</v>
      </c>
      <c r="H424">
        <v>309</v>
      </c>
      <c r="I424">
        <v>309.01</v>
      </c>
      <c r="J424">
        <v>444.2</v>
      </c>
      <c r="K424">
        <v>302</v>
      </c>
      <c r="L424" s="4">
        <v>14842485</v>
      </c>
      <c r="M424" s="3">
        <v>4586523806.0500002</v>
      </c>
      <c r="N424" s="4">
        <v>194139</v>
      </c>
      <c r="O424">
        <f t="shared" si="6"/>
        <v>-1.6178611875104795E-4</v>
      </c>
    </row>
    <row r="425" spans="1:15" ht="14.25" customHeight="1" x14ac:dyDescent="0.3">
      <c r="A425" s="2">
        <v>46093</v>
      </c>
      <c r="B425" t="s">
        <v>15</v>
      </c>
      <c r="C425">
        <v>307.05</v>
      </c>
      <c r="D425">
        <v>308</v>
      </c>
      <c r="E425">
        <v>302.85000000000002</v>
      </c>
      <c r="F425">
        <v>309</v>
      </c>
      <c r="G425">
        <v>303.8</v>
      </c>
      <c r="H425">
        <v>304.10000000000002</v>
      </c>
      <c r="I425">
        <v>305.89</v>
      </c>
      <c r="J425">
        <v>444.2</v>
      </c>
      <c r="K425">
        <v>302</v>
      </c>
      <c r="L425" s="4">
        <v>23319679</v>
      </c>
      <c r="M425" s="3">
        <v>7133363402.9499998</v>
      </c>
      <c r="N425" s="4">
        <v>209187</v>
      </c>
      <c r="O425">
        <f t="shared" si="6"/>
        <v>-1.5857605177993454E-2</v>
      </c>
    </row>
    <row r="426" spans="1:15" ht="14.25" customHeight="1" x14ac:dyDescent="0.3">
      <c r="A426" s="2">
        <v>46094</v>
      </c>
      <c r="B426" t="s">
        <v>15</v>
      </c>
      <c r="C426">
        <v>304</v>
      </c>
      <c r="D426">
        <v>306</v>
      </c>
      <c r="E426">
        <v>300.64999999999998</v>
      </c>
      <c r="F426">
        <v>304.10000000000002</v>
      </c>
      <c r="G426">
        <v>301.89999999999998</v>
      </c>
      <c r="H426">
        <v>301.45</v>
      </c>
      <c r="I426">
        <v>302.8</v>
      </c>
      <c r="J426">
        <v>444.2</v>
      </c>
      <c r="K426">
        <v>300.64999999999998</v>
      </c>
      <c r="L426" s="4">
        <v>25659996</v>
      </c>
      <c r="M426" s="3">
        <v>7769761466.1000004</v>
      </c>
      <c r="N426" s="4">
        <v>245554</v>
      </c>
      <c r="O426">
        <f t="shared" si="6"/>
        <v>-8.7142387372575927E-3</v>
      </c>
    </row>
    <row r="427" spans="1:15" ht="14.25" customHeight="1" x14ac:dyDescent="0.3">
      <c r="A427" s="2">
        <v>46097</v>
      </c>
      <c r="B427" t="s">
        <v>15</v>
      </c>
      <c r="C427">
        <v>302.55</v>
      </c>
      <c r="D427">
        <v>309.45</v>
      </c>
      <c r="E427">
        <v>302</v>
      </c>
      <c r="F427">
        <v>301.45</v>
      </c>
      <c r="G427">
        <v>307.45</v>
      </c>
      <c r="H427">
        <v>308.25</v>
      </c>
      <c r="I427">
        <v>305.48</v>
      </c>
      <c r="J427">
        <v>444.2</v>
      </c>
      <c r="K427">
        <v>300.64999999999998</v>
      </c>
      <c r="L427" s="4">
        <v>37472204</v>
      </c>
      <c r="M427" s="3">
        <v>11447019039.799999</v>
      </c>
      <c r="N427" s="4">
        <v>222548</v>
      </c>
      <c r="O427">
        <f t="shared" si="6"/>
        <v>2.2557638082600803E-2</v>
      </c>
    </row>
    <row r="428" spans="1:15" ht="14.25" customHeight="1" x14ac:dyDescent="0.3">
      <c r="A428" s="2">
        <v>46098</v>
      </c>
      <c r="B428" t="s">
        <v>15</v>
      </c>
      <c r="C428">
        <v>309.95</v>
      </c>
      <c r="D428">
        <v>309.95</v>
      </c>
      <c r="E428">
        <v>304.05</v>
      </c>
      <c r="F428">
        <v>308.25</v>
      </c>
      <c r="G428">
        <v>304.45</v>
      </c>
      <c r="H428">
        <v>304.85000000000002</v>
      </c>
      <c r="I428">
        <v>306.07</v>
      </c>
      <c r="J428">
        <v>444.2</v>
      </c>
      <c r="K428">
        <v>300.64999999999998</v>
      </c>
      <c r="L428" s="4">
        <v>25649286</v>
      </c>
      <c r="M428" s="3">
        <v>7850394221.1499996</v>
      </c>
      <c r="N428" s="4">
        <v>200983</v>
      </c>
      <c r="O428">
        <f t="shared" si="6"/>
        <v>-1.1030008110300008E-2</v>
      </c>
    </row>
    <row r="429" spans="1:15" ht="14.25" customHeight="1" x14ac:dyDescent="0.3">
      <c r="A429" s="2">
        <v>46099</v>
      </c>
      <c r="B429" t="s">
        <v>15</v>
      </c>
      <c r="C429">
        <v>305.89999999999998</v>
      </c>
      <c r="D429">
        <v>306.95</v>
      </c>
      <c r="E429">
        <v>303.5</v>
      </c>
      <c r="F429">
        <v>304.85000000000002</v>
      </c>
      <c r="G429">
        <v>304</v>
      </c>
      <c r="H429">
        <v>304.05</v>
      </c>
      <c r="I429">
        <v>305</v>
      </c>
      <c r="J429">
        <v>444.2</v>
      </c>
      <c r="K429">
        <v>300.64999999999998</v>
      </c>
      <c r="L429" s="4">
        <v>16702554</v>
      </c>
      <c r="M429" s="3">
        <v>5094280816.9499998</v>
      </c>
      <c r="N429" s="4">
        <v>138882</v>
      </c>
      <c r="O429">
        <f t="shared" si="6"/>
        <v>-2.6242414302116166E-3</v>
      </c>
    </row>
    <row r="430" spans="1:15" ht="14.25" customHeight="1" x14ac:dyDescent="0.3">
      <c r="A430" s="2">
        <v>46100</v>
      </c>
      <c r="B430" t="s">
        <v>15</v>
      </c>
      <c r="C430">
        <v>301.5</v>
      </c>
      <c r="D430">
        <v>305.5</v>
      </c>
      <c r="E430">
        <v>297.10000000000002</v>
      </c>
      <c r="F430">
        <v>304.05</v>
      </c>
      <c r="G430">
        <v>299.10000000000002</v>
      </c>
      <c r="H430">
        <v>298</v>
      </c>
      <c r="I430">
        <v>299.77</v>
      </c>
      <c r="J430">
        <v>444.2</v>
      </c>
      <c r="K430">
        <v>297.10000000000002</v>
      </c>
      <c r="L430" s="4">
        <v>17851126</v>
      </c>
      <c r="M430" s="3">
        <v>5351244310.0500002</v>
      </c>
      <c r="N430" s="4">
        <v>246450</v>
      </c>
      <c r="O430">
        <f t="shared" si="6"/>
        <v>-1.9898043085018947E-2</v>
      </c>
    </row>
    <row r="431" spans="1:15" ht="14.25" customHeight="1" x14ac:dyDescent="0.3">
      <c r="A431" s="2">
        <v>46101</v>
      </c>
      <c r="B431" t="s">
        <v>15</v>
      </c>
      <c r="C431">
        <v>301.05</v>
      </c>
      <c r="D431">
        <v>308.75</v>
      </c>
      <c r="E431">
        <v>298.14999999999998</v>
      </c>
      <c r="F431">
        <v>298</v>
      </c>
      <c r="G431">
        <v>299.8</v>
      </c>
      <c r="H431">
        <v>299.95</v>
      </c>
      <c r="I431">
        <v>303.3</v>
      </c>
      <c r="J431">
        <v>444.2</v>
      </c>
      <c r="K431">
        <v>297.10000000000002</v>
      </c>
      <c r="L431" s="4">
        <v>58679529</v>
      </c>
      <c r="M431" s="3">
        <v>17797484427.150002</v>
      </c>
      <c r="N431" s="4">
        <v>341612</v>
      </c>
      <c r="O431">
        <f t="shared" si="6"/>
        <v>6.5436241610737876E-3</v>
      </c>
    </row>
    <row r="432" spans="1:15" ht="14.25" customHeight="1" x14ac:dyDescent="0.3">
      <c r="A432" s="2">
        <v>46104</v>
      </c>
      <c r="B432" t="s">
        <v>15</v>
      </c>
      <c r="C432">
        <v>298.89999999999998</v>
      </c>
      <c r="D432">
        <v>299</v>
      </c>
      <c r="E432">
        <v>289.55</v>
      </c>
      <c r="F432">
        <v>299.95</v>
      </c>
      <c r="G432">
        <v>290.95</v>
      </c>
      <c r="H432">
        <v>290.45</v>
      </c>
      <c r="I432">
        <v>291.99</v>
      </c>
      <c r="J432">
        <v>444.2</v>
      </c>
      <c r="K432">
        <v>289.55</v>
      </c>
      <c r="L432" s="4">
        <v>31788160</v>
      </c>
      <c r="M432" s="3">
        <v>9281862168.3500004</v>
      </c>
      <c r="N432" s="4">
        <v>379322</v>
      </c>
      <c r="O432">
        <f t="shared" si="6"/>
        <v>-3.1671945324220706E-2</v>
      </c>
    </row>
    <row r="433" spans="1:15" ht="14.25" customHeight="1" x14ac:dyDescent="0.3">
      <c r="A433" s="2">
        <v>46105</v>
      </c>
      <c r="B433" t="s">
        <v>15</v>
      </c>
      <c r="C433">
        <v>295.95</v>
      </c>
      <c r="D433">
        <v>296</v>
      </c>
      <c r="E433">
        <v>288.75</v>
      </c>
      <c r="F433">
        <v>290.45</v>
      </c>
      <c r="G433">
        <v>292.3</v>
      </c>
      <c r="H433">
        <v>291.25</v>
      </c>
      <c r="I433">
        <v>290.76</v>
      </c>
      <c r="J433">
        <v>444.2</v>
      </c>
      <c r="K433">
        <v>288.75</v>
      </c>
      <c r="L433" s="4">
        <v>33335721</v>
      </c>
      <c r="M433" s="3">
        <v>9692840542.6000004</v>
      </c>
      <c r="N433" s="4">
        <v>221679</v>
      </c>
      <c r="O433">
        <f t="shared" si="6"/>
        <v>2.7543467033913287E-3</v>
      </c>
    </row>
    <row r="434" spans="1:15" ht="14.25" customHeight="1" x14ac:dyDescent="0.3">
      <c r="A434" s="2">
        <v>46106</v>
      </c>
      <c r="B434" t="s">
        <v>15</v>
      </c>
      <c r="C434">
        <v>292.7</v>
      </c>
      <c r="D434">
        <v>298.5</v>
      </c>
      <c r="E434">
        <v>292.25</v>
      </c>
      <c r="F434">
        <v>291.25</v>
      </c>
      <c r="G434">
        <v>295.75</v>
      </c>
      <c r="H434">
        <v>295.7</v>
      </c>
      <c r="I434">
        <v>296.42</v>
      </c>
      <c r="J434">
        <v>444.2</v>
      </c>
      <c r="K434">
        <v>288.75</v>
      </c>
      <c r="L434" s="4">
        <v>26184716</v>
      </c>
      <c r="M434" s="3">
        <v>7761778320.6000004</v>
      </c>
      <c r="N434" s="4">
        <v>181458</v>
      </c>
      <c r="O434">
        <f t="shared" si="6"/>
        <v>1.5278969957081506E-2</v>
      </c>
    </row>
    <row r="435" spans="1:15" ht="14.25" customHeight="1" x14ac:dyDescent="0.3">
      <c r="A435" s="2">
        <v>46108</v>
      </c>
      <c r="B435" t="s">
        <v>15</v>
      </c>
      <c r="C435">
        <v>294.7</v>
      </c>
      <c r="D435">
        <v>296.85000000000002</v>
      </c>
      <c r="E435">
        <v>291.55</v>
      </c>
      <c r="F435">
        <v>295.7</v>
      </c>
      <c r="G435">
        <v>294.55</v>
      </c>
      <c r="H435">
        <v>294.7</v>
      </c>
      <c r="I435">
        <v>294.29000000000002</v>
      </c>
      <c r="J435">
        <v>444.2</v>
      </c>
      <c r="K435">
        <v>288.75</v>
      </c>
      <c r="L435" s="4">
        <v>22179022</v>
      </c>
      <c r="M435" s="3">
        <v>6527161794.4499998</v>
      </c>
      <c r="N435" s="4">
        <v>181894</v>
      </c>
      <c r="O435">
        <f t="shared" si="6"/>
        <v>-3.3818058843422391E-3</v>
      </c>
    </row>
    <row r="436" spans="1:15" ht="14.25" customHeight="1" x14ac:dyDescent="0.3">
      <c r="A436" s="2">
        <v>46111</v>
      </c>
      <c r="B436" t="s">
        <v>15</v>
      </c>
      <c r="C436">
        <v>293.60000000000002</v>
      </c>
      <c r="D436">
        <v>294.45</v>
      </c>
      <c r="E436">
        <v>287</v>
      </c>
      <c r="F436">
        <v>294.7</v>
      </c>
      <c r="G436">
        <v>288.5</v>
      </c>
      <c r="H436">
        <v>287.7</v>
      </c>
      <c r="I436">
        <v>290.13</v>
      </c>
      <c r="J436">
        <v>444.2</v>
      </c>
      <c r="K436">
        <v>287</v>
      </c>
      <c r="L436" s="4">
        <v>24586921</v>
      </c>
      <c r="M436" s="3">
        <v>7133459794.75</v>
      </c>
      <c r="N436" s="4">
        <v>212496</v>
      </c>
      <c r="O436">
        <f t="shared" si="6"/>
        <v>-2.3752969121140142E-2</v>
      </c>
    </row>
    <row r="437" spans="1:15" ht="14.25" customHeight="1" x14ac:dyDescent="0.3">
      <c r="A437" s="2">
        <v>46113</v>
      </c>
      <c r="B437" t="s">
        <v>15</v>
      </c>
      <c r="C437">
        <v>293</v>
      </c>
      <c r="D437">
        <v>294.45</v>
      </c>
      <c r="E437">
        <v>290.89999999999998</v>
      </c>
      <c r="F437">
        <v>287.7</v>
      </c>
      <c r="G437">
        <v>292.2</v>
      </c>
      <c r="H437">
        <v>291.7</v>
      </c>
      <c r="I437">
        <v>292.47000000000003</v>
      </c>
      <c r="J437">
        <v>444.2</v>
      </c>
      <c r="K437">
        <v>287</v>
      </c>
      <c r="L437" s="4">
        <v>18604340</v>
      </c>
      <c r="M437" s="3">
        <v>5441167899.3000002</v>
      </c>
      <c r="N437" s="4">
        <v>140075</v>
      </c>
      <c r="O437">
        <f t="shared" si="6"/>
        <v>1.3903371567605145E-2</v>
      </c>
    </row>
    <row r="438" spans="1:15" ht="14.25" customHeight="1" x14ac:dyDescent="0.3">
      <c r="A438" s="2">
        <v>46114</v>
      </c>
      <c r="B438" t="s">
        <v>15</v>
      </c>
      <c r="C438">
        <v>290.25</v>
      </c>
      <c r="D438">
        <v>293.64999999999998</v>
      </c>
      <c r="E438">
        <v>288.39999999999998</v>
      </c>
      <c r="F438">
        <v>291.7</v>
      </c>
      <c r="G438">
        <v>292.3</v>
      </c>
      <c r="H438">
        <v>292.85000000000002</v>
      </c>
      <c r="I438">
        <v>291.13</v>
      </c>
      <c r="J438">
        <v>444.2</v>
      </c>
      <c r="K438">
        <v>287</v>
      </c>
      <c r="L438" s="4">
        <v>18082775</v>
      </c>
      <c r="M438" s="3">
        <v>5264458303.1499996</v>
      </c>
      <c r="N438" s="4">
        <v>197613</v>
      </c>
      <c r="O438">
        <f t="shared" si="6"/>
        <v>3.9424065821050194E-3</v>
      </c>
    </row>
    <row r="439" spans="1:15" ht="14.25" customHeight="1" x14ac:dyDescent="0.3">
      <c r="A439" s="2">
        <v>46118</v>
      </c>
      <c r="B439" t="s">
        <v>15</v>
      </c>
      <c r="C439">
        <v>293</v>
      </c>
      <c r="D439">
        <v>295.35000000000002</v>
      </c>
      <c r="E439">
        <v>290.25</v>
      </c>
      <c r="F439">
        <v>292.85000000000002</v>
      </c>
      <c r="G439">
        <v>294.8</v>
      </c>
      <c r="H439">
        <v>294.85000000000002</v>
      </c>
      <c r="I439">
        <v>292.85000000000002</v>
      </c>
      <c r="J439">
        <v>444.2</v>
      </c>
      <c r="K439">
        <v>287</v>
      </c>
      <c r="L439" s="4">
        <v>18047063</v>
      </c>
      <c r="M439" s="3">
        <v>5285163130.8000002</v>
      </c>
      <c r="N439" s="4">
        <v>215231</v>
      </c>
      <c r="O439">
        <f t="shared" si="6"/>
        <v>6.8294348642649813E-3</v>
      </c>
    </row>
    <row r="440" spans="1:15" ht="14.25" customHeight="1" x14ac:dyDescent="0.3">
      <c r="A440" s="2">
        <v>46119</v>
      </c>
      <c r="B440" t="s">
        <v>15</v>
      </c>
      <c r="C440">
        <v>294.14999999999998</v>
      </c>
      <c r="D440">
        <v>299</v>
      </c>
      <c r="E440">
        <v>292.75</v>
      </c>
      <c r="F440">
        <v>294.85000000000002</v>
      </c>
      <c r="G440">
        <v>298.64999999999998</v>
      </c>
      <c r="H440">
        <v>298.45</v>
      </c>
      <c r="I440">
        <v>297.08999999999997</v>
      </c>
      <c r="J440">
        <v>444.2</v>
      </c>
      <c r="K440">
        <v>287</v>
      </c>
      <c r="L440" s="4">
        <v>26963485</v>
      </c>
      <c r="M440" s="3">
        <v>8010671591.6000004</v>
      </c>
      <c r="N440" s="4">
        <v>210320</v>
      </c>
      <c r="O440">
        <f t="shared" si="6"/>
        <v>1.2209598100729068E-2</v>
      </c>
    </row>
    <row r="441" spans="1:15" ht="14.25" customHeight="1" x14ac:dyDescent="0.3">
      <c r="A441" s="2">
        <v>46120</v>
      </c>
      <c r="B441" t="s">
        <v>15</v>
      </c>
      <c r="C441">
        <v>303.89999999999998</v>
      </c>
      <c r="D441">
        <v>304.60000000000002</v>
      </c>
      <c r="E441">
        <v>301.55</v>
      </c>
      <c r="F441">
        <v>298.45</v>
      </c>
      <c r="G441">
        <v>302.3</v>
      </c>
      <c r="H441">
        <v>302.45</v>
      </c>
      <c r="I441">
        <v>303.06</v>
      </c>
      <c r="J441">
        <v>444.2</v>
      </c>
      <c r="K441">
        <v>287</v>
      </c>
      <c r="L441" s="4">
        <v>22310207</v>
      </c>
      <c r="M441" s="3">
        <v>6761268279.1000004</v>
      </c>
      <c r="N441" s="4">
        <v>180186</v>
      </c>
      <c r="O441">
        <f t="shared" si="6"/>
        <v>1.3402579996649356E-2</v>
      </c>
    </row>
    <row r="442" spans="1:15" ht="14.25" customHeight="1" x14ac:dyDescent="0.3">
      <c r="A442" s="2">
        <v>46121</v>
      </c>
      <c r="B442" t="s">
        <v>15</v>
      </c>
      <c r="C442">
        <v>301.5</v>
      </c>
      <c r="D442">
        <v>304.39999999999998</v>
      </c>
      <c r="E442">
        <v>301.25</v>
      </c>
      <c r="F442">
        <v>302.45</v>
      </c>
      <c r="G442">
        <v>303</v>
      </c>
      <c r="H442">
        <v>303</v>
      </c>
      <c r="I442">
        <v>303.14</v>
      </c>
      <c r="J442">
        <v>444.2</v>
      </c>
      <c r="K442">
        <v>287</v>
      </c>
      <c r="L442" s="4">
        <v>17691477</v>
      </c>
      <c r="M442" s="3">
        <v>5363059735.75</v>
      </c>
      <c r="N442" s="4">
        <v>176075</v>
      </c>
      <c r="O442">
        <f t="shared" si="6"/>
        <v>1.8184823937841342E-3</v>
      </c>
    </row>
    <row r="443" spans="1:15" ht="14.25" customHeight="1" x14ac:dyDescent="0.3">
      <c r="A443" s="2">
        <v>46122</v>
      </c>
      <c r="B443" t="s">
        <v>15</v>
      </c>
      <c r="C443">
        <v>303</v>
      </c>
      <c r="D443">
        <v>305.39999999999998</v>
      </c>
      <c r="E443">
        <v>302.60000000000002</v>
      </c>
      <c r="F443">
        <v>303</v>
      </c>
      <c r="G443">
        <v>304.14999999999998</v>
      </c>
      <c r="H443">
        <v>304.25</v>
      </c>
      <c r="I443">
        <v>304.07</v>
      </c>
      <c r="J443">
        <v>444.2</v>
      </c>
      <c r="K443">
        <v>287</v>
      </c>
      <c r="L443" s="4">
        <v>17744386</v>
      </c>
      <c r="M443" s="3">
        <v>5395529037.8999996</v>
      </c>
      <c r="N443" s="4">
        <v>124063</v>
      </c>
      <c r="O443">
        <f t="shared" si="6"/>
        <v>4.125412541254125E-3</v>
      </c>
    </row>
    <row r="444" spans="1:15" ht="14.25" customHeight="1" x14ac:dyDescent="0.3">
      <c r="A444" s="2">
        <v>46125</v>
      </c>
      <c r="B444" t="s">
        <v>15</v>
      </c>
      <c r="C444">
        <v>300</v>
      </c>
      <c r="D444">
        <v>301.45</v>
      </c>
      <c r="E444">
        <v>298.10000000000002</v>
      </c>
      <c r="F444">
        <v>304.25</v>
      </c>
      <c r="G444">
        <v>298.89999999999998</v>
      </c>
      <c r="H444">
        <v>298.64999999999998</v>
      </c>
      <c r="I444">
        <v>299.44</v>
      </c>
      <c r="J444">
        <v>444.2</v>
      </c>
      <c r="K444">
        <v>287</v>
      </c>
      <c r="L444" s="4">
        <v>16522014</v>
      </c>
      <c r="M444" s="3">
        <v>4947377826.6999998</v>
      </c>
      <c r="N444" s="4">
        <v>180968</v>
      </c>
      <c r="O444">
        <f t="shared" si="6"/>
        <v>-1.8405916187346008E-2</v>
      </c>
    </row>
    <row r="445" spans="1:15" ht="14.25" customHeight="1" x14ac:dyDescent="0.3">
      <c r="A445" s="2">
        <v>46127</v>
      </c>
      <c r="B445" t="s">
        <v>15</v>
      </c>
      <c r="C445">
        <v>300.7</v>
      </c>
      <c r="D445">
        <v>304</v>
      </c>
      <c r="E445">
        <v>300.55</v>
      </c>
      <c r="F445">
        <v>298.64999999999998</v>
      </c>
      <c r="G445">
        <v>302.2</v>
      </c>
      <c r="H445">
        <v>302.05</v>
      </c>
      <c r="I445">
        <v>302.42</v>
      </c>
      <c r="J445">
        <v>444.2</v>
      </c>
      <c r="K445">
        <v>287</v>
      </c>
      <c r="L445" s="4">
        <v>18701403</v>
      </c>
      <c r="M445" s="3">
        <v>5655682695.8000002</v>
      </c>
      <c r="N445" s="4">
        <v>192295</v>
      </c>
      <c r="O445">
        <f t="shared" si="6"/>
        <v>1.138456387075183E-2</v>
      </c>
    </row>
    <row r="446" spans="1:15" ht="14.25" customHeight="1" x14ac:dyDescent="0.3">
      <c r="A446" s="2">
        <v>46128</v>
      </c>
      <c r="B446" t="s">
        <v>15</v>
      </c>
      <c r="C446">
        <v>302.95</v>
      </c>
      <c r="D446">
        <v>305.35000000000002</v>
      </c>
      <c r="E446">
        <v>301.85000000000002</v>
      </c>
      <c r="F446">
        <v>302.05</v>
      </c>
      <c r="G446">
        <v>303.95</v>
      </c>
      <c r="H446">
        <v>303.39999999999998</v>
      </c>
      <c r="I446">
        <v>303.23</v>
      </c>
      <c r="J446">
        <v>444.2</v>
      </c>
      <c r="K446">
        <v>287</v>
      </c>
      <c r="L446" s="4">
        <v>16512053</v>
      </c>
      <c r="M446" s="3">
        <v>5006884013.4499998</v>
      </c>
      <c r="N446" s="4">
        <v>169617</v>
      </c>
      <c r="O446">
        <f t="shared" si="6"/>
        <v>4.4694586988907993E-3</v>
      </c>
    </row>
    <row r="447" spans="1:15" ht="14.25" customHeight="1" x14ac:dyDescent="0.3">
      <c r="A447" s="2">
        <v>46129</v>
      </c>
      <c r="B447" t="s">
        <v>15</v>
      </c>
      <c r="C447">
        <v>303.85000000000002</v>
      </c>
      <c r="D447">
        <v>309.95</v>
      </c>
      <c r="E447">
        <v>303.85000000000002</v>
      </c>
      <c r="F447">
        <v>303.39999999999998</v>
      </c>
      <c r="G447">
        <v>307</v>
      </c>
      <c r="H447">
        <v>306.8</v>
      </c>
      <c r="I447">
        <v>307.52</v>
      </c>
      <c r="J447">
        <v>444.2</v>
      </c>
      <c r="K447">
        <v>287</v>
      </c>
      <c r="L447" s="4">
        <v>35111203</v>
      </c>
      <c r="M447" s="3">
        <v>10797329192.4</v>
      </c>
      <c r="N447" s="4">
        <v>249619</v>
      </c>
      <c r="O447">
        <f t="shared" si="6"/>
        <v>1.1206328279499125E-2</v>
      </c>
    </row>
    <row r="448" spans="1:15" ht="14.25" customHeight="1" x14ac:dyDescent="0.3">
      <c r="A448" s="2">
        <v>46132</v>
      </c>
      <c r="B448" t="s">
        <v>15</v>
      </c>
      <c r="C448">
        <v>307</v>
      </c>
      <c r="D448">
        <v>307.95</v>
      </c>
      <c r="E448">
        <v>304.45</v>
      </c>
      <c r="F448">
        <v>306.8</v>
      </c>
      <c r="G448">
        <v>304.89999999999998</v>
      </c>
      <c r="H448">
        <v>305</v>
      </c>
      <c r="I448">
        <v>306.08999999999997</v>
      </c>
      <c r="J448">
        <v>444.2</v>
      </c>
      <c r="K448">
        <v>287</v>
      </c>
      <c r="L448" s="4">
        <v>13540471</v>
      </c>
      <c r="M448" s="3">
        <v>4144592967.8000002</v>
      </c>
      <c r="N448" s="4">
        <v>122052</v>
      </c>
      <c r="O448">
        <f t="shared" si="6"/>
        <v>-5.8670143415906493E-3</v>
      </c>
    </row>
    <row r="449" spans="1:15" ht="14.25" customHeight="1" x14ac:dyDescent="0.3">
      <c r="A449" s="2">
        <v>46133</v>
      </c>
      <c r="B449" t="s">
        <v>15</v>
      </c>
      <c r="C449">
        <v>305</v>
      </c>
      <c r="D449">
        <v>311.10000000000002</v>
      </c>
      <c r="E449">
        <v>304.55</v>
      </c>
      <c r="F449">
        <v>305</v>
      </c>
      <c r="G449">
        <v>310.14999999999998</v>
      </c>
      <c r="H449">
        <v>309.64999999999998</v>
      </c>
      <c r="I449">
        <v>306.95999999999998</v>
      </c>
      <c r="J449">
        <v>444.2</v>
      </c>
      <c r="K449">
        <v>287</v>
      </c>
      <c r="L449" s="4">
        <v>24411865</v>
      </c>
      <c r="M449" s="3">
        <v>7493498723.5</v>
      </c>
      <c r="N449" s="4">
        <v>182624</v>
      </c>
      <c r="O449">
        <f t="shared" si="6"/>
        <v>1.5245901639344188E-2</v>
      </c>
    </row>
    <row r="450" spans="1:15" ht="14.25" customHeight="1" x14ac:dyDescent="0.3">
      <c r="A450" s="2">
        <v>46134</v>
      </c>
      <c r="B450" t="s">
        <v>15</v>
      </c>
      <c r="C450">
        <v>310</v>
      </c>
      <c r="D450">
        <v>310.55</v>
      </c>
      <c r="E450">
        <v>305.10000000000002</v>
      </c>
      <c r="F450">
        <v>309.64999999999998</v>
      </c>
      <c r="G450">
        <v>305.5</v>
      </c>
      <c r="H450">
        <v>305.5</v>
      </c>
      <c r="I450">
        <v>306.39</v>
      </c>
      <c r="J450">
        <v>444.2</v>
      </c>
      <c r="K450">
        <v>287</v>
      </c>
      <c r="L450" s="4">
        <v>24500511</v>
      </c>
      <c r="M450" s="3">
        <v>7506809236</v>
      </c>
      <c r="N450" s="4">
        <v>165832</v>
      </c>
      <c r="O450">
        <f t="shared" si="6"/>
        <v>-1.3402228322299297E-2</v>
      </c>
    </row>
    <row r="451" spans="1:15" ht="14.25" customHeight="1" x14ac:dyDescent="0.3">
      <c r="A451" s="2">
        <v>46135</v>
      </c>
      <c r="B451" t="s">
        <v>15</v>
      </c>
      <c r="C451">
        <v>304</v>
      </c>
      <c r="D451">
        <v>306.35000000000002</v>
      </c>
      <c r="E451">
        <v>303.25</v>
      </c>
      <c r="F451">
        <v>305.5</v>
      </c>
      <c r="G451">
        <v>305.35000000000002</v>
      </c>
      <c r="H451">
        <v>305.3</v>
      </c>
      <c r="I451">
        <v>305</v>
      </c>
      <c r="J451">
        <v>444.2</v>
      </c>
      <c r="K451">
        <v>287</v>
      </c>
      <c r="L451" s="4">
        <v>10701849</v>
      </c>
      <c r="M451" s="3">
        <v>3264104449.5500002</v>
      </c>
      <c r="N451" s="4">
        <v>95400</v>
      </c>
      <c r="O451">
        <f t="shared" ref="O451:O496" si="7">(H451-H450)/H450</f>
        <v>-6.5466448445168125E-4</v>
      </c>
    </row>
    <row r="452" spans="1:15" ht="14.25" customHeight="1" x14ac:dyDescent="0.3">
      <c r="A452" s="2">
        <v>46136</v>
      </c>
      <c r="B452" t="s">
        <v>15</v>
      </c>
      <c r="C452">
        <v>306.64999999999998</v>
      </c>
      <c r="D452">
        <v>306.64999999999998</v>
      </c>
      <c r="E452">
        <v>301.10000000000002</v>
      </c>
      <c r="F452">
        <v>305.3</v>
      </c>
      <c r="G452">
        <v>301.45</v>
      </c>
      <c r="H452">
        <v>301.60000000000002</v>
      </c>
      <c r="I452">
        <v>303.02</v>
      </c>
      <c r="J452">
        <v>444.2</v>
      </c>
      <c r="K452">
        <v>287</v>
      </c>
      <c r="L452" s="4">
        <v>17011704</v>
      </c>
      <c r="M452" s="3">
        <v>5154966360.8000002</v>
      </c>
      <c r="N452" s="4">
        <v>165949</v>
      </c>
      <c r="O452">
        <f t="shared" si="7"/>
        <v>-1.2119226989846016E-2</v>
      </c>
    </row>
    <row r="453" spans="1:15" ht="14.25" customHeight="1" x14ac:dyDescent="0.3">
      <c r="A453" s="2">
        <v>46139</v>
      </c>
      <c r="B453" t="s">
        <v>15</v>
      </c>
      <c r="C453">
        <v>303.64999999999998</v>
      </c>
      <c r="D453">
        <v>305.64999999999998</v>
      </c>
      <c r="E453">
        <v>302.85000000000002</v>
      </c>
      <c r="F453">
        <v>301.60000000000002</v>
      </c>
      <c r="G453">
        <v>304</v>
      </c>
      <c r="H453">
        <v>303.85000000000002</v>
      </c>
      <c r="I453">
        <v>304.12</v>
      </c>
      <c r="J453">
        <v>444.2</v>
      </c>
      <c r="K453">
        <v>287</v>
      </c>
      <c r="L453" s="4">
        <v>14382348</v>
      </c>
      <c r="M453" s="3">
        <v>4373975412.5</v>
      </c>
      <c r="N453" s="4">
        <v>118826</v>
      </c>
      <c r="O453">
        <f t="shared" si="7"/>
        <v>7.4602122015915116E-3</v>
      </c>
    </row>
    <row r="454" spans="1:15" ht="14.25" customHeight="1" x14ac:dyDescent="0.3">
      <c r="A454" s="2">
        <v>46140</v>
      </c>
      <c r="B454" t="s">
        <v>15</v>
      </c>
      <c r="C454">
        <v>304.39999999999998</v>
      </c>
      <c r="D454">
        <v>305.8</v>
      </c>
      <c r="E454">
        <v>302.55</v>
      </c>
      <c r="F454">
        <v>303.85000000000002</v>
      </c>
      <c r="G454">
        <v>304.25</v>
      </c>
      <c r="H454">
        <v>304.45</v>
      </c>
      <c r="I454">
        <v>304.67</v>
      </c>
      <c r="J454">
        <v>444.2</v>
      </c>
      <c r="K454">
        <v>287</v>
      </c>
      <c r="L454" s="4">
        <v>12907339</v>
      </c>
      <c r="M454" s="3">
        <v>3932414488.9000001</v>
      </c>
      <c r="N454" s="4">
        <v>106023</v>
      </c>
      <c r="O454">
        <f t="shared" si="7"/>
        <v>1.9746585486258542E-3</v>
      </c>
    </row>
    <row r="455" spans="1:15" ht="14.25" customHeight="1" x14ac:dyDescent="0.3">
      <c r="A455" s="2">
        <v>46141</v>
      </c>
      <c r="B455" t="s">
        <v>15</v>
      </c>
      <c r="C455">
        <v>305.10000000000002</v>
      </c>
      <c r="D455">
        <v>317.5</v>
      </c>
      <c r="E455">
        <v>305.10000000000002</v>
      </c>
      <c r="F455">
        <v>304.45</v>
      </c>
      <c r="G455">
        <v>316</v>
      </c>
      <c r="H455">
        <v>316.25</v>
      </c>
      <c r="I455">
        <v>313.93</v>
      </c>
      <c r="J455">
        <v>444.2</v>
      </c>
      <c r="K455">
        <v>287</v>
      </c>
      <c r="L455" s="4">
        <v>31199038</v>
      </c>
      <c r="M455" s="3">
        <v>9794300607.1499996</v>
      </c>
      <c r="N455" s="4">
        <v>209945</v>
      </c>
      <c r="O455">
        <f t="shared" si="7"/>
        <v>3.8758416817211407E-2</v>
      </c>
    </row>
    <row r="456" spans="1:15" ht="14.25" customHeight="1" x14ac:dyDescent="0.3">
      <c r="A456" s="2">
        <v>46142</v>
      </c>
      <c r="B456" t="s">
        <v>15</v>
      </c>
      <c r="C456">
        <v>316.25</v>
      </c>
      <c r="D456">
        <v>317.5</v>
      </c>
      <c r="E456">
        <v>313.3</v>
      </c>
      <c r="F456">
        <v>316.25</v>
      </c>
      <c r="G456">
        <v>315.2</v>
      </c>
      <c r="H456">
        <v>314.89999999999998</v>
      </c>
      <c r="I456">
        <v>315.35000000000002</v>
      </c>
      <c r="J456">
        <v>444.2</v>
      </c>
      <c r="K456">
        <v>287</v>
      </c>
      <c r="L456" s="4">
        <v>11541956</v>
      </c>
      <c r="M456" s="3">
        <v>3639810221.8000002</v>
      </c>
      <c r="N456" s="4">
        <v>147148</v>
      </c>
      <c r="O456">
        <f t="shared" si="7"/>
        <v>-4.2687747035573846E-3</v>
      </c>
    </row>
    <row r="457" spans="1:15" ht="14.25" customHeight="1" x14ac:dyDescent="0.3">
      <c r="A457" s="2">
        <v>46146</v>
      </c>
      <c r="B457" t="s">
        <v>15</v>
      </c>
      <c r="C457">
        <v>317.89999999999998</v>
      </c>
      <c r="D457">
        <v>317.89999999999998</v>
      </c>
      <c r="E457">
        <v>310.5</v>
      </c>
      <c r="F457">
        <v>314.89999999999998</v>
      </c>
      <c r="G457">
        <v>311.39999999999998</v>
      </c>
      <c r="H457">
        <v>311.10000000000002</v>
      </c>
      <c r="I457">
        <v>313.63</v>
      </c>
      <c r="J457">
        <v>444.2</v>
      </c>
      <c r="K457">
        <v>287</v>
      </c>
      <c r="L457" s="4">
        <v>20245091</v>
      </c>
      <c r="M457" s="3">
        <v>6349509910.6499996</v>
      </c>
      <c r="N457" s="4">
        <v>175168</v>
      </c>
      <c r="O457">
        <f t="shared" si="7"/>
        <v>-1.2067322959669592E-2</v>
      </c>
    </row>
    <row r="458" spans="1:15" ht="14.25" customHeight="1" x14ac:dyDescent="0.3">
      <c r="A458" s="2">
        <v>46147</v>
      </c>
      <c r="B458" t="s">
        <v>15</v>
      </c>
      <c r="C458">
        <v>311.10000000000002</v>
      </c>
      <c r="D458">
        <v>313.7</v>
      </c>
      <c r="E458">
        <v>309.64999999999998</v>
      </c>
      <c r="F458">
        <v>311.10000000000002</v>
      </c>
      <c r="G458">
        <v>310.35000000000002</v>
      </c>
      <c r="H458">
        <v>311.45</v>
      </c>
      <c r="I458">
        <v>311.49</v>
      </c>
      <c r="J458">
        <v>444.2</v>
      </c>
      <c r="K458">
        <v>287</v>
      </c>
      <c r="L458" s="4">
        <v>26795704</v>
      </c>
      <c r="M458" s="3">
        <v>8346571651.8999996</v>
      </c>
      <c r="N458" s="4">
        <v>174972</v>
      </c>
      <c r="O458">
        <f t="shared" si="7"/>
        <v>1.125040180006319E-3</v>
      </c>
    </row>
    <row r="459" spans="1:15" ht="14.25" customHeight="1" x14ac:dyDescent="0.3">
      <c r="A459" s="2">
        <v>46148</v>
      </c>
      <c r="B459" t="s">
        <v>15</v>
      </c>
      <c r="C459">
        <v>312.8</v>
      </c>
      <c r="D459">
        <v>313.60000000000002</v>
      </c>
      <c r="E459">
        <v>309.25</v>
      </c>
      <c r="F459">
        <v>311.45</v>
      </c>
      <c r="G459">
        <v>310.75</v>
      </c>
      <c r="H459">
        <v>310.7</v>
      </c>
      <c r="I459">
        <v>310.74</v>
      </c>
      <c r="J459">
        <v>444.2</v>
      </c>
      <c r="K459">
        <v>287</v>
      </c>
      <c r="L459" s="4">
        <v>20287609</v>
      </c>
      <c r="M459" s="3">
        <v>6304184013.1499996</v>
      </c>
      <c r="N459" s="4">
        <v>252328</v>
      </c>
      <c r="O459">
        <f t="shared" si="7"/>
        <v>-2.4080911863862578E-3</v>
      </c>
    </row>
    <row r="460" spans="1:15" ht="14.25" customHeight="1" x14ac:dyDescent="0.3">
      <c r="A460" s="2">
        <v>46149</v>
      </c>
      <c r="B460" t="s">
        <v>15</v>
      </c>
      <c r="C460">
        <v>311.45</v>
      </c>
      <c r="D460">
        <v>311.64999999999998</v>
      </c>
      <c r="E460">
        <v>307</v>
      </c>
      <c r="F460">
        <v>310.7</v>
      </c>
      <c r="G460">
        <v>307.55</v>
      </c>
      <c r="H460">
        <v>307.39999999999998</v>
      </c>
      <c r="I460">
        <v>308.52</v>
      </c>
      <c r="J460">
        <v>444.2</v>
      </c>
      <c r="K460">
        <v>287</v>
      </c>
      <c r="L460" s="4">
        <v>25718615</v>
      </c>
      <c r="M460" s="3">
        <v>7934745387.1499996</v>
      </c>
      <c r="N460" s="4">
        <v>180779</v>
      </c>
      <c r="O460">
        <f t="shared" si="7"/>
        <v>-1.0621177985194758E-2</v>
      </c>
    </row>
    <row r="461" spans="1:15" ht="14.25" customHeight="1" x14ac:dyDescent="0.3">
      <c r="A461" s="2">
        <v>46150</v>
      </c>
      <c r="B461" t="s">
        <v>15</v>
      </c>
      <c r="C461">
        <v>308.89999999999998</v>
      </c>
      <c r="D461">
        <v>308.89999999999998</v>
      </c>
      <c r="E461">
        <v>305.7</v>
      </c>
      <c r="F461">
        <v>307.39999999999998</v>
      </c>
      <c r="G461">
        <v>307.2</v>
      </c>
      <c r="H461">
        <v>307.45</v>
      </c>
      <c r="I461">
        <v>307.26</v>
      </c>
      <c r="J461">
        <v>444.2</v>
      </c>
      <c r="K461">
        <v>287</v>
      </c>
      <c r="L461" s="4">
        <v>17739844</v>
      </c>
      <c r="M461" s="3">
        <v>5450689616.1999998</v>
      </c>
      <c r="N461" s="4">
        <v>156205</v>
      </c>
      <c r="O461">
        <f t="shared" si="7"/>
        <v>1.626545217957429E-4</v>
      </c>
    </row>
    <row r="462" spans="1:15" ht="14.25" customHeight="1" x14ac:dyDescent="0.3">
      <c r="A462" s="2">
        <v>46153</v>
      </c>
      <c r="B462" t="s">
        <v>15</v>
      </c>
      <c r="C462">
        <v>307</v>
      </c>
      <c r="D462">
        <v>308</v>
      </c>
      <c r="E462">
        <v>305.14999999999998</v>
      </c>
      <c r="F462">
        <v>307.45</v>
      </c>
      <c r="G462">
        <v>305.7</v>
      </c>
      <c r="H462">
        <v>305.85000000000002</v>
      </c>
      <c r="I462">
        <v>306.7</v>
      </c>
      <c r="J462">
        <v>444.2</v>
      </c>
      <c r="K462">
        <v>287</v>
      </c>
      <c r="L462" s="4">
        <v>14968661</v>
      </c>
      <c r="M462" s="3">
        <v>4590923998.9499998</v>
      </c>
      <c r="N462" s="4">
        <v>158117</v>
      </c>
      <c r="O462">
        <f t="shared" si="7"/>
        <v>-5.2040982273539307E-3</v>
      </c>
    </row>
    <row r="463" spans="1:15" ht="14.25" customHeight="1" x14ac:dyDescent="0.3">
      <c r="A463" s="2">
        <v>46154</v>
      </c>
      <c r="B463" t="s">
        <v>15</v>
      </c>
      <c r="C463">
        <v>305.35000000000002</v>
      </c>
      <c r="D463">
        <v>306.25</v>
      </c>
      <c r="E463">
        <v>300.10000000000002</v>
      </c>
      <c r="F463">
        <v>305.85000000000002</v>
      </c>
      <c r="G463">
        <v>300.85000000000002</v>
      </c>
      <c r="H463">
        <v>300.7</v>
      </c>
      <c r="I463">
        <v>302.95</v>
      </c>
      <c r="J463">
        <v>444.2</v>
      </c>
      <c r="K463">
        <v>287</v>
      </c>
      <c r="L463" s="4">
        <v>15968338</v>
      </c>
      <c r="M463" s="3">
        <v>4837632219.6000004</v>
      </c>
      <c r="N463" s="4">
        <v>177484</v>
      </c>
      <c r="O463">
        <f t="shared" si="7"/>
        <v>-1.6838319437632938E-2</v>
      </c>
    </row>
    <row r="464" spans="1:15" ht="14.25" customHeight="1" x14ac:dyDescent="0.3">
      <c r="A464" s="2">
        <v>46155</v>
      </c>
      <c r="B464" t="s">
        <v>15</v>
      </c>
      <c r="C464">
        <v>302</v>
      </c>
      <c r="D464">
        <v>305.8</v>
      </c>
      <c r="E464">
        <v>301.05</v>
      </c>
      <c r="F464">
        <v>300.7</v>
      </c>
      <c r="G464">
        <v>304.8</v>
      </c>
      <c r="H464">
        <v>304.45</v>
      </c>
      <c r="I464">
        <v>304.3</v>
      </c>
      <c r="J464">
        <v>444.2</v>
      </c>
      <c r="K464">
        <v>287</v>
      </c>
      <c r="L464" s="4">
        <v>13024778</v>
      </c>
      <c r="M464" s="3">
        <v>3963453936.5</v>
      </c>
      <c r="N464" s="4">
        <v>188106</v>
      </c>
      <c r="O464">
        <f t="shared" si="7"/>
        <v>1.2470901230462255E-2</v>
      </c>
    </row>
    <row r="465" spans="1:15" ht="14.25" customHeight="1" x14ac:dyDescent="0.3">
      <c r="A465" s="2">
        <v>46156</v>
      </c>
      <c r="B465" t="s">
        <v>15</v>
      </c>
      <c r="C465">
        <v>305</v>
      </c>
      <c r="D465">
        <v>309.2</v>
      </c>
      <c r="E465">
        <v>304.85000000000002</v>
      </c>
      <c r="F465">
        <v>304.45</v>
      </c>
      <c r="G465">
        <v>307.2</v>
      </c>
      <c r="H465">
        <v>307.2</v>
      </c>
      <c r="I465">
        <v>307.57</v>
      </c>
      <c r="J465">
        <v>444.2</v>
      </c>
      <c r="K465">
        <v>287</v>
      </c>
      <c r="L465" s="4">
        <v>11113377</v>
      </c>
      <c r="M465" s="3">
        <v>3418176560.9499998</v>
      </c>
      <c r="N465" s="4">
        <v>314593</v>
      </c>
      <c r="O465">
        <f t="shared" si="7"/>
        <v>9.0326818853670564E-3</v>
      </c>
    </row>
    <row r="466" spans="1:15" ht="14.25" customHeight="1" x14ac:dyDescent="0.3">
      <c r="A466" s="2">
        <v>46157</v>
      </c>
      <c r="B466" t="s">
        <v>15</v>
      </c>
      <c r="C466">
        <v>307.2</v>
      </c>
      <c r="D466">
        <v>312.05</v>
      </c>
      <c r="E466">
        <v>306.3</v>
      </c>
      <c r="F466">
        <v>307.2</v>
      </c>
      <c r="G466">
        <v>309.2</v>
      </c>
      <c r="H466">
        <v>309.45</v>
      </c>
      <c r="I466">
        <v>309.49</v>
      </c>
      <c r="J466">
        <v>444.2</v>
      </c>
      <c r="K466">
        <v>287</v>
      </c>
      <c r="L466" s="4">
        <v>11954564</v>
      </c>
      <c r="M466" s="3">
        <v>3699769024.1500001</v>
      </c>
      <c r="N466" s="4">
        <v>185043</v>
      </c>
      <c r="O466">
        <f t="shared" si="7"/>
        <v>7.32421875E-3</v>
      </c>
    </row>
    <row r="467" spans="1:15" ht="14.25" customHeight="1" x14ac:dyDescent="0.3">
      <c r="A467" s="2">
        <v>46160</v>
      </c>
      <c r="B467" t="s">
        <v>15</v>
      </c>
      <c r="C467">
        <v>309.45</v>
      </c>
      <c r="D467">
        <v>312.3</v>
      </c>
      <c r="E467">
        <v>306.5</v>
      </c>
      <c r="F467">
        <v>309.45</v>
      </c>
      <c r="G467">
        <v>310.95</v>
      </c>
      <c r="H467">
        <v>310.14999999999998</v>
      </c>
      <c r="I467">
        <v>309.32</v>
      </c>
      <c r="J467">
        <v>444.2</v>
      </c>
      <c r="K467">
        <v>287</v>
      </c>
      <c r="L467" s="4">
        <v>14422870</v>
      </c>
      <c r="M467" s="3">
        <v>4461340381.8000002</v>
      </c>
      <c r="N467" s="4">
        <v>297156</v>
      </c>
      <c r="O467">
        <f t="shared" si="7"/>
        <v>2.2620778801098356E-3</v>
      </c>
    </row>
    <row r="468" spans="1:15" ht="14.25" customHeight="1" x14ac:dyDescent="0.3">
      <c r="A468" s="2">
        <v>46161</v>
      </c>
      <c r="B468" t="s">
        <v>15</v>
      </c>
      <c r="C468">
        <v>311.95</v>
      </c>
      <c r="D468">
        <v>314.25</v>
      </c>
      <c r="E468">
        <v>308.35000000000002</v>
      </c>
      <c r="F468">
        <v>310.14999999999998</v>
      </c>
      <c r="G468">
        <v>310</v>
      </c>
      <c r="H468">
        <v>310.3</v>
      </c>
      <c r="I468">
        <v>311.72000000000003</v>
      </c>
      <c r="J468">
        <v>444.2</v>
      </c>
      <c r="K468">
        <v>287</v>
      </c>
      <c r="L468" s="4">
        <v>17519355</v>
      </c>
      <c r="M468" s="3">
        <v>5461142698.9499998</v>
      </c>
      <c r="N468" s="4">
        <v>253592</v>
      </c>
      <c r="O468">
        <f t="shared" si="7"/>
        <v>4.8363694986307954E-4</v>
      </c>
    </row>
    <row r="469" spans="1:15" ht="14.25" customHeight="1" x14ac:dyDescent="0.3">
      <c r="A469" s="2">
        <v>46162</v>
      </c>
      <c r="B469" t="s">
        <v>15</v>
      </c>
      <c r="C469">
        <v>309</v>
      </c>
      <c r="D469">
        <v>309.64999999999998</v>
      </c>
      <c r="E469">
        <v>306.2</v>
      </c>
      <c r="F469">
        <v>310.3</v>
      </c>
      <c r="G469">
        <v>307.89999999999998</v>
      </c>
      <c r="H469">
        <v>307.55</v>
      </c>
      <c r="I469">
        <v>307.48</v>
      </c>
      <c r="J469">
        <v>444.2</v>
      </c>
      <c r="K469">
        <v>287</v>
      </c>
      <c r="L469" s="4">
        <v>12127920</v>
      </c>
      <c r="M469" s="3">
        <v>3729082939.1500001</v>
      </c>
      <c r="N469" s="4">
        <v>192330</v>
      </c>
      <c r="O469">
        <f t="shared" si="7"/>
        <v>-8.8623912342893976E-3</v>
      </c>
    </row>
    <row r="470" spans="1:15" ht="14.25" customHeight="1" x14ac:dyDescent="0.3">
      <c r="A470" s="2">
        <v>46163</v>
      </c>
      <c r="B470" t="s">
        <v>15</v>
      </c>
      <c r="C470">
        <v>309.85000000000002</v>
      </c>
      <c r="D470">
        <v>311.3</v>
      </c>
      <c r="E470">
        <v>305.8</v>
      </c>
      <c r="F470">
        <v>307.55</v>
      </c>
      <c r="G470">
        <v>307.64999999999998</v>
      </c>
      <c r="H470">
        <v>308.05</v>
      </c>
      <c r="I470">
        <v>307.94</v>
      </c>
      <c r="J470">
        <v>444.2</v>
      </c>
      <c r="K470">
        <v>287</v>
      </c>
      <c r="L470" s="4">
        <v>21868988</v>
      </c>
      <c r="M470" s="3">
        <v>6734348842.6000004</v>
      </c>
      <c r="N470" s="4">
        <v>230048</v>
      </c>
      <c r="O470">
        <f t="shared" si="7"/>
        <v>1.6257519102584946E-3</v>
      </c>
    </row>
    <row r="471" spans="1:15" ht="14.25" customHeight="1" x14ac:dyDescent="0.3">
      <c r="A471" s="2">
        <v>46164</v>
      </c>
      <c r="B471" t="s">
        <v>15</v>
      </c>
      <c r="C471">
        <v>305.89999999999998</v>
      </c>
      <c r="D471">
        <v>307</v>
      </c>
      <c r="E471">
        <v>301</v>
      </c>
      <c r="F471">
        <v>308.05</v>
      </c>
      <c r="G471">
        <v>302.05</v>
      </c>
      <c r="H471">
        <v>301.7</v>
      </c>
      <c r="I471">
        <v>303.66000000000003</v>
      </c>
      <c r="J471">
        <v>444.2</v>
      </c>
      <c r="K471">
        <v>287</v>
      </c>
      <c r="L471" s="4">
        <v>30751752</v>
      </c>
      <c r="M471" s="3">
        <v>9337967818.0499992</v>
      </c>
      <c r="N471" s="4">
        <v>339220</v>
      </c>
      <c r="O471">
        <f t="shared" si="7"/>
        <v>-2.0613536763512491E-2</v>
      </c>
    </row>
    <row r="472" spans="1:15" ht="14.25" customHeight="1" x14ac:dyDescent="0.3">
      <c r="A472" s="2">
        <v>46167</v>
      </c>
      <c r="B472" t="s">
        <v>15</v>
      </c>
      <c r="C472">
        <v>303.95</v>
      </c>
      <c r="D472">
        <v>305.5</v>
      </c>
      <c r="E472">
        <v>302.35000000000002</v>
      </c>
      <c r="F472">
        <v>301.7</v>
      </c>
      <c r="G472">
        <v>304.3</v>
      </c>
      <c r="H472">
        <v>303.95</v>
      </c>
      <c r="I472">
        <v>303.77999999999997</v>
      </c>
      <c r="J472">
        <v>444.2</v>
      </c>
      <c r="K472">
        <v>287</v>
      </c>
      <c r="L472" s="4">
        <v>15734247</v>
      </c>
      <c r="M472" s="3">
        <v>4779749001.5500002</v>
      </c>
      <c r="N472" s="4">
        <v>127469</v>
      </c>
      <c r="O472">
        <f t="shared" si="7"/>
        <v>7.4577394763009619E-3</v>
      </c>
    </row>
    <row r="473" spans="1:15" ht="14.25" customHeight="1" x14ac:dyDescent="0.3">
      <c r="A473" s="2">
        <v>46168</v>
      </c>
      <c r="B473" t="s">
        <v>15</v>
      </c>
      <c r="C473">
        <v>304.35000000000002</v>
      </c>
      <c r="D473">
        <v>304.39999999999998</v>
      </c>
      <c r="E473">
        <v>301.10000000000002</v>
      </c>
      <c r="F473">
        <v>303.95</v>
      </c>
      <c r="G473">
        <v>301.89999999999998</v>
      </c>
      <c r="H473">
        <v>301.64999999999998</v>
      </c>
      <c r="I473">
        <v>301.89</v>
      </c>
      <c r="J473">
        <v>444.2</v>
      </c>
      <c r="K473">
        <v>287</v>
      </c>
      <c r="L473" s="4">
        <v>37560542</v>
      </c>
      <c r="M473" s="3">
        <v>11339294994</v>
      </c>
      <c r="N473" s="4">
        <v>255684</v>
      </c>
      <c r="O473">
        <f t="shared" si="7"/>
        <v>-7.5670340516532705E-3</v>
      </c>
    </row>
    <row r="474" spans="1:15" ht="14.25" customHeight="1" x14ac:dyDescent="0.3">
      <c r="A474" s="2">
        <v>46169</v>
      </c>
      <c r="B474" t="s">
        <v>15</v>
      </c>
      <c r="C474">
        <v>295.64999999999998</v>
      </c>
      <c r="D474">
        <v>296.35000000000002</v>
      </c>
      <c r="E474">
        <v>291.05</v>
      </c>
      <c r="F474">
        <v>301.64999999999998</v>
      </c>
      <c r="G474">
        <v>292.25</v>
      </c>
      <c r="H474">
        <v>291.95</v>
      </c>
      <c r="I474">
        <v>292.91000000000003</v>
      </c>
      <c r="J474">
        <v>444.2</v>
      </c>
      <c r="K474">
        <v>287</v>
      </c>
      <c r="L474" s="4">
        <v>25446093</v>
      </c>
      <c r="M474" s="3">
        <v>7453413035.75</v>
      </c>
      <c r="N474" s="4">
        <v>382102</v>
      </c>
      <c r="O474">
        <f t="shared" si="7"/>
        <v>-3.2156472733300148E-2</v>
      </c>
    </row>
    <row r="475" spans="1:15" ht="14.25" customHeight="1" x14ac:dyDescent="0.3">
      <c r="A475" s="2">
        <v>46171</v>
      </c>
      <c r="B475" t="s">
        <v>15</v>
      </c>
      <c r="C475">
        <v>292</v>
      </c>
      <c r="D475">
        <v>292.39999999999998</v>
      </c>
      <c r="E475">
        <v>285.89999999999998</v>
      </c>
      <c r="F475">
        <v>291.95</v>
      </c>
      <c r="G475">
        <v>287.89999999999998</v>
      </c>
      <c r="H475">
        <v>286.89999999999998</v>
      </c>
      <c r="I475">
        <v>288.37</v>
      </c>
      <c r="J475">
        <v>444.2</v>
      </c>
      <c r="K475">
        <v>285.89999999999998</v>
      </c>
      <c r="L475" s="4">
        <v>31930439</v>
      </c>
      <c r="M475" s="3">
        <v>9207635381.25</v>
      </c>
      <c r="N475" s="4">
        <v>430026</v>
      </c>
      <c r="O475">
        <f t="shared" si="7"/>
        <v>-1.729748244562429E-2</v>
      </c>
    </row>
    <row r="476" spans="1:15" ht="14.25" customHeight="1" x14ac:dyDescent="0.3">
      <c r="A476" s="2">
        <v>46174</v>
      </c>
      <c r="B476" t="s">
        <v>15</v>
      </c>
      <c r="C476">
        <v>287.8</v>
      </c>
      <c r="D476">
        <v>288.55</v>
      </c>
      <c r="E476">
        <v>278.3</v>
      </c>
      <c r="F476">
        <v>286.89999999999998</v>
      </c>
      <c r="G476">
        <v>279.3</v>
      </c>
      <c r="H476">
        <v>279.64999999999998</v>
      </c>
      <c r="I476">
        <v>282.77</v>
      </c>
      <c r="J476">
        <v>428.55</v>
      </c>
      <c r="K476">
        <v>278.3</v>
      </c>
      <c r="L476" s="4">
        <v>23477875</v>
      </c>
      <c r="M476" s="3">
        <v>6638924445</v>
      </c>
      <c r="N476" s="4">
        <v>438086</v>
      </c>
      <c r="O476">
        <f t="shared" si="7"/>
        <v>-2.5270128964796097E-2</v>
      </c>
    </row>
    <row r="477" spans="1:15" ht="14.25" customHeight="1" x14ac:dyDescent="0.3">
      <c r="A477" s="2">
        <v>46175</v>
      </c>
      <c r="B477" t="s">
        <v>15</v>
      </c>
      <c r="C477">
        <v>279.5</v>
      </c>
      <c r="D477">
        <v>283.60000000000002</v>
      </c>
      <c r="E477">
        <v>277.10000000000002</v>
      </c>
      <c r="F477">
        <v>279.64999999999998</v>
      </c>
      <c r="G477">
        <v>283.39999999999998</v>
      </c>
      <c r="H477">
        <v>283.25</v>
      </c>
      <c r="I477">
        <v>280.64</v>
      </c>
      <c r="J477">
        <v>428.55</v>
      </c>
      <c r="K477">
        <v>277.10000000000002</v>
      </c>
      <c r="L477" s="4">
        <v>20206131</v>
      </c>
      <c r="M477" s="3">
        <v>5670567934.6999998</v>
      </c>
      <c r="N477" s="4">
        <v>351434</v>
      </c>
      <c r="O477">
        <f t="shared" si="7"/>
        <v>1.2873234400143119E-2</v>
      </c>
    </row>
    <row r="478" spans="1:15" ht="14.25" customHeight="1" x14ac:dyDescent="0.3">
      <c r="A478" s="2">
        <v>46176</v>
      </c>
      <c r="B478" t="s">
        <v>15</v>
      </c>
      <c r="C478">
        <v>282.35000000000002</v>
      </c>
      <c r="D478">
        <v>282.35000000000002</v>
      </c>
      <c r="E478">
        <v>275.2</v>
      </c>
      <c r="F478">
        <v>283.25</v>
      </c>
      <c r="G478">
        <v>276.75</v>
      </c>
      <c r="H478">
        <v>277</v>
      </c>
      <c r="I478">
        <v>277.04000000000002</v>
      </c>
      <c r="J478">
        <v>428.55</v>
      </c>
      <c r="K478">
        <v>275.2</v>
      </c>
      <c r="L478" s="4">
        <v>28001438</v>
      </c>
      <c r="M478" s="3">
        <v>7757611536.3500004</v>
      </c>
      <c r="N478" s="4">
        <v>428631</v>
      </c>
      <c r="O478">
        <f t="shared" si="7"/>
        <v>-2.2065313327449251E-2</v>
      </c>
    </row>
    <row r="479" spans="1:15" ht="14.25" customHeight="1" x14ac:dyDescent="0.3">
      <c r="A479" s="2">
        <v>46177</v>
      </c>
      <c r="B479" t="s">
        <v>15</v>
      </c>
      <c r="C479">
        <v>277</v>
      </c>
      <c r="D479">
        <v>280.64999999999998</v>
      </c>
      <c r="E479">
        <v>275.05</v>
      </c>
      <c r="F479">
        <v>277</v>
      </c>
      <c r="G479">
        <v>280.10000000000002</v>
      </c>
      <c r="H479">
        <v>280.3</v>
      </c>
      <c r="I479">
        <v>279.23</v>
      </c>
      <c r="J479">
        <v>428.55</v>
      </c>
      <c r="K479">
        <v>275.05</v>
      </c>
      <c r="L479" s="4">
        <v>22017634</v>
      </c>
      <c r="M479" s="3">
        <v>6148078901.5500002</v>
      </c>
      <c r="N479" s="4">
        <v>320720</v>
      </c>
      <c r="O479">
        <f t="shared" si="7"/>
        <v>1.1913357400722063E-2</v>
      </c>
    </row>
    <row r="480" spans="1:15" ht="14.25" customHeight="1" x14ac:dyDescent="0.3">
      <c r="A480" s="2">
        <v>46178</v>
      </c>
      <c r="B480" t="s">
        <v>15</v>
      </c>
      <c r="C480">
        <v>280</v>
      </c>
      <c r="D480">
        <v>281.39999999999998</v>
      </c>
      <c r="E480">
        <v>277.85000000000002</v>
      </c>
      <c r="F480">
        <v>280.3</v>
      </c>
      <c r="G480">
        <v>280.95</v>
      </c>
      <c r="H480">
        <v>280.7</v>
      </c>
      <c r="I480">
        <v>279.95</v>
      </c>
      <c r="J480">
        <v>428.55</v>
      </c>
      <c r="K480">
        <v>275.05</v>
      </c>
      <c r="L480" s="4">
        <v>16065822</v>
      </c>
      <c r="M480" s="3">
        <v>4497626941.6999998</v>
      </c>
      <c r="N480" s="4">
        <v>234148</v>
      </c>
      <c r="O480">
        <f t="shared" si="7"/>
        <v>1.4270424545129406E-3</v>
      </c>
    </row>
    <row r="481" spans="1:15" ht="14.25" customHeight="1" x14ac:dyDescent="0.3">
      <c r="A481" s="2">
        <v>46181</v>
      </c>
      <c r="B481" t="s">
        <v>15</v>
      </c>
      <c r="C481">
        <v>279</v>
      </c>
      <c r="D481">
        <v>283.45</v>
      </c>
      <c r="E481">
        <v>276.95</v>
      </c>
      <c r="F481">
        <v>280.7</v>
      </c>
      <c r="G481">
        <v>280</v>
      </c>
      <c r="H481">
        <v>279.45</v>
      </c>
      <c r="I481">
        <v>280.73</v>
      </c>
      <c r="J481">
        <v>428.55</v>
      </c>
      <c r="K481">
        <v>275.05</v>
      </c>
      <c r="L481" s="4">
        <v>15779677</v>
      </c>
      <c r="M481" s="3">
        <v>4429782816.8999996</v>
      </c>
      <c r="N481" s="4">
        <v>236195</v>
      </c>
      <c r="O481">
        <f t="shared" si="7"/>
        <v>-4.4531528322052016E-3</v>
      </c>
    </row>
    <row r="482" spans="1:15" ht="14.25" customHeight="1" x14ac:dyDescent="0.3">
      <c r="A482" s="2">
        <v>46182</v>
      </c>
      <c r="B482" t="s">
        <v>15</v>
      </c>
      <c r="C482">
        <v>281.7</v>
      </c>
      <c r="D482">
        <v>281.7</v>
      </c>
      <c r="E482">
        <v>277.14999999999998</v>
      </c>
      <c r="F482">
        <v>279.45</v>
      </c>
      <c r="G482">
        <v>280</v>
      </c>
      <c r="H482">
        <v>280</v>
      </c>
      <c r="I482">
        <v>279.45</v>
      </c>
      <c r="J482">
        <v>428.55</v>
      </c>
      <c r="K482">
        <v>275.05</v>
      </c>
      <c r="L482" s="4">
        <v>12302522</v>
      </c>
      <c r="M482" s="3">
        <v>3437965851.4499998</v>
      </c>
      <c r="N482" s="4">
        <v>253064</v>
      </c>
      <c r="O482">
        <f t="shared" si="7"/>
        <v>1.9681517266058736E-3</v>
      </c>
    </row>
    <row r="483" spans="1:15" ht="14.25" customHeight="1" x14ac:dyDescent="0.3">
      <c r="A483" s="2">
        <v>46183</v>
      </c>
      <c r="B483" t="s">
        <v>15</v>
      </c>
      <c r="C483">
        <v>280</v>
      </c>
      <c r="D483">
        <v>285.85000000000002</v>
      </c>
      <c r="E483">
        <v>278.64999999999998</v>
      </c>
      <c r="F483">
        <v>280</v>
      </c>
      <c r="G483">
        <v>283.3</v>
      </c>
      <c r="H483">
        <v>283.64999999999998</v>
      </c>
      <c r="I483">
        <v>283.69</v>
      </c>
      <c r="J483">
        <v>428.55</v>
      </c>
      <c r="K483">
        <v>275.05</v>
      </c>
      <c r="L483" s="4">
        <v>19823743</v>
      </c>
      <c r="M483" s="3">
        <v>5623889755.1999998</v>
      </c>
      <c r="N483" s="4">
        <v>296092</v>
      </c>
      <c r="O483">
        <f t="shared" si="7"/>
        <v>1.3035714285714204E-2</v>
      </c>
    </row>
    <row r="484" spans="1:15" ht="14.25" customHeight="1" x14ac:dyDescent="0.3">
      <c r="A484" s="2">
        <v>46184</v>
      </c>
      <c r="B484" t="s">
        <v>15</v>
      </c>
      <c r="C484">
        <v>283</v>
      </c>
      <c r="D484">
        <v>283.25</v>
      </c>
      <c r="E484">
        <v>281.2</v>
      </c>
      <c r="F484">
        <v>283.64999999999998</v>
      </c>
      <c r="G484">
        <v>282.64999999999998</v>
      </c>
      <c r="H484">
        <v>282.39999999999998</v>
      </c>
      <c r="I484">
        <v>282.3</v>
      </c>
      <c r="J484">
        <v>428.55</v>
      </c>
      <c r="K484">
        <v>275.05</v>
      </c>
      <c r="L484" s="4">
        <v>12603100</v>
      </c>
      <c r="M484" s="3">
        <v>3557822045.9499998</v>
      </c>
      <c r="N484" s="4">
        <v>268703</v>
      </c>
      <c r="O484">
        <f t="shared" si="7"/>
        <v>-4.4068394147717257E-3</v>
      </c>
    </row>
    <row r="485" spans="1:15" ht="14.25" customHeight="1" x14ac:dyDescent="0.3">
      <c r="A485" s="2">
        <v>46185</v>
      </c>
      <c r="B485" t="s">
        <v>15</v>
      </c>
      <c r="C485">
        <v>283.55</v>
      </c>
      <c r="D485">
        <v>285.85000000000002</v>
      </c>
      <c r="E485">
        <v>283</v>
      </c>
      <c r="F485">
        <v>282.39999999999998</v>
      </c>
      <c r="G485">
        <v>285.7</v>
      </c>
      <c r="H485">
        <v>285.10000000000002</v>
      </c>
      <c r="I485">
        <v>284.32</v>
      </c>
      <c r="J485">
        <v>428.55</v>
      </c>
      <c r="K485">
        <v>275.05</v>
      </c>
      <c r="L485" s="4">
        <v>12893433</v>
      </c>
      <c r="M485" s="3">
        <v>3665810862.1999998</v>
      </c>
      <c r="N485" s="4">
        <v>371547</v>
      </c>
      <c r="O485">
        <f t="shared" si="7"/>
        <v>9.5609065155808984E-3</v>
      </c>
    </row>
    <row r="486" spans="1:15" ht="14.25" customHeight="1" x14ac:dyDescent="0.3">
      <c r="A486" s="2">
        <v>46188</v>
      </c>
      <c r="B486" t="s">
        <v>15</v>
      </c>
      <c r="C486">
        <v>287</v>
      </c>
      <c r="D486">
        <v>288.85000000000002</v>
      </c>
      <c r="E486">
        <v>286.7</v>
      </c>
      <c r="F486">
        <v>285.10000000000002</v>
      </c>
      <c r="G486">
        <v>288.14999999999998</v>
      </c>
      <c r="H486">
        <v>287.89999999999998</v>
      </c>
      <c r="I486">
        <v>287.81</v>
      </c>
      <c r="J486">
        <v>427</v>
      </c>
      <c r="K486">
        <v>275.05</v>
      </c>
      <c r="L486" s="4">
        <v>11194950</v>
      </c>
      <c r="M486" s="3">
        <v>3222030354.4000001</v>
      </c>
      <c r="N486" s="4">
        <v>300143</v>
      </c>
      <c r="O486">
        <f t="shared" si="7"/>
        <v>9.8211153981057672E-3</v>
      </c>
    </row>
    <row r="487" spans="1:15" ht="14.25" customHeight="1" x14ac:dyDescent="0.3">
      <c r="A487" s="2">
        <v>46189</v>
      </c>
      <c r="B487" t="s">
        <v>15</v>
      </c>
      <c r="C487">
        <v>288.14999999999998</v>
      </c>
      <c r="D487">
        <v>292.14999999999998</v>
      </c>
      <c r="E487">
        <v>287.5</v>
      </c>
      <c r="F487">
        <v>287.89999999999998</v>
      </c>
      <c r="G487">
        <v>291.85000000000002</v>
      </c>
      <c r="H487">
        <v>291.64999999999998</v>
      </c>
      <c r="I487">
        <v>290.72000000000003</v>
      </c>
      <c r="J487">
        <v>427</v>
      </c>
      <c r="K487">
        <v>275.05</v>
      </c>
      <c r="L487" s="4">
        <v>14467499</v>
      </c>
      <c r="M487" s="3">
        <v>4205946480.9000001</v>
      </c>
      <c r="N487" s="4">
        <v>342311</v>
      </c>
      <c r="O487">
        <f t="shared" si="7"/>
        <v>1.3025356026398056E-2</v>
      </c>
    </row>
    <row r="488" spans="1:15" ht="14.25" customHeight="1" x14ac:dyDescent="0.3">
      <c r="A488" s="2">
        <v>46190</v>
      </c>
      <c r="B488" t="s">
        <v>15</v>
      </c>
      <c r="C488">
        <v>291.95</v>
      </c>
      <c r="D488">
        <v>292.35000000000002</v>
      </c>
      <c r="E488">
        <v>290</v>
      </c>
      <c r="F488">
        <v>291.64999999999998</v>
      </c>
      <c r="G488">
        <v>290.89999999999998</v>
      </c>
      <c r="H488">
        <v>290.75</v>
      </c>
      <c r="I488">
        <v>290.87</v>
      </c>
      <c r="J488">
        <v>427</v>
      </c>
      <c r="K488">
        <v>275.05</v>
      </c>
      <c r="L488" s="4">
        <v>8626353</v>
      </c>
      <c r="M488" s="3">
        <v>2509157701.4499998</v>
      </c>
      <c r="N488" s="4">
        <v>242846</v>
      </c>
      <c r="O488">
        <f t="shared" si="7"/>
        <v>-3.0858906223211976E-3</v>
      </c>
    </row>
    <row r="489" spans="1:15" ht="14.25" customHeight="1" x14ac:dyDescent="0.3">
      <c r="A489" s="2">
        <v>46191</v>
      </c>
      <c r="B489" t="s">
        <v>15</v>
      </c>
      <c r="C489">
        <v>291.05</v>
      </c>
      <c r="D489">
        <v>291.89999999999998</v>
      </c>
      <c r="E489">
        <v>288</v>
      </c>
      <c r="F489">
        <v>290.75</v>
      </c>
      <c r="G489">
        <v>290.95</v>
      </c>
      <c r="H489">
        <v>291.14999999999998</v>
      </c>
      <c r="I489">
        <v>290.24</v>
      </c>
      <c r="J489">
        <v>427</v>
      </c>
      <c r="K489">
        <v>275.05</v>
      </c>
      <c r="L489" s="4">
        <v>10409670</v>
      </c>
      <c r="M489" s="3">
        <v>3021335692.1999998</v>
      </c>
      <c r="N489" s="4">
        <v>236338</v>
      </c>
      <c r="O489">
        <f t="shared" si="7"/>
        <v>1.3757523645742983E-3</v>
      </c>
    </row>
    <row r="490" spans="1:15" ht="14.25" customHeight="1" x14ac:dyDescent="0.3">
      <c r="A490" s="2">
        <v>46192</v>
      </c>
      <c r="B490" t="s">
        <v>15</v>
      </c>
      <c r="C490">
        <v>289.8</v>
      </c>
      <c r="D490">
        <v>294.55</v>
      </c>
      <c r="E490">
        <v>288.39999999999998</v>
      </c>
      <c r="F490">
        <v>291.14999999999998</v>
      </c>
      <c r="G490">
        <v>293.89999999999998</v>
      </c>
      <c r="H490">
        <v>292.5</v>
      </c>
      <c r="I490">
        <v>290.95</v>
      </c>
      <c r="J490">
        <v>427</v>
      </c>
      <c r="K490">
        <v>275.05</v>
      </c>
      <c r="L490" s="4">
        <v>13874008</v>
      </c>
      <c r="M490" s="3">
        <v>4036648451.4000001</v>
      </c>
      <c r="N490" s="4">
        <v>254060</v>
      </c>
      <c r="O490">
        <f t="shared" si="7"/>
        <v>4.6367851622875593E-3</v>
      </c>
    </row>
    <row r="491" spans="1:15" ht="14.25" customHeight="1" x14ac:dyDescent="0.3">
      <c r="A491" s="2">
        <v>46195</v>
      </c>
      <c r="B491" t="s">
        <v>15</v>
      </c>
      <c r="C491">
        <v>292.8</v>
      </c>
      <c r="D491">
        <v>293.95</v>
      </c>
      <c r="E491">
        <v>290.05</v>
      </c>
      <c r="F491">
        <v>292.5</v>
      </c>
      <c r="G491">
        <v>290.75</v>
      </c>
      <c r="H491">
        <v>291.25</v>
      </c>
      <c r="I491">
        <v>291.39999999999998</v>
      </c>
      <c r="J491">
        <v>427</v>
      </c>
      <c r="K491">
        <v>275.05</v>
      </c>
      <c r="L491" s="4">
        <v>9947873</v>
      </c>
      <c r="M491" s="3">
        <v>2898814725.9499998</v>
      </c>
      <c r="N491" s="4">
        <v>265137</v>
      </c>
      <c r="O491">
        <f t="shared" si="7"/>
        <v>-4.2735042735042739E-3</v>
      </c>
    </row>
    <row r="492" spans="1:15" ht="14.25" customHeight="1" x14ac:dyDescent="0.3">
      <c r="A492" s="2">
        <v>46196</v>
      </c>
      <c r="B492" t="s">
        <v>15</v>
      </c>
      <c r="C492">
        <v>291.25</v>
      </c>
      <c r="D492">
        <v>293.14999999999998</v>
      </c>
      <c r="E492">
        <v>289.64999999999998</v>
      </c>
      <c r="F492">
        <v>291.25</v>
      </c>
      <c r="G492">
        <v>290.10000000000002</v>
      </c>
      <c r="H492">
        <v>290</v>
      </c>
      <c r="I492">
        <v>290.89</v>
      </c>
      <c r="J492">
        <v>427</v>
      </c>
      <c r="K492">
        <v>275.05</v>
      </c>
      <c r="L492" s="4">
        <v>9410364</v>
      </c>
      <c r="M492" s="3">
        <v>2737368402.0999999</v>
      </c>
      <c r="N492" s="4">
        <v>227663</v>
      </c>
      <c r="O492">
        <f t="shared" si="7"/>
        <v>-4.2918454935622317E-3</v>
      </c>
    </row>
    <row r="493" spans="1:15" ht="14.25" customHeight="1" x14ac:dyDescent="0.3">
      <c r="A493" s="2">
        <v>46197</v>
      </c>
      <c r="B493" t="s">
        <v>15</v>
      </c>
      <c r="C493">
        <v>290</v>
      </c>
      <c r="D493">
        <v>291.39999999999998</v>
      </c>
      <c r="E493">
        <v>289.45</v>
      </c>
      <c r="F493">
        <v>290</v>
      </c>
      <c r="G493">
        <v>290.2</v>
      </c>
      <c r="H493">
        <v>290.35000000000002</v>
      </c>
      <c r="I493">
        <v>290.45</v>
      </c>
      <c r="J493">
        <v>427</v>
      </c>
      <c r="K493">
        <v>275.05</v>
      </c>
      <c r="L493" s="4">
        <v>6218635</v>
      </c>
      <c r="M493" s="3">
        <v>1806205507.8499999</v>
      </c>
      <c r="N493" s="4">
        <v>227851</v>
      </c>
      <c r="O493">
        <f t="shared" si="7"/>
        <v>1.2068965517242163E-3</v>
      </c>
    </row>
    <row r="494" spans="1:15" ht="14.25" customHeight="1" x14ac:dyDescent="0.3">
      <c r="A494" s="2">
        <v>46198</v>
      </c>
      <c r="B494" t="s">
        <v>15</v>
      </c>
      <c r="C494">
        <v>290.35000000000002</v>
      </c>
      <c r="D494">
        <v>292.25</v>
      </c>
      <c r="E494">
        <v>289.2</v>
      </c>
      <c r="F494">
        <v>290.35000000000002</v>
      </c>
      <c r="G494">
        <v>290</v>
      </c>
      <c r="H494">
        <v>290</v>
      </c>
      <c r="I494">
        <v>290.66000000000003</v>
      </c>
      <c r="J494">
        <v>427</v>
      </c>
      <c r="K494">
        <v>275.05</v>
      </c>
      <c r="L494" s="4">
        <v>11230239</v>
      </c>
      <c r="M494" s="3">
        <v>3264229395.3000002</v>
      </c>
      <c r="N494" s="4">
        <v>288842</v>
      </c>
      <c r="O494">
        <f t="shared" si="7"/>
        <v>-1.2054417082831847E-3</v>
      </c>
    </row>
    <row r="495" spans="1:15" ht="14.25" customHeight="1" x14ac:dyDescent="0.3">
      <c r="A495" s="2">
        <v>46202</v>
      </c>
      <c r="B495" t="s">
        <v>15</v>
      </c>
      <c r="C495">
        <v>290.45</v>
      </c>
      <c r="D495">
        <v>291.89999999999998</v>
      </c>
      <c r="E495">
        <v>289.35000000000002</v>
      </c>
      <c r="F495">
        <v>290</v>
      </c>
      <c r="G495">
        <v>291</v>
      </c>
      <c r="H495">
        <v>290.7</v>
      </c>
      <c r="I495">
        <v>290.7</v>
      </c>
      <c r="J495">
        <v>427</v>
      </c>
      <c r="K495">
        <v>275.05</v>
      </c>
      <c r="L495" s="4">
        <v>10110022</v>
      </c>
      <c r="M495" s="3">
        <v>2938964571.3499999</v>
      </c>
      <c r="N495" s="4">
        <v>349908</v>
      </c>
      <c r="O495">
        <f t="shared" si="7"/>
        <v>2.4137931034482365E-3</v>
      </c>
    </row>
    <row r="496" spans="1:15" ht="14.25" customHeight="1" x14ac:dyDescent="0.3">
      <c r="A496" s="2">
        <v>46203</v>
      </c>
      <c r="B496" t="s">
        <v>15</v>
      </c>
      <c r="C496">
        <v>291.5</v>
      </c>
      <c r="D496">
        <v>291.60000000000002</v>
      </c>
      <c r="E496">
        <v>285.5</v>
      </c>
      <c r="F496">
        <v>290.7</v>
      </c>
      <c r="G496">
        <v>287.3</v>
      </c>
      <c r="H496">
        <v>286.95</v>
      </c>
      <c r="I496">
        <v>287.55</v>
      </c>
      <c r="J496">
        <v>427</v>
      </c>
      <c r="K496">
        <v>275.05</v>
      </c>
      <c r="L496" s="4">
        <v>18180676</v>
      </c>
      <c r="M496" s="3">
        <v>5227938463.6999998</v>
      </c>
      <c r="N496" s="4">
        <v>433044</v>
      </c>
      <c r="O496">
        <f t="shared" si="7"/>
        <v>-1.2899896800825594E-2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96"/>
  <sheetViews>
    <sheetView zoomScaleNormal="100" workbookViewId="0">
      <selection sqref="A1:XFD1"/>
    </sheetView>
  </sheetViews>
  <sheetFormatPr defaultColWidth="8.6640625" defaultRowHeight="14.4" x14ac:dyDescent="0.3"/>
  <cols>
    <col min="1" max="1" width="9.88671875" customWidth="1"/>
    <col min="2" max="2" width="6.44140625" customWidth="1"/>
    <col min="3" max="5" width="8" customWidth="1"/>
    <col min="6" max="6" width="11.44140625" customWidth="1"/>
    <col min="7" max="11" width="8" customWidth="1"/>
    <col min="12" max="12" width="11.33203125" customWidth="1"/>
    <col min="13" max="13" width="18" customWidth="1"/>
    <col min="14" max="14" width="14.21875" customWidth="1"/>
    <col min="15" max="15" width="12.6640625" bestFit="1" customWidth="1"/>
  </cols>
  <sheetData>
    <row r="1" spans="1:15" s="10" customFormat="1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 ht="14.25" customHeight="1" x14ac:dyDescent="0.3">
      <c r="A2" s="2">
        <v>45474</v>
      </c>
      <c r="B2" t="s">
        <v>15</v>
      </c>
      <c r="C2" s="3">
        <v>1680</v>
      </c>
      <c r="D2" s="3">
        <v>1707.3</v>
      </c>
      <c r="E2" s="3">
        <v>1680</v>
      </c>
      <c r="F2" s="3">
        <v>1683.8</v>
      </c>
      <c r="G2" s="3">
        <v>1704.2</v>
      </c>
      <c r="H2" s="3">
        <v>1705.2</v>
      </c>
      <c r="I2" s="3">
        <v>1699.74</v>
      </c>
      <c r="J2" s="3">
        <v>1757.5</v>
      </c>
      <c r="K2" s="3">
        <v>1363.55</v>
      </c>
      <c r="L2" s="4">
        <v>10593512</v>
      </c>
      <c r="M2" s="3">
        <v>18006189828.25</v>
      </c>
      <c r="N2" s="4">
        <v>355235</v>
      </c>
    </row>
    <row r="3" spans="1:15" ht="14.25" customHeight="1" x14ac:dyDescent="0.3">
      <c r="A3" s="2">
        <v>45475</v>
      </c>
      <c r="B3" t="s">
        <v>15</v>
      </c>
      <c r="C3" s="3">
        <v>1715</v>
      </c>
      <c r="D3" s="3">
        <v>1734.9</v>
      </c>
      <c r="E3" s="3">
        <v>1702.75</v>
      </c>
      <c r="F3" s="3">
        <v>1705.2</v>
      </c>
      <c r="G3" s="3">
        <v>1728</v>
      </c>
      <c r="H3" s="3">
        <v>1730.6</v>
      </c>
      <c r="I3" s="3">
        <v>1722.46</v>
      </c>
      <c r="J3" s="3">
        <v>1757.5</v>
      </c>
      <c r="K3" s="3">
        <v>1363.55</v>
      </c>
      <c r="L3" s="4">
        <v>22960845</v>
      </c>
      <c r="M3" s="3">
        <v>39549118301.050003</v>
      </c>
      <c r="N3" s="4">
        <v>486972</v>
      </c>
      <c r="O3">
        <f t="shared" ref="O3:O66" si="0">(H3-H2)/H2</f>
        <v>1.4895613417780826E-2</v>
      </c>
    </row>
    <row r="4" spans="1:15" ht="14.25" customHeight="1" x14ac:dyDescent="0.3">
      <c r="A4" s="2">
        <v>45476</v>
      </c>
      <c r="B4" t="s">
        <v>15</v>
      </c>
      <c r="C4" s="3">
        <v>1791</v>
      </c>
      <c r="D4" s="3">
        <v>1794</v>
      </c>
      <c r="E4" s="3">
        <v>1764.65</v>
      </c>
      <c r="F4" s="3">
        <v>1730.6</v>
      </c>
      <c r="G4" s="3">
        <v>1767.7</v>
      </c>
      <c r="H4" s="3">
        <v>1768.65</v>
      </c>
      <c r="I4" s="3">
        <v>1776.87</v>
      </c>
      <c r="J4" s="3">
        <v>1794</v>
      </c>
      <c r="K4" s="3">
        <v>1363.55</v>
      </c>
      <c r="L4" s="4">
        <v>61608901</v>
      </c>
      <c r="M4" s="3">
        <v>109470877766.89999</v>
      </c>
      <c r="N4" s="4">
        <v>846404</v>
      </c>
      <c r="O4">
        <f t="shared" si="0"/>
        <v>2.1986594244770705E-2</v>
      </c>
    </row>
    <row r="5" spans="1:15" ht="14.25" customHeight="1" x14ac:dyDescent="0.3">
      <c r="A5" s="2">
        <v>45477</v>
      </c>
      <c r="B5" t="s">
        <v>15</v>
      </c>
      <c r="C5" s="3">
        <v>1759.75</v>
      </c>
      <c r="D5" s="3">
        <v>1759.75</v>
      </c>
      <c r="E5" s="3">
        <v>1724.85</v>
      </c>
      <c r="F5" s="3">
        <v>1768.65</v>
      </c>
      <c r="G5" s="3">
        <v>1728</v>
      </c>
      <c r="H5" s="3">
        <v>1727.15</v>
      </c>
      <c r="I5" s="3">
        <v>1735.22</v>
      </c>
      <c r="J5" s="3">
        <v>1794</v>
      </c>
      <c r="K5" s="3">
        <v>1363.55</v>
      </c>
      <c r="L5" s="4">
        <v>22924329</v>
      </c>
      <c r="M5" s="3">
        <v>39778717290.5</v>
      </c>
      <c r="N5" s="4">
        <v>405416</v>
      </c>
      <c r="O5">
        <f t="shared" si="0"/>
        <v>-2.3464224125745625E-2</v>
      </c>
    </row>
    <row r="6" spans="1:15" ht="14.25" customHeight="1" x14ac:dyDescent="0.3">
      <c r="A6" s="2">
        <v>45478</v>
      </c>
      <c r="B6" t="s">
        <v>15</v>
      </c>
      <c r="C6" s="3">
        <v>1685</v>
      </c>
      <c r="D6" s="3">
        <v>1685</v>
      </c>
      <c r="E6" s="3">
        <v>1642.2</v>
      </c>
      <c r="F6" s="3">
        <v>1727.15</v>
      </c>
      <c r="G6" s="3">
        <v>1649.4</v>
      </c>
      <c r="H6" s="3">
        <v>1648.1</v>
      </c>
      <c r="I6" s="3">
        <v>1656.79</v>
      </c>
      <c r="J6" s="3">
        <v>1794</v>
      </c>
      <c r="K6" s="3">
        <v>1363.55</v>
      </c>
      <c r="L6" s="4">
        <v>41121274</v>
      </c>
      <c r="M6" s="3">
        <v>68129239005.75</v>
      </c>
      <c r="N6" s="4">
        <v>1117072</v>
      </c>
      <c r="O6">
        <f t="shared" si="0"/>
        <v>-4.5769041484526637E-2</v>
      </c>
    </row>
    <row r="7" spans="1:15" ht="14.25" customHeight="1" x14ac:dyDescent="0.3">
      <c r="A7" s="2">
        <v>45481</v>
      </c>
      <c r="B7" t="s">
        <v>15</v>
      </c>
      <c r="C7" s="3">
        <v>1645.3</v>
      </c>
      <c r="D7" s="3">
        <v>1654.95</v>
      </c>
      <c r="E7" s="3">
        <v>1627.15</v>
      </c>
      <c r="F7" s="3">
        <v>1648.1</v>
      </c>
      <c r="G7" s="3">
        <v>1636.35</v>
      </c>
      <c r="H7" s="3">
        <v>1635.35</v>
      </c>
      <c r="I7" s="3">
        <v>1640.07</v>
      </c>
      <c r="J7" s="3">
        <v>1794</v>
      </c>
      <c r="K7" s="3">
        <v>1363.55</v>
      </c>
      <c r="L7" s="4">
        <v>19543900</v>
      </c>
      <c r="M7" s="3">
        <v>32053306234.349998</v>
      </c>
      <c r="N7" s="4">
        <v>324769</v>
      </c>
      <c r="O7">
        <f t="shared" si="0"/>
        <v>-7.7361810569746984E-3</v>
      </c>
    </row>
    <row r="8" spans="1:15" ht="14.25" customHeight="1" x14ac:dyDescent="0.3">
      <c r="A8" s="2">
        <v>45482</v>
      </c>
      <c r="B8" t="s">
        <v>15</v>
      </c>
      <c r="C8" s="3">
        <v>1625</v>
      </c>
      <c r="D8" s="3">
        <v>1646.7</v>
      </c>
      <c r="E8" s="3">
        <v>1620.35</v>
      </c>
      <c r="F8" s="3">
        <v>1635.35</v>
      </c>
      <c r="G8" s="3">
        <v>1638.8</v>
      </c>
      <c r="H8" s="3">
        <v>1636.5</v>
      </c>
      <c r="I8" s="3">
        <v>1638.53</v>
      </c>
      <c r="J8" s="3">
        <v>1794</v>
      </c>
      <c r="K8" s="3">
        <v>1363.55</v>
      </c>
      <c r="L8" s="4">
        <v>24275439</v>
      </c>
      <c r="M8" s="3">
        <v>39776084749.699997</v>
      </c>
      <c r="N8" s="4">
        <v>442487</v>
      </c>
      <c r="O8">
        <f t="shared" si="0"/>
        <v>7.0321337939896109E-4</v>
      </c>
    </row>
    <row r="9" spans="1:15" ht="14.25" customHeight="1" x14ac:dyDescent="0.3">
      <c r="A9" s="2">
        <v>45483</v>
      </c>
      <c r="B9" t="s">
        <v>15</v>
      </c>
      <c r="C9" s="3">
        <v>1629.95</v>
      </c>
      <c r="D9" s="3">
        <v>1640</v>
      </c>
      <c r="E9" s="3">
        <v>1620.75</v>
      </c>
      <c r="F9" s="3">
        <v>1636.5</v>
      </c>
      <c r="G9" s="3">
        <v>1628.7</v>
      </c>
      <c r="H9" s="3">
        <v>1626.1</v>
      </c>
      <c r="I9" s="3">
        <v>1627.6</v>
      </c>
      <c r="J9" s="3">
        <v>1794</v>
      </c>
      <c r="K9" s="3">
        <v>1363.55</v>
      </c>
      <c r="L9" s="4">
        <v>22753591</v>
      </c>
      <c r="M9" s="3">
        <v>37033758498.900002</v>
      </c>
      <c r="N9" s="4">
        <v>405034</v>
      </c>
      <c r="O9">
        <f t="shared" si="0"/>
        <v>-6.3550259700581061E-3</v>
      </c>
    </row>
    <row r="10" spans="1:15" ht="14.25" customHeight="1" x14ac:dyDescent="0.3">
      <c r="A10" s="2">
        <v>45484</v>
      </c>
      <c r="B10" t="s">
        <v>15</v>
      </c>
      <c r="C10" s="3">
        <v>1623.95</v>
      </c>
      <c r="D10" s="3">
        <v>1625.85</v>
      </c>
      <c r="E10" s="3">
        <v>1601</v>
      </c>
      <c r="F10" s="3">
        <v>1626.1</v>
      </c>
      <c r="G10" s="3">
        <v>1623</v>
      </c>
      <c r="H10" s="3">
        <v>1621.9</v>
      </c>
      <c r="I10" s="3">
        <v>1612.69</v>
      </c>
      <c r="J10" s="3">
        <v>1794</v>
      </c>
      <c r="K10" s="3">
        <v>1363.55</v>
      </c>
      <c r="L10" s="4">
        <v>22088537</v>
      </c>
      <c r="M10" s="3">
        <v>35621865220.099998</v>
      </c>
      <c r="N10" s="4">
        <v>483343</v>
      </c>
      <c r="O10">
        <f t="shared" si="0"/>
        <v>-2.5828669823502971E-3</v>
      </c>
    </row>
    <row r="11" spans="1:15" ht="14.25" customHeight="1" x14ac:dyDescent="0.3">
      <c r="A11" s="2">
        <v>45485</v>
      </c>
      <c r="B11" t="s">
        <v>15</v>
      </c>
      <c r="C11" s="3">
        <v>1622</v>
      </c>
      <c r="D11" s="3">
        <v>1638.4</v>
      </c>
      <c r="E11" s="3">
        <v>1611.15</v>
      </c>
      <c r="F11" s="3">
        <v>1621.9</v>
      </c>
      <c r="G11" s="3">
        <v>1627.55</v>
      </c>
      <c r="H11" s="3">
        <v>1622.7</v>
      </c>
      <c r="I11" s="3">
        <v>1624.06</v>
      </c>
      <c r="J11" s="3">
        <v>1794</v>
      </c>
      <c r="K11" s="3">
        <v>1363.55</v>
      </c>
      <c r="L11" s="4">
        <v>28024980</v>
      </c>
      <c r="M11" s="3">
        <v>45514220345.849998</v>
      </c>
      <c r="N11" s="4">
        <v>332780</v>
      </c>
      <c r="O11">
        <f t="shared" si="0"/>
        <v>4.9324865898018038E-4</v>
      </c>
    </row>
    <row r="12" spans="1:15" ht="14.25" customHeight="1" x14ac:dyDescent="0.3">
      <c r="A12" s="2">
        <v>45488</v>
      </c>
      <c r="B12" t="s">
        <v>15</v>
      </c>
      <c r="C12" s="3">
        <v>1623.5</v>
      </c>
      <c r="D12" s="3">
        <v>1629.8</v>
      </c>
      <c r="E12" s="3">
        <v>1615.2</v>
      </c>
      <c r="F12" s="3">
        <v>1622.7</v>
      </c>
      <c r="G12" s="3">
        <v>1623</v>
      </c>
      <c r="H12" s="3">
        <v>1622.1</v>
      </c>
      <c r="I12" s="3">
        <v>1622</v>
      </c>
      <c r="J12" s="3">
        <v>1794</v>
      </c>
      <c r="K12" s="3">
        <v>1363.55</v>
      </c>
      <c r="L12" s="4">
        <v>16687847</v>
      </c>
      <c r="M12" s="3">
        <v>27067666840.400002</v>
      </c>
      <c r="N12" s="4">
        <v>217738</v>
      </c>
      <c r="O12">
        <f t="shared" si="0"/>
        <v>-3.6975411351459689E-4</v>
      </c>
    </row>
    <row r="13" spans="1:15" ht="14.25" customHeight="1" x14ac:dyDescent="0.3">
      <c r="A13" s="2">
        <v>45489</v>
      </c>
      <c r="B13" t="s">
        <v>15</v>
      </c>
      <c r="C13" s="3">
        <v>1620.75</v>
      </c>
      <c r="D13" s="3">
        <v>1627</v>
      </c>
      <c r="E13" s="3">
        <v>1616.8</v>
      </c>
      <c r="F13" s="3">
        <v>1622.1</v>
      </c>
      <c r="G13" s="3">
        <v>1621</v>
      </c>
      <c r="H13" s="3">
        <v>1619.75</v>
      </c>
      <c r="I13" s="3">
        <v>1621.84</v>
      </c>
      <c r="J13" s="3">
        <v>1794</v>
      </c>
      <c r="K13" s="3">
        <v>1363.55</v>
      </c>
      <c r="L13" s="4">
        <v>14475162</v>
      </c>
      <c r="M13" s="3">
        <v>23476341772.450001</v>
      </c>
      <c r="N13" s="4">
        <v>269979</v>
      </c>
      <c r="O13">
        <f t="shared" si="0"/>
        <v>-1.4487392885764805E-3</v>
      </c>
    </row>
    <row r="14" spans="1:15" ht="14.25" customHeight="1" x14ac:dyDescent="0.3">
      <c r="A14" s="2">
        <v>45491</v>
      </c>
      <c r="B14" t="s">
        <v>15</v>
      </c>
      <c r="C14" s="3">
        <v>1608</v>
      </c>
      <c r="D14" s="3">
        <v>1623.95</v>
      </c>
      <c r="E14" s="3">
        <v>1599.15</v>
      </c>
      <c r="F14" s="3">
        <v>1619.75</v>
      </c>
      <c r="G14" s="3">
        <v>1615</v>
      </c>
      <c r="H14" s="3">
        <v>1614.8</v>
      </c>
      <c r="I14" s="3">
        <v>1613.29</v>
      </c>
      <c r="J14" s="3">
        <v>1794</v>
      </c>
      <c r="K14" s="3">
        <v>1363.55</v>
      </c>
      <c r="L14" s="4">
        <v>16858532</v>
      </c>
      <c r="M14" s="3">
        <v>27197655556.650002</v>
      </c>
      <c r="N14" s="4">
        <v>332318</v>
      </c>
      <c r="O14">
        <f t="shared" si="0"/>
        <v>-3.0560271646859366E-3</v>
      </c>
    </row>
    <row r="15" spans="1:15" ht="14.25" customHeight="1" x14ac:dyDescent="0.3">
      <c r="A15" s="2">
        <v>45492</v>
      </c>
      <c r="B15" t="s">
        <v>15</v>
      </c>
      <c r="C15" s="3">
        <v>1616</v>
      </c>
      <c r="D15" s="3">
        <v>1623</v>
      </c>
      <c r="E15" s="3">
        <v>1603.5</v>
      </c>
      <c r="F15" s="3">
        <v>1614.8</v>
      </c>
      <c r="G15" s="3">
        <v>1605</v>
      </c>
      <c r="H15" s="3">
        <v>1607.3</v>
      </c>
      <c r="I15" s="3">
        <v>1609.91</v>
      </c>
      <c r="J15" s="3">
        <v>1794</v>
      </c>
      <c r="K15" s="3">
        <v>1363.55</v>
      </c>
      <c r="L15" s="4">
        <v>13001076</v>
      </c>
      <c r="M15" s="3">
        <v>20930535372.849998</v>
      </c>
      <c r="N15" s="4">
        <v>276983</v>
      </c>
      <c r="O15">
        <f t="shared" si="0"/>
        <v>-4.6445380232846174E-3</v>
      </c>
    </row>
    <row r="16" spans="1:15" ht="14.25" customHeight="1" x14ac:dyDescent="0.3">
      <c r="A16" s="2">
        <v>45495</v>
      </c>
      <c r="B16" t="s">
        <v>15</v>
      </c>
      <c r="C16" s="3">
        <v>1617</v>
      </c>
      <c r="D16" s="3">
        <v>1651</v>
      </c>
      <c r="E16" s="3">
        <v>1612.65</v>
      </c>
      <c r="F16" s="3">
        <v>1607.3</v>
      </c>
      <c r="G16" s="3">
        <v>1642</v>
      </c>
      <c r="H16" s="3">
        <v>1642.55</v>
      </c>
      <c r="I16" s="3">
        <v>1637.66</v>
      </c>
      <c r="J16" s="3">
        <v>1794</v>
      </c>
      <c r="K16" s="3">
        <v>1363.55</v>
      </c>
      <c r="L16" s="4">
        <v>26872411</v>
      </c>
      <c r="M16" s="3">
        <v>44007904357.699997</v>
      </c>
      <c r="N16" s="4">
        <v>548620</v>
      </c>
      <c r="O16">
        <f t="shared" si="0"/>
        <v>2.1931188950413738E-2</v>
      </c>
    </row>
    <row r="17" spans="1:15" ht="14.25" customHeight="1" x14ac:dyDescent="0.3">
      <c r="A17" s="2">
        <v>45496</v>
      </c>
      <c r="B17" t="s">
        <v>15</v>
      </c>
      <c r="C17" s="3">
        <v>1647.55</v>
      </c>
      <c r="D17" s="3">
        <v>1647.8</v>
      </c>
      <c r="E17" s="3">
        <v>1605</v>
      </c>
      <c r="F17" s="3">
        <v>1642.55</v>
      </c>
      <c r="G17" s="3">
        <v>1616.6</v>
      </c>
      <c r="H17" s="3">
        <v>1618.4</v>
      </c>
      <c r="I17" s="3">
        <v>1623.96</v>
      </c>
      <c r="J17" s="3">
        <v>1794</v>
      </c>
      <c r="K17" s="3">
        <v>1363.55</v>
      </c>
      <c r="L17" s="4">
        <v>26001076</v>
      </c>
      <c r="M17" s="3">
        <v>42224780773.650002</v>
      </c>
      <c r="N17" s="4">
        <v>449509</v>
      </c>
      <c r="O17">
        <f t="shared" si="0"/>
        <v>-1.4702748774770853E-2</v>
      </c>
    </row>
    <row r="18" spans="1:15" ht="14.25" customHeight="1" x14ac:dyDescent="0.3">
      <c r="A18" s="2">
        <v>45497</v>
      </c>
      <c r="B18" t="s">
        <v>15</v>
      </c>
      <c r="C18" s="3">
        <v>1608.15</v>
      </c>
      <c r="D18" s="3">
        <v>1621</v>
      </c>
      <c r="E18" s="3">
        <v>1588.05</v>
      </c>
      <c r="F18" s="3">
        <v>1618.4</v>
      </c>
      <c r="G18" s="3">
        <v>1608.35</v>
      </c>
      <c r="H18" s="3">
        <v>1604.05</v>
      </c>
      <c r="I18" s="3">
        <v>1604.13</v>
      </c>
      <c r="J18" s="3">
        <v>1794</v>
      </c>
      <c r="K18" s="3">
        <v>1363.55</v>
      </c>
      <c r="L18" s="4">
        <v>30864103</v>
      </c>
      <c r="M18" s="3">
        <v>49509947077.300003</v>
      </c>
      <c r="N18" s="4">
        <v>432932</v>
      </c>
      <c r="O18">
        <f t="shared" si="0"/>
        <v>-8.866782006920499E-3</v>
      </c>
    </row>
    <row r="19" spans="1:15" ht="14.25" customHeight="1" x14ac:dyDescent="0.3">
      <c r="A19" s="2">
        <v>45498</v>
      </c>
      <c r="B19" t="s">
        <v>15</v>
      </c>
      <c r="C19" s="3">
        <v>1593</v>
      </c>
      <c r="D19" s="3">
        <v>1625</v>
      </c>
      <c r="E19" s="3">
        <v>1593</v>
      </c>
      <c r="F19" s="3">
        <v>1604.05</v>
      </c>
      <c r="G19" s="3">
        <v>1616.75</v>
      </c>
      <c r="H19" s="3">
        <v>1616.6</v>
      </c>
      <c r="I19" s="3">
        <v>1613.59</v>
      </c>
      <c r="J19" s="3">
        <v>1794</v>
      </c>
      <c r="K19" s="3">
        <v>1363.55</v>
      </c>
      <c r="L19" s="4">
        <v>12767866</v>
      </c>
      <c r="M19" s="3">
        <v>20602046896.299999</v>
      </c>
      <c r="N19" s="4">
        <v>279974</v>
      </c>
      <c r="O19">
        <f t="shared" si="0"/>
        <v>7.8239456376047855E-3</v>
      </c>
    </row>
    <row r="20" spans="1:15" ht="14.25" customHeight="1" x14ac:dyDescent="0.3">
      <c r="A20" s="2">
        <v>45499</v>
      </c>
      <c r="B20" t="s">
        <v>15</v>
      </c>
      <c r="C20" s="3">
        <v>1605</v>
      </c>
      <c r="D20" s="3">
        <v>1621.75</v>
      </c>
      <c r="E20" s="3">
        <v>1596.45</v>
      </c>
      <c r="F20" s="3">
        <v>1616.6</v>
      </c>
      <c r="G20" s="3">
        <v>1616.3</v>
      </c>
      <c r="H20" s="3">
        <v>1618.15</v>
      </c>
      <c r="I20" s="3">
        <v>1609.37</v>
      </c>
      <c r="J20" s="3">
        <v>1794</v>
      </c>
      <c r="K20" s="3">
        <v>1363.55</v>
      </c>
      <c r="L20" s="4">
        <v>21905270</v>
      </c>
      <c r="M20" s="3">
        <v>35253630971.050003</v>
      </c>
      <c r="N20" s="4">
        <v>355180</v>
      </c>
      <c r="O20">
        <f t="shared" si="0"/>
        <v>9.5880242484237409E-4</v>
      </c>
    </row>
    <row r="21" spans="1:15" ht="14.25" customHeight="1" x14ac:dyDescent="0.3">
      <c r="A21" s="2">
        <v>45502</v>
      </c>
      <c r="B21" t="s">
        <v>15</v>
      </c>
      <c r="C21" s="3">
        <v>1615</v>
      </c>
      <c r="D21" s="3">
        <v>1631.85</v>
      </c>
      <c r="E21" s="3">
        <v>1598.3</v>
      </c>
      <c r="F21" s="3">
        <v>1618.15</v>
      </c>
      <c r="G21" s="3">
        <v>1605</v>
      </c>
      <c r="H21" s="3">
        <v>1605.05</v>
      </c>
      <c r="I21" s="3">
        <v>1611.97</v>
      </c>
      <c r="J21" s="3">
        <v>1794</v>
      </c>
      <c r="K21" s="3">
        <v>1363.55</v>
      </c>
      <c r="L21" s="4">
        <v>25500574</v>
      </c>
      <c r="M21" s="3">
        <v>41106152746.349998</v>
      </c>
      <c r="N21" s="4">
        <v>472326</v>
      </c>
      <c r="O21">
        <f t="shared" si="0"/>
        <v>-8.0956648023978832E-3</v>
      </c>
    </row>
    <row r="22" spans="1:15" ht="14.25" customHeight="1" x14ac:dyDescent="0.3">
      <c r="A22" s="2">
        <v>45503</v>
      </c>
      <c r="B22" t="s">
        <v>15</v>
      </c>
      <c r="C22" s="3">
        <v>1602</v>
      </c>
      <c r="D22" s="3">
        <v>1634.75</v>
      </c>
      <c r="E22" s="3">
        <v>1599</v>
      </c>
      <c r="F22" s="3">
        <v>1605.05</v>
      </c>
      <c r="G22" s="3">
        <v>1614.2</v>
      </c>
      <c r="H22" s="3">
        <v>1615.55</v>
      </c>
      <c r="I22" s="3">
        <v>1615.74</v>
      </c>
      <c r="J22" s="3">
        <v>1794</v>
      </c>
      <c r="K22" s="3">
        <v>1363.55</v>
      </c>
      <c r="L22" s="4">
        <v>27297917</v>
      </c>
      <c r="M22" s="3">
        <v>44106424811.400002</v>
      </c>
      <c r="N22" s="4">
        <v>455812</v>
      </c>
      <c r="O22">
        <f t="shared" si="0"/>
        <v>6.5418522787452109E-3</v>
      </c>
    </row>
    <row r="23" spans="1:15" ht="14.25" customHeight="1" x14ac:dyDescent="0.3">
      <c r="A23" s="2">
        <v>45504</v>
      </c>
      <c r="B23" t="s">
        <v>15</v>
      </c>
      <c r="C23" s="3">
        <v>1614</v>
      </c>
      <c r="D23" s="3">
        <v>1627.9</v>
      </c>
      <c r="E23" s="3">
        <v>1609.2</v>
      </c>
      <c r="F23" s="3">
        <v>1615.55</v>
      </c>
      <c r="G23" s="3">
        <v>1617.95</v>
      </c>
      <c r="H23" s="3">
        <v>1615.75</v>
      </c>
      <c r="I23" s="3">
        <v>1617.31</v>
      </c>
      <c r="J23" s="3">
        <v>1794</v>
      </c>
      <c r="K23" s="3">
        <v>1363.55</v>
      </c>
      <c r="L23" s="4">
        <v>18910242</v>
      </c>
      <c r="M23" s="3">
        <v>30583806061.700001</v>
      </c>
      <c r="N23" s="4">
        <v>334519</v>
      </c>
      <c r="O23">
        <f t="shared" si="0"/>
        <v>1.2379684937021169E-4</v>
      </c>
    </row>
    <row r="24" spans="1:15" ht="14.25" customHeight="1" x14ac:dyDescent="0.3">
      <c r="A24" s="2">
        <v>45505</v>
      </c>
      <c r="B24" t="s">
        <v>15</v>
      </c>
      <c r="C24" s="3">
        <v>1622.9</v>
      </c>
      <c r="D24" s="3">
        <v>1650.05</v>
      </c>
      <c r="E24" s="3">
        <v>1617.95</v>
      </c>
      <c r="F24" s="3">
        <v>1615.75</v>
      </c>
      <c r="G24" s="3">
        <v>1647.65</v>
      </c>
      <c r="H24" s="3">
        <v>1638.8</v>
      </c>
      <c r="I24" s="3">
        <v>1632.59</v>
      </c>
      <c r="J24" s="3">
        <v>1794</v>
      </c>
      <c r="K24" s="3">
        <v>1363.55</v>
      </c>
      <c r="L24" s="4">
        <v>13107587</v>
      </c>
      <c r="M24" s="3">
        <v>21399347523.900002</v>
      </c>
      <c r="N24" s="4">
        <v>287915</v>
      </c>
      <c r="O24">
        <f t="shared" si="0"/>
        <v>1.4265820826241655E-2</v>
      </c>
    </row>
    <row r="25" spans="1:15" ht="14.25" customHeight="1" x14ac:dyDescent="0.3">
      <c r="A25" s="2">
        <v>45506</v>
      </c>
      <c r="B25" t="s">
        <v>15</v>
      </c>
      <c r="C25" s="3">
        <v>1631</v>
      </c>
      <c r="D25" s="3">
        <v>1670.5</v>
      </c>
      <c r="E25" s="3">
        <v>1631</v>
      </c>
      <c r="F25" s="3">
        <v>1638.8</v>
      </c>
      <c r="G25" s="3">
        <v>1658.05</v>
      </c>
      <c r="H25" s="3">
        <v>1659.15</v>
      </c>
      <c r="I25" s="3">
        <v>1658.62</v>
      </c>
      <c r="J25" s="3">
        <v>1794</v>
      </c>
      <c r="K25" s="3">
        <v>1363.55</v>
      </c>
      <c r="L25" s="4">
        <v>22059619</v>
      </c>
      <c r="M25" s="3">
        <v>36588623126.099998</v>
      </c>
      <c r="N25" s="4">
        <v>457935</v>
      </c>
      <c r="O25">
        <f t="shared" si="0"/>
        <v>1.2417622650720123E-2</v>
      </c>
    </row>
    <row r="26" spans="1:15" ht="14.25" customHeight="1" x14ac:dyDescent="0.3">
      <c r="A26" s="2">
        <v>45509</v>
      </c>
      <c r="B26" t="s">
        <v>15</v>
      </c>
      <c r="C26" s="3">
        <v>1640.1</v>
      </c>
      <c r="D26" s="3">
        <v>1646</v>
      </c>
      <c r="E26" s="3">
        <v>1601</v>
      </c>
      <c r="F26" s="3">
        <v>1659.15</v>
      </c>
      <c r="G26" s="3">
        <v>1616.05</v>
      </c>
      <c r="H26" s="3">
        <v>1615.75</v>
      </c>
      <c r="I26" s="3">
        <v>1622.77</v>
      </c>
      <c r="J26" s="3">
        <v>1794</v>
      </c>
      <c r="K26" s="3">
        <v>1363.55</v>
      </c>
      <c r="L26" s="4">
        <v>20666817</v>
      </c>
      <c r="M26" s="3">
        <v>33537431288.700001</v>
      </c>
      <c r="N26" s="4">
        <v>464696</v>
      </c>
      <c r="O26">
        <f t="shared" si="0"/>
        <v>-2.6157972455775599E-2</v>
      </c>
    </row>
    <row r="27" spans="1:15" ht="14.25" customHeight="1" x14ac:dyDescent="0.3">
      <c r="A27" s="2">
        <v>45510</v>
      </c>
      <c r="B27" t="s">
        <v>15</v>
      </c>
      <c r="C27" s="3">
        <v>1630</v>
      </c>
      <c r="D27" s="3">
        <v>1632.95</v>
      </c>
      <c r="E27" s="3">
        <v>1593.3</v>
      </c>
      <c r="F27" s="3">
        <v>1615.75</v>
      </c>
      <c r="G27" s="3">
        <v>1602.7</v>
      </c>
      <c r="H27" s="3">
        <v>1601.2</v>
      </c>
      <c r="I27" s="3">
        <v>1608.02</v>
      </c>
      <c r="J27" s="3">
        <v>1794</v>
      </c>
      <c r="K27" s="3">
        <v>1363.55</v>
      </c>
      <c r="L27" s="4">
        <v>22558025</v>
      </c>
      <c r="M27" s="3">
        <v>36273837922.849998</v>
      </c>
      <c r="N27" s="4">
        <v>388854</v>
      </c>
      <c r="O27">
        <f t="shared" si="0"/>
        <v>-9.0051059879312726E-3</v>
      </c>
    </row>
    <row r="28" spans="1:15" ht="14.25" customHeight="1" x14ac:dyDescent="0.3">
      <c r="A28" s="2">
        <v>45511</v>
      </c>
      <c r="B28" t="s">
        <v>15</v>
      </c>
      <c r="C28" s="3">
        <v>1617</v>
      </c>
      <c r="D28" s="3">
        <v>1630</v>
      </c>
      <c r="E28" s="3">
        <v>1602.2</v>
      </c>
      <c r="F28" s="3">
        <v>1601.2</v>
      </c>
      <c r="G28" s="3">
        <v>1628.5</v>
      </c>
      <c r="H28" s="3">
        <v>1623.5</v>
      </c>
      <c r="I28" s="3">
        <v>1617.23</v>
      </c>
      <c r="J28" s="3">
        <v>1794</v>
      </c>
      <c r="K28" s="3">
        <v>1363.55</v>
      </c>
      <c r="L28" s="4">
        <v>21173132</v>
      </c>
      <c r="M28" s="3">
        <v>34241847264.5</v>
      </c>
      <c r="N28" s="4">
        <v>337720</v>
      </c>
      <c r="O28">
        <f t="shared" si="0"/>
        <v>1.3927054708968245E-2</v>
      </c>
    </row>
    <row r="29" spans="1:15" ht="14.25" customHeight="1" x14ac:dyDescent="0.3">
      <c r="A29" s="2">
        <v>45512</v>
      </c>
      <c r="B29" t="s">
        <v>15</v>
      </c>
      <c r="C29" s="3">
        <v>1624</v>
      </c>
      <c r="D29" s="3">
        <v>1653.3</v>
      </c>
      <c r="E29" s="3">
        <v>1619.25</v>
      </c>
      <c r="F29" s="3">
        <v>1623.5</v>
      </c>
      <c r="G29" s="3">
        <v>1640.2</v>
      </c>
      <c r="H29" s="3">
        <v>1642.7</v>
      </c>
      <c r="I29" s="3">
        <v>1638.73</v>
      </c>
      <c r="J29" s="3">
        <v>1794</v>
      </c>
      <c r="K29" s="3">
        <v>1363.55</v>
      </c>
      <c r="L29" s="4">
        <v>16988475</v>
      </c>
      <c r="M29" s="3">
        <v>27839562575.599998</v>
      </c>
      <c r="N29" s="4">
        <v>327468</v>
      </c>
      <c r="O29">
        <f t="shared" si="0"/>
        <v>1.1826301201108743E-2</v>
      </c>
    </row>
    <row r="30" spans="1:15" ht="14.25" customHeight="1" x14ac:dyDescent="0.3">
      <c r="A30" s="2">
        <v>45513</v>
      </c>
      <c r="B30" t="s">
        <v>15</v>
      </c>
      <c r="C30" s="3">
        <v>1652</v>
      </c>
      <c r="D30" s="3">
        <v>1662.55</v>
      </c>
      <c r="E30" s="3">
        <v>1645.8</v>
      </c>
      <c r="F30" s="3">
        <v>1642.7</v>
      </c>
      <c r="G30" s="3">
        <v>1650</v>
      </c>
      <c r="H30" s="3">
        <v>1650.2</v>
      </c>
      <c r="I30" s="3">
        <v>1655.58</v>
      </c>
      <c r="J30" s="3">
        <v>1794</v>
      </c>
      <c r="K30" s="3">
        <v>1363.55</v>
      </c>
      <c r="L30" s="4">
        <v>13322309</v>
      </c>
      <c r="M30" s="3">
        <v>22056157155.5</v>
      </c>
      <c r="N30" s="4">
        <v>291916</v>
      </c>
      <c r="O30">
        <f t="shared" si="0"/>
        <v>4.565654106044926E-3</v>
      </c>
    </row>
    <row r="31" spans="1:15" ht="14.25" customHeight="1" x14ac:dyDescent="0.3">
      <c r="A31" s="2">
        <v>45516</v>
      </c>
      <c r="B31" t="s">
        <v>15</v>
      </c>
      <c r="C31" s="3">
        <v>1652</v>
      </c>
      <c r="D31" s="3">
        <v>1675.95</v>
      </c>
      <c r="E31" s="3">
        <v>1647.35</v>
      </c>
      <c r="F31" s="3">
        <v>1650.2</v>
      </c>
      <c r="G31" s="3">
        <v>1660</v>
      </c>
      <c r="H31" s="3">
        <v>1660.1</v>
      </c>
      <c r="I31" s="3">
        <v>1664.63</v>
      </c>
      <c r="J31" s="3">
        <v>1794</v>
      </c>
      <c r="K31" s="3">
        <v>1363.55</v>
      </c>
      <c r="L31" s="4">
        <v>19658098</v>
      </c>
      <c r="M31" s="3">
        <v>32723506965</v>
      </c>
      <c r="N31" s="4">
        <v>363538</v>
      </c>
      <c r="O31">
        <f t="shared" si="0"/>
        <v>5.9992728154162301E-3</v>
      </c>
    </row>
    <row r="32" spans="1:15" ht="14.25" customHeight="1" x14ac:dyDescent="0.3">
      <c r="A32" s="2">
        <v>45517</v>
      </c>
      <c r="B32" t="s">
        <v>15</v>
      </c>
      <c r="C32" s="3">
        <v>1628</v>
      </c>
      <c r="D32" s="3">
        <v>1632.4</v>
      </c>
      <c r="E32" s="3">
        <v>1601.15</v>
      </c>
      <c r="F32" s="3">
        <v>1660.1</v>
      </c>
      <c r="G32" s="3">
        <v>1605.9</v>
      </c>
      <c r="H32" s="3">
        <v>1603.2</v>
      </c>
      <c r="I32" s="3">
        <v>1613.32</v>
      </c>
      <c r="J32" s="3">
        <v>1794</v>
      </c>
      <c r="K32" s="3">
        <v>1363.55</v>
      </c>
      <c r="L32" s="4">
        <v>27027521</v>
      </c>
      <c r="M32" s="3">
        <v>43604163966.099998</v>
      </c>
      <c r="N32" s="4">
        <v>601558</v>
      </c>
      <c r="O32">
        <f t="shared" si="0"/>
        <v>-3.4275043672067865E-2</v>
      </c>
    </row>
    <row r="33" spans="1:15" ht="14.25" customHeight="1" x14ac:dyDescent="0.3">
      <c r="A33" s="2">
        <v>45518</v>
      </c>
      <c r="B33" t="s">
        <v>15</v>
      </c>
      <c r="C33" s="3">
        <v>1606.5</v>
      </c>
      <c r="D33" s="3">
        <v>1613.7</v>
      </c>
      <c r="E33" s="3">
        <v>1603.2</v>
      </c>
      <c r="F33" s="3">
        <v>1603.2</v>
      </c>
      <c r="G33" s="3">
        <v>1607.8</v>
      </c>
      <c r="H33" s="3">
        <v>1607.8</v>
      </c>
      <c r="I33" s="3">
        <v>1607.97</v>
      </c>
      <c r="J33" s="3">
        <v>1794</v>
      </c>
      <c r="K33" s="3">
        <v>1363.55</v>
      </c>
      <c r="L33" s="4">
        <v>16167214</v>
      </c>
      <c r="M33" s="3">
        <v>25996412110.400002</v>
      </c>
      <c r="N33" s="4">
        <v>259067</v>
      </c>
      <c r="O33">
        <f t="shared" si="0"/>
        <v>2.8692614770458513E-3</v>
      </c>
    </row>
    <row r="34" spans="1:15" ht="14.25" customHeight="1" x14ac:dyDescent="0.3">
      <c r="A34" s="2">
        <v>45520</v>
      </c>
      <c r="B34" t="s">
        <v>15</v>
      </c>
      <c r="C34" s="3">
        <v>1628.5</v>
      </c>
      <c r="D34" s="3">
        <v>1634.15</v>
      </c>
      <c r="E34" s="3">
        <v>1611</v>
      </c>
      <c r="F34" s="3">
        <v>1607.8</v>
      </c>
      <c r="G34" s="3">
        <v>1631.5</v>
      </c>
      <c r="H34" s="3">
        <v>1632.1</v>
      </c>
      <c r="I34" s="3">
        <v>1624.71</v>
      </c>
      <c r="J34" s="3">
        <v>1794</v>
      </c>
      <c r="K34" s="3">
        <v>1363.55</v>
      </c>
      <c r="L34" s="4">
        <v>13924623</v>
      </c>
      <c r="M34" s="3">
        <v>22623479529.549999</v>
      </c>
      <c r="N34" s="4">
        <v>302506</v>
      </c>
      <c r="O34">
        <f t="shared" si="0"/>
        <v>1.5113820126881426E-2</v>
      </c>
    </row>
    <row r="35" spans="1:15" ht="14.25" customHeight="1" x14ac:dyDescent="0.3">
      <c r="A35" s="2">
        <v>45523</v>
      </c>
      <c r="B35" t="s">
        <v>15</v>
      </c>
      <c r="C35" s="3">
        <v>1637.65</v>
      </c>
      <c r="D35" s="3">
        <v>1637.65</v>
      </c>
      <c r="E35" s="3">
        <v>1623.7</v>
      </c>
      <c r="F35" s="3">
        <v>1632.1</v>
      </c>
      <c r="G35" s="3">
        <v>1632.75</v>
      </c>
      <c r="H35" s="3">
        <v>1631.55</v>
      </c>
      <c r="I35" s="3">
        <v>1628.46</v>
      </c>
      <c r="J35" s="3">
        <v>1794</v>
      </c>
      <c r="K35" s="3">
        <v>1363.55</v>
      </c>
      <c r="L35" s="4">
        <v>9751082</v>
      </c>
      <c r="M35" s="3">
        <v>15879278800.799999</v>
      </c>
      <c r="N35" s="4">
        <v>166314</v>
      </c>
      <c r="O35">
        <f t="shared" si="0"/>
        <v>-3.3698915507625424E-4</v>
      </c>
    </row>
    <row r="36" spans="1:15" ht="14.25" customHeight="1" x14ac:dyDescent="0.3">
      <c r="A36" s="2">
        <v>45524</v>
      </c>
      <c r="B36" t="s">
        <v>15</v>
      </c>
      <c r="C36" s="3">
        <v>1627.45</v>
      </c>
      <c r="D36" s="3">
        <v>1646</v>
      </c>
      <c r="E36" s="3">
        <v>1627.45</v>
      </c>
      <c r="F36" s="3">
        <v>1631.55</v>
      </c>
      <c r="G36" s="3">
        <v>1634</v>
      </c>
      <c r="H36" s="3">
        <v>1637.7</v>
      </c>
      <c r="I36" s="3">
        <v>1639.14</v>
      </c>
      <c r="J36" s="3">
        <v>1794</v>
      </c>
      <c r="K36" s="3">
        <v>1363.55</v>
      </c>
      <c r="L36" s="4">
        <v>15567247</v>
      </c>
      <c r="M36" s="3">
        <v>25516952644.849998</v>
      </c>
      <c r="N36" s="4">
        <v>240802</v>
      </c>
      <c r="O36">
        <f t="shared" si="0"/>
        <v>3.7694217155466222E-3</v>
      </c>
    </row>
    <row r="37" spans="1:15" ht="14.25" customHeight="1" x14ac:dyDescent="0.3">
      <c r="A37" s="2">
        <v>45525</v>
      </c>
      <c r="B37" t="s">
        <v>15</v>
      </c>
      <c r="C37" s="3">
        <v>1628.1</v>
      </c>
      <c r="D37" s="3">
        <v>1634.55</v>
      </c>
      <c r="E37" s="3">
        <v>1617.8</v>
      </c>
      <c r="F37" s="3">
        <v>1637.7</v>
      </c>
      <c r="G37" s="3">
        <v>1628</v>
      </c>
      <c r="H37" s="3">
        <v>1625.8</v>
      </c>
      <c r="I37" s="3">
        <v>1624.85</v>
      </c>
      <c r="J37" s="3">
        <v>1794</v>
      </c>
      <c r="K37" s="3">
        <v>1363.55</v>
      </c>
      <c r="L37" s="4">
        <v>23815452</v>
      </c>
      <c r="M37" s="3">
        <v>38696527016.25</v>
      </c>
      <c r="N37" s="4">
        <v>323415</v>
      </c>
      <c r="O37">
        <f t="shared" si="0"/>
        <v>-7.2662880869512675E-3</v>
      </c>
    </row>
    <row r="38" spans="1:15" ht="14.25" customHeight="1" x14ac:dyDescent="0.3">
      <c r="A38" s="2">
        <v>45526</v>
      </c>
      <c r="B38" t="s">
        <v>15</v>
      </c>
      <c r="C38" s="3">
        <v>1632</v>
      </c>
      <c r="D38" s="3">
        <v>1638.3</v>
      </c>
      <c r="E38" s="3">
        <v>1628</v>
      </c>
      <c r="F38" s="3">
        <v>1625.8</v>
      </c>
      <c r="G38" s="3">
        <v>1628.95</v>
      </c>
      <c r="H38" s="3">
        <v>1631.3</v>
      </c>
      <c r="I38" s="3">
        <v>1632.58</v>
      </c>
      <c r="J38" s="3">
        <v>1794</v>
      </c>
      <c r="K38" s="3">
        <v>1363.55</v>
      </c>
      <c r="L38" s="4">
        <v>10650319</v>
      </c>
      <c r="M38" s="3">
        <v>17387521802.75</v>
      </c>
      <c r="N38" s="4">
        <v>272441</v>
      </c>
      <c r="O38">
        <f t="shared" si="0"/>
        <v>3.3829499323410014E-3</v>
      </c>
    </row>
    <row r="39" spans="1:15" ht="14.25" customHeight="1" x14ac:dyDescent="0.3">
      <c r="A39" s="2">
        <v>45527</v>
      </c>
      <c r="B39" t="s">
        <v>15</v>
      </c>
      <c r="C39" s="3">
        <v>1634</v>
      </c>
      <c r="D39" s="3">
        <v>1634</v>
      </c>
      <c r="E39" s="3">
        <v>1623</v>
      </c>
      <c r="F39" s="3">
        <v>1631.3</v>
      </c>
      <c r="G39" s="3">
        <v>1625.2</v>
      </c>
      <c r="H39" s="3">
        <v>1625.05</v>
      </c>
      <c r="I39" s="3">
        <v>1627.63</v>
      </c>
      <c r="J39" s="3">
        <v>1794</v>
      </c>
      <c r="K39" s="3">
        <v>1363.55</v>
      </c>
      <c r="L39" s="4">
        <v>10166711</v>
      </c>
      <c r="M39" s="3">
        <v>16547668751.15</v>
      </c>
      <c r="N39" s="4">
        <v>212238</v>
      </c>
      <c r="O39">
        <f t="shared" si="0"/>
        <v>-3.8313001900324895E-3</v>
      </c>
    </row>
    <row r="40" spans="1:15" ht="14.25" customHeight="1" x14ac:dyDescent="0.3">
      <c r="A40" s="2">
        <v>45530</v>
      </c>
      <c r="B40" t="s">
        <v>15</v>
      </c>
      <c r="C40" s="3">
        <v>1632.2</v>
      </c>
      <c r="D40" s="3">
        <v>1647.95</v>
      </c>
      <c r="E40" s="3">
        <v>1632.2</v>
      </c>
      <c r="F40" s="3">
        <v>1625.05</v>
      </c>
      <c r="G40" s="3">
        <v>1640</v>
      </c>
      <c r="H40" s="3">
        <v>1639.95</v>
      </c>
      <c r="I40" s="3">
        <v>1642.31</v>
      </c>
      <c r="J40" s="3">
        <v>1794</v>
      </c>
      <c r="K40" s="3">
        <v>1363.55</v>
      </c>
      <c r="L40" s="4">
        <v>11182133</v>
      </c>
      <c r="M40" s="3">
        <v>18364486559.549999</v>
      </c>
      <c r="N40" s="4">
        <v>275112</v>
      </c>
      <c r="O40">
        <f t="shared" si="0"/>
        <v>9.168948647733972E-3</v>
      </c>
    </row>
    <row r="41" spans="1:15" ht="14.25" customHeight="1" x14ac:dyDescent="0.3">
      <c r="A41" s="2">
        <v>45531</v>
      </c>
      <c r="B41" t="s">
        <v>15</v>
      </c>
      <c r="C41" s="3">
        <v>1643.4</v>
      </c>
      <c r="D41" s="3">
        <v>1647.4</v>
      </c>
      <c r="E41" s="3">
        <v>1632.2</v>
      </c>
      <c r="F41" s="3">
        <v>1639.95</v>
      </c>
      <c r="G41" s="3">
        <v>1634.45</v>
      </c>
      <c r="H41" s="3">
        <v>1637.75</v>
      </c>
      <c r="I41" s="3">
        <v>1639.59</v>
      </c>
      <c r="J41" s="3">
        <v>1794</v>
      </c>
      <c r="K41" s="3">
        <v>1363.55</v>
      </c>
      <c r="L41" s="4">
        <v>17886622</v>
      </c>
      <c r="M41" s="3">
        <v>29326792469</v>
      </c>
      <c r="N41" s="4">
        <v>292507</v>
      </c>
      <c r="O41">
        <f t="shared" si="0"/>
        <v>-1.341504314155947E-3</v>
      </c>
    </row>
    <row r="42" spans="1:15" ht="14.25" customHeight="1" x14ac:dyDescent="0.3">
      <c r="A42" s="2">
        <v>45532</v>
      </c>
      <c r="B42" t="s">
        <v>15</v>
      </c>
      <c r="C42" s="3">
        <v>1637.75</v>
      </c>
      <c r="D42" s="3">
        <v>1639.75</v>
      </c>
      <c r="E42" s="3">
        <v>1630.2</v>
      </c>
      <c r="F42" s="3">
        <v>1637.75</v>
      </c>
      <c r="G42" s="3">
        <v>1635.95</v>
      </c>
      <c r="H42" s="3">
        <v>1637.1</v>
      </c>
      <c r="I42" s="3">
        <v>1636.29</v>
      </c>
      <c r="J42" s="3">
        <v>1794</v>
      </c>
      <c r="K42" s="3">
        <v>1363.55</v>
      </c>
      <c r="L42" s="4">
        <v>13460594</v>
      </c>
      <c r="M42" s="3">
        <v>22025391586.450001</v>
      </c>
      <c r="N42" s="4">
        <v>275424</v>
      </c>
      <c r="O42">
        <f t="shared" si="0"/>
        <v>-3.9688597160744373E-4</v>
      </c>
    </row>
    <row r="43" spans="1:15" ht="14.25" customHeight="1" x14ac:dyDescent="0.3">
      <c r="A43" s="2">
        <v>45533</v>
      </c>
      <c r="B43" t="s">
        <v>15</v>
      </c>
      <c r="C43" s="3">
        <v>1642</v>
      </c>
      <c r="D43" s="3">
        <v>1644.4</v>
      </c>
      <c r="E43" s="3">
        <v>1631.15</v>
      </c>
      <c r="F43" s="3">
        <v>1637.1</v>
      </c>
      <c r="G43" s="3">
        <v>1639.95</v>
      </c>
      <c r="H43" s="3">
        <v>1638.55</v>
      </c>
      <c r="I43" s="3">
        <v>1637.56</v>
      </c>
      <c r="J43" s="3">
        <v>1794</v>
      </c>
      <c r="K43" s="3">
        <v>1363.55</v>
      </c>
      <c r="L43" s="4">
        <v>24526302</v>
      </c>
      <c r="M43" s="3">
        <v>40163206501.150002</v>
      </c>
      <c r="N43" s="4">
        <v>432962</v>
      </c>
      <c r="O43">
        <f t="shared" si="0"/>
        <v>8.8571254046792842E-4</v>
      </c>
    </row>
    <row r="44" spans="1:15" ht="14.25" customHeight="1" x14ac:dyDescent="0.3">
      <c r="A44" s="2">
        <v>45534</v>
      </c>
      <c r="B44" t="s">
        <v>15</v>
      </c>
      <c r="C44" s="3">
        <v>1656</v>
      </c>
      <c r="D44" s="3">
        <v>1662</v>
      </c>
      <c r="E44" s="3">
        <v>1621.15</v>
      </c>
      <c r="F44" s="3">
        <v>1638.55</v>
      </c>
      <c r="G44" s="3">
        <v>1625.75</v>
      </c>
      <c r="H44" s="3">
        <v>1636.9</v>
      </c>
      <c r="I44" s="3">
        <v>1638.34</v>
      </c>
      <c r="J44" s="3">
        <v>1794</v>
      </c>
      <c r="K44" s="3">
        <v>1363.55</v>
      </c>
      <c r="L44" s="4">
        <v>222671050</v>
      </c>
      <c r="M44" s="3">
        <v>364811305104.20001</v>
      </c>
      <c r="N44" s="4">
        <v>564643</v>
      </c>
      <c r="O44">
        <f t="shared" si="0"/>
        <v>-1.0069878856305047E-3</v>
      </c>
    </row>
    <row r="45" spans="1:15" ht="14.25" customHeight="1" x14ac:dyDescent="0.3">
      <c r="A45" s="2">
        <v>45537</v>
      </c>
      <c r="B45" t="s">
        <v>15</v>
      </c>
      <c r="C45" s="3">
        <v>1646.8</v>
      </c>
      <c r="D45" s="3">
        <v>1646.8</v>
      </c>
      <c r="E45" s="3">
        <v>1623.2</v>
      </c>
      <c r="F45" s="3">
        <v>1636.9</v>
      </c>
      <c r="G45" s="3">
        <v>1626</v>
      </c>
      <c r="H45" s="3">
        <v>1626.95</v>
      </c>
      <c r="I45" s="3">
        <v>1631.94</v>
      </c>
      <c r="J45" s="3">
        <v>1794</v>
      </c>
      <c r="K45" s="3">
        <v>1363.55</v>
      </c>
      <c r="L45" s="4">
        <v>17024840</v>
      </c>
      <c r="M45" s="3">
        <v>27783483803.950001</v>
      </c>
      <c r="N45" s="4">
        <v>375245</v>
      </c>
      <c r="O45">
        <f t="shared" si="0"/>
        <v>-6.0785631376382458E-3</v>
      </c>
    </row>
    <row r="46" spans="1:15" ht="14.25" customHeight="1" x14ac:dyDescent="0.3">
      <c r="A46" s="2">
        <v>45538</v>
      </c>
      <c r="B46" t="s">
        <v>15</v>
      </c>
      <c r="C46" s="3">
        <v>1634</v>
      </c>
      <c r="D46" s="3">
        <v>1639.95</v>
      </c>
      <c r="E46" s="3">
        <v>1624.6</v>
      </c>
      <c r="F46" s="3">
        <v>1626.95</v>
      </c>
      <c r="G46" s="3">
        <v>1638</v>
      </c>
      <c r="H46" s="3">
        <v>1637.35</v>
      </c>
      <c r="I46" s="3">
        <v>1632.11</v>
      </c>
      <c r="J46" s="3">
        <v>1794</v>
      </c>
      <c r="K46" s="3">
        <v>1363.55</v>
      </c>
      <c r="L46" s="4">
        <v>18641430</v>
      </c>
      <c r="M46" s="3">
        <v>30424819912.049999</v>
      </c>
      <c r="N46" s="4">
        <v>292439</v>
      </c>
      <c r="O46">
        <f t="shared" si="0"/>
        <v>6.3923292049539709E-3</v>
      </c>
    </row>
    <row r="47" spans="1:15" ht="14.25" customHeight="1" x14ac:dyDescent="0.3">
      <c r="A47" s="2">
        <v>45539</v>
      </c>
      <c r="B47" t="s">
        <v>15</v>
      </c>
      <c r="C47" s="3">
        <v>1639</v>
      </c>
      <c r="D47" s="3">
        <v>1644.8</v>
      </c>
      <c r="E47" s="3">
        <v>1632</v>
      </c>
      <c r="F47" s="3">
        <v>1637.35</v>
      </c>
      <c r="G47" s="3">
        <v>1641.05</v>
      </c>
      <c r="H47" s="3">
        <v>1641.8</v>
      </c>
      <c r="I47" s="3">
        <v>1639.54</v>
      </c>
      <c r="J47" s="3">
        <v>1794</v>
      </c>
      <c r="K47" s="3">
        <v>1363.55</v>
      </c>
      <c r="L47" s="4">
        <v>12341372</v>
      </c>
      <c r="M47" s="3">
        <v>20234215559.049999</v>
      </c>
      <c r="N47" s="4">
        <v>294496</v>
      </c>
      <c r="O47">
        <f t="shared" si="0"/>
        <v>2.7178062112560211E-3</v>
      </c>
    </row>
    <row r="48" spans="1:15" ht="14.25" customHeight="1" x14ac:dyDescent="0.3">
      <c r="A48" s="2">
        <v>45540</v>
      </c>
      <c r="B48" t="s">
        <v>15</v>
      </c>
      <c r="C48" s="3">
        <v>1646</v>
      </c>
      <c r="D48" s="3">
        <v>1649.9</v>
      </c>
      <c r="E48" s="3">
        <v>1642</v>
      </c>
      <c r="F48" s="3">
        <v>1641.8</v>
      </c>
      <c r="G48" s="3">
        <v>1644.4</v>
      </c>
      <c r="H48" s="3">
        <v>1645.45</v>
      </c>
      <c r="I48" s="3">
        <v>1645.43</v>
      </c>
      <c r="J48" s="3">
        <v>1794</v>
      </c>
      <c r="K48" s="3">
        <v>1363.55</v>
      </c>
      <c r="L48" s="4">
        <v>11438159</v>
      </c>
      <c r="M48" s="3">
        <v>18820712001.799999</v>
      </c>
      <c r="N48" s="4">
        <v>245493</v>
      </c>
      <c r="O48">
        <f t="shared" si="0"/>
        <v>2.2231696918017367E-3</v>
      </c>
    </row>
    <row r="49" spans="1:15" ht="14.25" customHeight="1" x14ac:dyDescent="0.3">
      <c r="A49" s="2">
        <v>45541</v>
      </c>
      <c r="B49" t="s">
        <v>15</v>
      </c>
      <c r="C49" s="3">
        <v>1638.3</v>
      </c>
      <c r="D49" s="3">
        <v>1647.75</v>
      </c>
      <c r="E49" s="3">
        <v>1634.1</v>
      </c>
      <c r="F49" s="3">
        <v>1645.45</v>
      </c>
      <c r="G49" s="3">
        <v>1638.15</v>
      </c>
      <c r="H49" s="3">
        <v>1636.95</v>
      </c>
      <c r="I49" s="3">
        <v>1639.77</v>
      </c>
      <c r="J49" s="3">
        <v>1794</v>
      </c>
      <c r="K49" s="3">
        <v>1363.55</v>
      </c>
      <c r="L49" s="4">
        <v>13014801</v>
      </c>
      <c r="M49" s="3">
        <v>21341304566.099998</v>
      </c>
      <c r="N49" s="4">
        <v>296891</v>
      </c>
      <c r="O49">
        <f t="shared" si="0"/>
        <v>-5.1657601264091888E-3</v>
      </c>
    </row>
    <row r="50" spans="1:15" ht="14.25" customHeight="1" x14ac:dyDescent="0.3">
      <c r="A50" s="2">
        <v>45544</v>
      </c>
      <c r="B50" t="s">
        <v>15</v>
      </c>
      <c r="C50" s="3">
        <v>1638</v>
      </c>
      <c r="D50" s="3">
        <v>1648.5</v>
      </c>
      <c r="E50" s="3">
        <v>1630.1</v>
      </c>
      <c r="F50" s="3">
        <v>1636.95</v>
      </c>
      <c r="G50" s="3">
        <v>1644.85</v>
      </c>
      <c r="H50" s="3">
        <v>1646.5</v>
      </c>
      <c r="I50" s="3">
        <v>1640.85</v>
      </c>
      <c r="J50" s="3">
        <v>1794</v>
      </c>
      <c r="K50" s="3">
        <v>1363.55</v>
      </c>
      <c r="L50" s="4">
        <v>11896457</v>
      </c>
      <c r="M50" s="3">
        <v>19520244474.049999</v>
      </c>
      <c r="N50" s="4">
        <v>258547</v>
      </c>
      <c r="O50">
        <f t="shared" si="0"/>
        <v>5.8340205870673839E-3</v>
      </c>
    </row>
    <row r="51" spans="1:15" ht="14.25" customHeight="1" x14ac:dyDescent="0.3">
      <c r="A51" s="2">
        <v>45545</v>
      </c>
      <c r="B51" t="s">
        <v>15</v>
      </c>
      <c r="C51" s="3">
        <v>1654</v>
      </c>
      <c r="D51" s="3">
        <v>1654</v>
      </c>
      <c r="E51" s="3">
        <v>1638</v>
      </c>
      <c r="F51" s="3">
        <v>1646.5</v>
      </c>
      <c r="G51" s="3">
        <v>1650.8</v>
      </c>
      <c r="H51" s="3">
        <v>1650.35</v>
      </c>
      <c r="I51" s="3">
        <v>1648.2</v>
      </c>
      <c r="J51" s="3">
        <v>1794</v>
      </c>
      <c r="K51" s="3">
        <v>1363.55</v>
      </c>
      <c r="L51" s="4">
        <v>13303323</v>
      </c>
      <c r="M51" s="3">
        <v>21926534318.849998</v>
      </c>
      <c r="N51" s="4">
        <v>306124</v>
      </c>
      <c r="O51">
        <f t="shared" si="0"/>
        <v>2.3382933495292493E-3</v>
      </c>
    </row>
    <row r="52" spans="1:15" ht="14.25" customHeight="1" x14ac:dyDescent="0.3">
      <c r="A52" s="2">
        <v>45546</v>
      </c>
      <c r="B52" t="s">
        <v>15</v>
      </c>
      <c r="C52" s="3">
        <v>1650.4</v>
      </c>
      <c r="D52" s="3">
        <v>1652.5</v>
      </c>
      <c r="E52" s="3">
        <v>1639.2</v>
      </c>
      <c r="F52" s="3">
        <v>1650.35</v>
      </c>
      <c r="G52" s="3">
        <v>1650</v>
      </c>
      <c r="H52" s="3">
        <v>1643.9</v>
      </c>
      <c r="I52" s="3">
        <v>1645.85</v>
      </c>
      <c r="J52" s="3">
        <v>1794</v>
      </c>
      <c r="K52" s="3">
        <v>1363.55</v>
      </c>
      <c r="L52" s="4">
        <v>11113342</v>
      </c>
      <c r="M52" s="3">
        <v>18290901279.5</v>
      </c>
      <c r="N52" s="4">
        <v>248100</v>
      </c>
      <c r="O52">
        <f t="shared" si="0"/>
        <v>-3.9082618838427114E-3</v>
      </c>
    </row>
    <row r="53" spans="1:15" ht="14.25" customHeight="1" x14ac:dyDescent="0.3">
      <c r="A53" s="2">
        <v>45547</v>
      </c>
      <c r="B53" t="s">
        <v>15</v>
      </c>
      <c r="C53" s="3">
        <v>1654</v>
      </c>
      <c r="D53" s="3">
        <v>1670</v>
      </c>
      <c r="E53" s="3">
        <v>1647.05</v>
      </c>
      <c r="F53" s="3">
        <v>1643.9</v>
      </c>
      <c r="G53" s="3">
        <v>1661.45</v>
      </c>
      <c r="H53" s="3">
        <v>1666.6</v>
      </c>
      <c r="I53" s="3">
        <v>1659.83</v>
      </c>
      <c r="J53" s="3">
        <v>1794</v>
      </c>
      <c r="K53" s="3">
        <v>1363.55</v>
      </c>
      <c r="L53" s="4">
        <v>16212023</v>
      </c>
      <c r="M53" s="3">
        <v>26909182591.25</v>
      </c>
      <c r="N53" s="4">
        <v>266121</v>
      </c>
      <c r="O53">
        <f t="shared" si="0"/>
        <v>1.3808625828821593E-2</v>
      </c>
    </row>
    <row r="54" spans="1:15" ht="14.25" customHeight="1" x14ac:dyDescent="0.3">
      <c r="A54" s="2">
        <v>45548</v>
      </c>
      <c r="B54" t="s">
        <v>15</v>
      </c>
      <c r="C54" s="3">
        <v>1674</v>
      </c>
      <c r="D54" s="3">
        <v>1674</v>
      </c>
      <c r="E54" s="3">
        <v>1657.05</v>
      </c>
      <c r="F54" s="3">
        <v>1666.6</v>
      </c>
      <c r="G54" s="3">
        <v>1664.8</v>
      </c>
      <c r="H54" s="3">
        <v>1665.95</v>
      </c>
      <c r="I54" s="3">
        <v>1663.66</v>
      </c>
      <c r="J54" s="3">
        <v>1794</v>
      </c>
      <c r="K54" s="3">
        <v>1363.55</v>
      </c>
      <c r="L54" s="4">
        <v>11930266</v>
      </c>
      <c r="M54" s="3">
        <v>19847946539.349998</v>
      </c>
      <c r="N54" s="4">
        <v>275521</v>
      </c>
      <c r="O54">
        <f t="shared" si="0"/>
        <v>-3.9001560062394312E-4</v>
      </c>
    </row>
    <row r="55" spans="1:15" ht="14.25" customHeight="1" x14ac:dyDescent="0.3">
      <c r="A55" s="2">
        <v>45551</v>
      </c>
      <c r="B55" t="s">
        <v>15</v>
      </c>
      <c r="C55" s="3">
        <v>1667</v>
      </c>
      <c r="D55" s="3">
        <v>1677.8</v>
      </c>
      <c r="E55" s="3">
        <v>1664.05</v>
      </c>
      <c r="F55" s="3">
        <v>1665.95</v>
      </c>
      <c r="G55" s="3">
        <v>1670</v>
      </c>
      <c r="H55" s="3">
        <v>1670.95</v>
      </c>
      <c r="I55" s="3">
        <v>1670.83</v>
      </c>
      <c r="J55" s="3">
        <v>1794</v>
      </c>
      <c r="K55" s="3">
        <v>1363.55</v>
      </c>
      <c r="L55" s="4">
        <v>7586410</v>
      </c>
      <c r="M55" s="3">
        <v>12675630406.450001</v>
      </c>
      <c r="N55" s="4">
        <v>214575</v>
      </c>
      <c r="O55">
        <f t="shared" si="0"/>
        <v>3.0012905549386235E-3</v>
      </c>
    </row>
    <row r="56" spans="1:15" ht="14.25" customHeight="1" x14ac:dyDescent="0.3">
      <c r="A56" s="2">
        <v>45552</v>
      </c>
      <c r="B56" t="s">
        <v>15</v>
      </c>
      <c r="C56" s="3">
        <v>1678</v>
      </c>
      <c r="D56" s="3">
        <v>1678</v>
      </c>
      <c r="E56" s="3">
        <v>1664.15</v>
      </c>
      <c r="F56" s="3">
        <v>1670.95</v>
      </c>
      <c r="G56" s="3">
        <v>1668.3</v>
      </c>
      <c r="H56" s="3">
        <v>1668.8</v>
      </c>
      <c r="I56" s="3">
        <v>1668.9</v>
      </c>
      <c r="J56" s="3">
        <v>1794</v>
      </c>
      <c r="K56" s="3">
        <v>1363.55</v>
      </c>
      <c r="L56" s="4">
        <v>10063561</v>
      </c>
      <c r="M56" s="3">
        <v>16795097219.15</v>
      </c>
      <c r="N56" s="4">
        <v>273207</v>
      </c>
      <c r="O56">
        <f t="shared" si="0"/>
        <v>-1.286693198479961E-3</v>
      </c>
    </row>
    <row r="57" spans="1:15" ht="14.25" customHeight="1" x14ac:dyDescent="0.3">
      <c r="A57" s="2">
        <v>45553</v>
      </c>
      <c r="B57" t="s">
        <v>15</v>
      </c>
      <c r="C57" s="3">
        <v>1671.85</v>
      </c>
      <c r="D57" s="3">
        <v>1698.9</v>
      </c>
      <c r="E57" s="3">
        <v>1671.1</v>
      </c>
      <c r="F57" s="3">
        <v>1668.8</v>
      </c>
      <c r="G57" s="3">
        <v>1692.95</v>
      </c>
      <c r="H57" s="3">
        <v>1694.8</v>
      </c>
      <c r="I57" s="3">
        <v>1691.3</v>
      </c>
      <c r="J57" s="3">
        <v>1794</v>
      </c>
      <c r="K57" s="3">
        <v>1363.55</v>
      </c>
      <c r="L57" s="4">
        <v>20458671</v>
      </c>
      <c r="M57" s="3">
        <v>34601683780.25</v>
      </c>
      <c r="N57" s="4">
        <v>447311</v>
      </c>
      <c r="O57">
        <f t="shared" si="0"/>
        <v>1.5580057526366252E-2</v>
      </c>
    </row>
    <row r="58" spans="1:15" ht="14.25" customHeight="1" x14ac:dyDescent="0.3">
      <c r="A58" s="2">
        <v>45554</v>
      </c>
      <c r="B58" t="s">
        <v>15</v>
      </c>
      <c r="C58" s="3">
        <v>1699.2</v>
      </c>
      <c r="D58" s="3">
        <v>1719</v>
      </c>
      <c r="E58" s="3">
        <v>1699.15</v>
      </c>
      <c r="F58" s="3">
        <v>1694.8</v>
      </c>
      <c r="G58" s="3">
        <v>1707.7</v>
      </c>
      <c r="H58" s="3">
        <v>1708.5</v>
      </c>
      <c r="I58" s="3">
        <v>1710.95</v>
      </c>
      <c r="J58" s="3">
        <v>1794</v>
      </c>
      <c r="K58" s="3">
        <v>1363.55</v>
      </c>
      <c r="L58" s="4">
        <v>15325888</v>
      </c>
      <c r="M58" s="3">
        <v>26221770150.400002</v>
      </c>
      <c r="N58" s="4">
        <v>347649</v>
      </c>
      <c r="O58">
        <f t="shared" si="0"/>
        <v>8.0835496813783606E-3</v>
      </c>
    </row>
    <row r="59" spans="1:15" ht="14.25" customHeight="1" x14ac:dyDescent="0.3">
      <c r="A59" s="2">
        <v>45555</v>
      </c>
      <c r="B59" t="s">
        <v>15</v>
      </c>
      <c r="C59" s="3">
        <v>1716.5</v>
      </c>
      <c r="D59" s="3">
        <v>1744.95</v>
      </c>
      <c r="E59" s="3">
        <v>1707.55</v>
      </c>
      <c r="F59" s="3">
        <v>1708.5</v>
      </c>
      <c r="G59" s="3">
        <v>1737.2</v>
      </c>
      <c r="H59" s="3">
        <v>1741.2</v>
      </c>
      <c r="I59" s="3">
        <v>1734.6</v>
      </c>
      <c r="J59" s="3">
        <v>1794</v>
      </c>
      <c r="K59" s="3">
        <v>1363.55</v>
      </c>
      <c r="L59" s="4">
        <v>30311693</v>
      </c>
      <c r="M59" s="3">
        <v>52578627456</v>
      </c>
      <c r="N59" s="4">
        <v>519608</v>
      </c>
      <c r="O59">
        <f t="shared" si="0"/>
        <v>1.9139596136962273E-2</v>
      </c>
    </row>
    <row r="60" spans="1:15" ht="14.25" customHeight="1" x14ac:dyDescent="0.3">
      <c r="A60" s="2">
        <v>45558</v>
      </c>
      <c r="B60" t="s">
        <v>15</v>
      </c>
      <c r="C60" s="3">
        <v>1749</v>
      </c>
      <c r="D60" s="3">
        <v>1766.35</v>
      </c>
      <c r="E60" s="3">
        <v>1740.25</v>
      </c>
      <c r="F60" s="3">
        <v>1741.2</v>
      </c>
      <c r="G60" s="3">
        <v>1757</v>
      </c>
      <c r="H60" s="3">
        <v>1759.8</v>
      </c>
      <c r="I60" s="3">
        <v>1756.93</v>
      </c>
      <c r="J60" s="3">
        <v>1794</v>
      </c>
      <c r="K60" s="3">
        <v>1363.55</v>
      </c>
      <c r="L60" s="4">
        <v>13482675</v>
      </c>
      <c r="M60" s="3">
        <v>23688096929.700001</v>
      </c>
      <c r="N60" s="4">
        <v>449232</v>
      </c>
      <c r="O60">
        <f t="shared" si="0"/>
        <v>1.0682288077188094E-2</v>
      </c>
    </row>
    <row r="61" spans="1:15" ht="14.25" customHeight="1" x14ac:dyDescent="0.3">
      <c r="A61" s="2">
        <v>45559</v>
      </c>
      <c r="B61" t="s">
        <v>15</v>
      </c>
      <c r="C61" s="3">
        <v>1765</v>
      </c>
      <c r="D61" s="3">
        <v>1781.65</v>
      </c>
      <c r="E61" s="3">
        <v>1754.25</v>
      </c>
      <c r="F61" s="3">
        <v>1759.8</v>
      </c>
      <c r="G61" s="3">
        <v>1766.7</v>
      </c>
      <c r="H61" s="3">
        <v>1768.05</v>
      </c>
      <c r="I61" s="3">
        <v>1768.8</v>
      </c>
      <c r="J61" s="3">
        <v>1794</v>
      </c>
      <c r="K61" s="3">
        <v>1363.55</v>
      </c>
      <c r="L61" s="4">
        <v>16519518</v>
      </c>
      <c r="M61" s="3">
        <v>29219757725.299999</v>
      </c>
      <c r="N61" s="4">
        <v>404809</v>
      </c>
      <c r="O61">
        <f t="shared" si="0"/>
        <v>4.6880327309921583E-3</v>
      </c>
    </row>
    <row r="62" spans="1:15" ht="14.25" customHeight="1" x14ac:dyDescent="0.3">
      <c r="A62" s="2">
        <v>45560</v>
      </c>
      <c r="B62" t="s">
        <v>15</v>
      </c>
      <c r="C62" s="3">
        <v>1760.15</v>
      </c>
      <c r="D62" s="3">
        <v>1788</v>
      </c>
      <c r="E62" s="3">
        <v>1760.15</v>
      </c>
      <c r="F62" s="3">
        <v>1768.05</v>
      </c>
      <c r="G62" s="3">
        <v>1779.85</v>
      </c>
      <c r="H62" s="3">
        <v>1779.1</v>
      </c>
      <c r="I62" s="3">
        <v>1778.97</v>
      </c>
      <c r="J62" s="3">
        <v>1794</v>
      </c>
      <c r="K62" s="3">
        <v>1363.55</v>
      </c>
      <c r="L62" s="4">
        <v>15982656</v>
      </c>
      <c r="M62" s="3">
        <v>28432592068.700001</v>
      </c>
      <c r="N62" s="4">
        <v>498237</v>
      </c>
      <c r="O62">
        <f t="shared" si="0"/>
        <v>6.2498232516048496E-3</v>
      </c>
    </row>
    <row r="63" spans="1:15" ht="14.25" customHeight="1" x14ac:dyDescent="0.3">
      <c r="A63" s="2">
        <v>45561</v>
      </c>
      <c r="B63" t="s">
        <v>15</v>
      </c>
      <c r="C63" s="3">
        <v>1773.05</v>
      </c>
      <c r="D63" s="3">
        <v>1788</v>
      </c>
      <c r="E63" s="3">
        <v>1768.05</v>
      </c>
      <c r="F63" s="3">
        <v>1779.1</v>
      </c>
      <c r="G63" s="3">
        <v>1778</v>
      </c>
      <c r="H63" s="3">
        <v>1783.45</v>
      </c>
      <c r="I63" s="3">
        <v>1778.51</v>
      </c>
      <c r="J63" s="3">
        <v>1794</v>
      </c>
      <c r="K63" s="3">
        <v>1363.55</v>
      </c>
      <c r="L63" s="4">
        <v>15949822</v>
      </c>
      <c r="M63" s="3">
        <v>28366959862.950001</v>
      </c>
      <c r="N63" s="4">
        <v>343553</v>
      </c>
      <c r="O63">
        <f t="shared" si="0"/>
        <v>2.4450564892362072E-3</v>
      </c>
    </row>
    <row r="64" spans="1:15" ht="14.25" customHeight="1" x14ac:dyDescent="0.3">
      <c r="A64" s="2">
        <v>45562</v>
      </c>
      <c r="B64" t="s">
        <v>15</v>
      </c>
      <c r="C64" s="3">
        <v>1777</v>
      </c>
      <c r="D64" s="3">
        <v>1778.2</v>
      </c>
      <c r="E64" s="3">
        <v>1750</v>
      </c>
      <c r="F64" s="3">
        <v>1783.45</v>
      </c>
      <c r="G64" s="3">
        <v>1753</v>
      </c>
      <c r="H64" s="3">
        <v>1752.65</v>
      </c>
      <c r="I64" s="3">
        <v>1759.73</v>
      </c>
      <c r="J64" s="3">
        <v>1794</v>
      </c>
      <c r="K64" s="3">
        <v>1363.55</v>
      </c>
      <c r="L64" s="4">
        <v>17806751</v>
      </c>
      <c r="M64" s="3">
        <v>31335062628.799999</v>
      </c>
      <c r="N64" s="4">
        <v>339917</v>
      </c>
      <c r="O64">
        <f t="shared" si="0"/>
        <v>-1.7269898230956829E-2</v>
      </c>
    </row>
    <row r="65" spans="1:15" ht="14.25" customHeight="1" x14ac:dyDescent="0.3">
      <c r="A65" s="2">
        <v>45565</v>
      </c>
      <c r="B65" t="s">
        <v>15</v>
      </c>
      <c r="C65" s="3">
        <v>1748.8</v>
      </c>
      <c r="D65" s="3">
        <v>1751.45</v>
      </c>
      <c r="E65" s="3">
        <v>1724.4</v>
      </c>
      <c r="F65" s="3">
        <v>1752.65</v>
      </c>
      <c r="G65" s="3">
        <v>1732</v>
      </c>
      <c r="H65" s="3">
        <v>1732.05</v>
      </c>
      <c r="I65" s="3">
        <v>1734.57</v>
      </c>
      <c r="J65" s="3">
        <v>1794</v>
      </c>
      <c r="K65" s="3">
        <v>1363.55</v>
      </c>
      <c r="L65" s="4">
        <v>13191767</v>
      </c>
      <c r="M65" s="3">
        <v>22882063615.099998</v>
      </c>
      <c r="N65" s="4">
        <v>343613</v>
      </c>
      <c r="O65">
        <f t="shared" si="0"/>
        <v>-1.1753630217099898E-2</v>
      </c>
    </row>
    <row r="66" spans="1:15" ht="14.25" customHeight="1" x14ac:dyDescent="0.3">
      <c r="A66" s="2">
        <v>45566</v>
      </c>
      <c r="B66" t="s">
        <v>15</v>
      </c>
      <c r="C66" s="3">
        <v>1724</v>
      </c>
      <c r="D66" s="3">
        <v>1742</v>
      </c>
      <c r="E66" s="3">
        <v>1720.1</v>
      </c>
      <c r="F66" s="3">
        <v>1732.05</v>
      </c>
      <c r="G66" s="3">
        <v>1728.3</v>
      </c>
      <c r="H66" s="3">
        <v>1726.2</v>
      </c>
      <c r="I66" s="3">
        <v>1725.83</v>
      </c>
      <c r="J66" s="3">
        <v>1794</v>
      </c>
      <c r="K66" s="3">
        <v>1363.55</v>
      </c>
      <c r="L66" s="4">
        <v>12286142</v>
      </c>
      <c r="M66" s="3">
        <v>21203853820.450001</v>
      </c>
      <c r="N66" s="4">
        <v>237679</v>
      </c>
      <c r="O66">
        <f t="shared" si="0"/>
        <v>-3.3775006495193032E-3</v>
      </c>
    </row>
    <row r="67" spans="1:15" ht="14.25" customHeight="1" x14ac:dyDescent="0.3">
      <c r="A67" s="2">
        <v>45568</v>
      </c>
      <c r="B67" t="s">
        <v>15</v>
      </c>
      <c r="C67" s="3">
        <v>1715.65</v>
      </c>
      <c r="D67" s="3">
        <v>1726.15</v>
      </c>
      <c r="E67" s="3">
        <v>1673.35</v>
      </c>
      <c r="F67" s="3">
        <v>1726.2</v>
      </c>
      <c r="G67" s="3">
        <v>1681</v>
      </c>
      <c r="H67" s="3">
        <v>1682</v>
      </c>
      <c r="I67" s="3">
        <v>1694.79</v>
      </c>
      <c r="J67" s="3">
        <v>1794</v>
      </c>
      <c r="K67" s="3">
        <v>1363.55</v>
      </c>
      <c r="L67" s="4">
        <v>24236699</v>
      </c>
      <c r="M67" s="3">
        <v>41076220098.050003</v>
      </c>
      <c r="N67" s="4">
        <v>520129</v>
      </c>
      <c r="O67">
        <f t="shared" ref="O67:O130" si="1">(H67-H66)/H66</f>
        <v>-2.5605375970339499E-2</v>
      </c>
    </row>
    <row r="68" spans="1:15" ht="14.25" customHeight="1" x14ac:dyDescent="0.3">
      <c r="A68" s="2">
        <v>45569</v>
      </c>
      <c r="B68" t="s">
        <v>15</v>
      </c>
      <c r="C68" s="3">
        <v>1674.5</v>
      </c>
      <c r="D68" s="3">
        <v>1690.65</v>
      </c>
      <c r="E68" s="3">
        <v>1653</v>
      </c>
      <c r="F68" s="3">
        <v>1682</v>
      </c>
      <c r="G68" s="3">
        <v>1661.25</v>
      </c>
      <c r="H68" s="3">
        <v>1657.65</v>
      </c>
      <c r="I68" s="3">
        <v>1673.77</v>
      </c>
      <c r="J68" s="3">
        <v>1794</v>
      </c>
      <c r="K68" s="3">
        <v>1363.55</v>
      </c>
      <c r="L68" s="4">
        <v>24341616</v>
      </c>
      <c r="M68" s="3">
        <v>40742181439.25</v>
      </c>
      <c r="N68" s="4">
        <v>419392</v>
      </c>
      <c r="O68">
        <f t="shared" si="1"/>
        <v>-1.4476813317479137E-2</v>
      </c>
    </row>
    <row r="69" spans="1:15" ht="14.25" customHeight="1" x14ac:dyDescent="0.3">
      <c r="A69" s="2">
        <v>45572</v>
      </c>
      <c r="B69" t="s">
        <v>15</v>
      </c>
      <c r="C69" s="3">
        <v>1652.2</v>
      </c>
      <c r="D69" s="3">
        <v>1659</v>
      </c>
      <c r="E69" s="3">
        <v>1613</v>
      </c>
      <c r="F69" s="3">
        <v>1657.65</v>
      </c>
      <c r="G69" s="3">
        <v>1623.05</v>
      </c>
      <c r="H69" s="3">
        <v>1617.8</v>
      </c>
      <c r="I69" s="3">
        <v>1631.55</v>
      </c>
      <c r="J69" s="3">
        <v>1794</v>
      </c>
      <c r="K69" s="3">
        <v>1363.55</v>
      </c>
      <c r="L69" s="4">
        <v>47229148</v>
      </c>
      <c r="M69" s="3">
        <v>77056814750.100006</v>
      </c>
      <c r="N69" s="4">
        <v>535347</v>
      </c>
      <c r="O69">
        <f t="shared" si="1"/>
        <v>-2.4040056706783781E-2</v>
      </c>
    </row>
    <row r="70" spans="1:15" ht="14.25" customHeight="1" x14ac:dyDescent="0.3">
      <c r="A70" s="2">
        <v>45573</v>
      </c>
      <c r="B70" t="s">
        <v>15</v>
      </c>
      <c r="C70" s="3">
        <v>1630</v>
      </c>
      <c r="D70" s="3">
        <v>1656.8</v>
      </c>
      <c r="E70" s="3">
        <v>1622</v>
      </c>
      <c r="F70" s="3">
        <v>1617.8</v>
      </c>
      <c r="G70" s="3">
        <v>1651.25</v>
      </c>
      <c r="H70" s="3">
        <v>1651.05</v>
      </c>
      <c r="I70" s="3">
        <v>1645.56</v>
      </c>
      <c r="J70" s="3">
        <v>1794</v>
      </c>
      <c r="K70" s="3">
        <v>1363.55</v>
      </c>
      <c r="L70" s="4">
        <v>14867203</v>
      </c>
      <c r="M70" s="3">
        <v>24464906859.049999</v>
      </c>
      <c r="N70" s="4">
        <v>357296</v>
      </c>
      <c r="O70">
        <f t="shared" si="1"/>
        <v>2.0552602299418965E-2</v>
      </c>
    </row>
    <row r="71" spans="1:15" ht="14.25" customHeight="1" x14ac:dyDescent="0.3">
      <c r="A71" s="2">
        <v>45574</v>
      </c>
      <c r="B71" t="s">
        <v>15</v>
      </c>
      <c r="C71" s="3">
        <v>1649.5</v>
      </c>
      <c r="D71" s="3">
        <v>1656.75</v>
      </c>
      <c r="E71" s="3">
        <v>1628.7</v>
      </c>
      <c r="F71" s="3">
        <v>1651.05</v>
      </c>
      <c r="G71" s="3">
        <v>1638</v>
      </c>
      <c r="H71" s="3">
        <v>1633.15</v>
      </c>
      <c r="I71" s="3">
        <v>1640.12</v>
      </c>
      <c r="J71" s="3">
        <v>1794</v>
      </c>
      <c r="K71" s="3">
        <v>1363.55</v>
      </c>
      <c r="L71" s="4">
        <v>20562821</v>
      </c>
      <c r="M71" s="3">
        <v>33725505661.599998</v>
      </c>
      <c r="N71" s="4">
        <v>442682</v>
      </c>
      <c r="O71">
        <f t="shared" si="1"/>
        <v>-1.084158565761174E-2</v>
      </c>
    </row>
    <row r="72" spans="1:15" ht="14.25" customHeight="1" x14ac:dyDescent="0.3">
      <c r="A72" s="2">
        <v>45575</v>
      </c>
      <c r="B72" t="s">
        <v>15</v>
      </c>
      <c r="C72" s="3">
        <v>1639</v>
      </c>
      <c r="D72" s="3">
        <v>1665.45</v>
      </c>
      <c r="E72" s="3">
        <v>1632.5</v>
      </c>
      <c r="F72" s="3">
        <v>1633.15</v>
      </c>
      <c r="G72" s="3">
        <v>1661</v>
      </c>
      <c r="H72" s="3">
        <v>1662.4</v>
      </c>
      <c r="I72" s="3">
        <v>1649.38</v>
      </c>
      <c r="J72" s="3">
        <v>1794</v>
      </c>
      <c r="K72" s="3">
        <v>1363.55</v>
      </c>
      <c r="L72" s="4">
        <v>10877383</v>
      </c>
      <c r="M72" s="3">
        <v>17940924970.400002</v>
      </c>
      <c r="N72" s="4">
        <v>244906</v>
      </c>
      <c r="O72">
        <f t="shared" si="1"/>
        <v>1.7910173590913264E-2</v>
      </c>
    </row>
    <row r="73" spans="1:15" ht="14.25" customHeight="1" x14ac:dyDescent="0.3">
      <c r="A73" s="2">
        <v>45576</v>
      </c>
      <c r="B73" t="s">
        <v>15</v>
      </c>
      <c r="C73" s="3">
        <v>1664.45</v>
      </c>
      <c r="D73" s="3">
        <v>1664.45</v>
      </c>
      <c r="E73" s="3">
        <v>1643.25</v>
      </c>
      <c r="F73" s="3">
        <v>1662.4</v>
      </c>
      <c r="G73" s="3">
        <v>1651.5</v>
      </c>
      <c r="H73" s="3">
        <v>1651</v>
      </c>
      <c r="I73" s="3">
        <v>1651.51</v>
      </c>
      <c r="J73" s="3">
        <v>1794</v>
      </c>
      <c r="K73" s="3">
        <v>1363.55</v>
      </c>
      <c r="L73" s="4">
        <v>11836297</v>
      </c>
      <c r="M73" s="3">
        <v>19547719278</v>
      </c>
      <c r="N73" s="4">
        <v>186378</v>
      </c>
      <c r="O73">
        <f t="shared" si="1"/>
        <v>-6.8575553416747419E-3</v>
      </c>
    </row>
    <row r="74" spans="1:15" ht="14.25" customHeight="1" x14ac:dyDescent="0.3">
      <c r="A74" s="2">
        <v>45579</v>
      </c>
      <c r="B74" t="s">
        <v>15</v>
      </c>
      <c r="C74" s="3">
        <v>1656.05</v>
      </c>
      <c r="D74" s="3">
        <v>1692.05</v>
      </c>
      <c r="E74" s="3">
        <v>1654</v>
      </c>
      <c r="F74" s="3">
        <v>1651</v>
      </c>
      <c r="G74" s="3">
        <v>1689</v>
      </c>
      <c r="H74" s="3">
        <v>1688.1</v>
      </c>
      <c r="I74" s="3">
        <v>1682.72</v>
      </c>
      <c r="J74" s="3">
        <v>1794</v>
      </c>
      <c r="K74" s="3">
        <v>1363.55</v>
      </c>
      <c r="L74" s="4">
        <v>9263754</v>
      </c>
      <c r="M74" s="3">
        <v>15588285093.549999</v>
      </c>
      <c r="N74" s="4">
        <v>261742</v>
      </c>
      <c r="O74">
        <f t="shared" si="1"/>
        <v>2.2471229557843676E-2</v>
      </c>
    </row>
    <row r="75" spans="1:15" ht="14.25" customHeight="1" x14ac:dyDescent="0.3">
      <c r="A75" s="2">
        <v>45580</v>
      </c>
      <c r="B75" t="s">
        <v>15</v>
      </c>
      <c r="C75" s="3">
        <v>1694</v>
      </c>
      <c r="D75" s="3">
        <v>1698</v>
      </c>
      <c r="E75" s="3">
        <v>1675.5</v>
      </c>
      <c r="F75" s="3">
        <v>1688.1</v>
      </c>
      <c r="G75" s="3">
        <v>1686</v>
      </c>
      <c r="H75" s="3">
        <v>1684.1</v>
      </c>
      <c r="I75" s="3">
        <v>1684.09</v>
      </c>
      <c r="J75" s="3">
        <v>1794</v>
      </c>
      <c r="K75" s="3">
        <v>1363.55</v>
      </c>
      <c r="L75" s="4">
        <v>9825565</v>
      </c>
      <c r="M75" s="3">
        <v>16547093800.1</v>
      </c>
      <c r="N75" s="4">
        <v>195771</v>
      </c>
      <c r="O75">
        <f t="shared" si="1"/>
        <v>-2.3695278715715894E-3</v>
      </c>
    </row>
    <row r="76" spans="1:15" ht="14.25" customHeight="1" x14ac:dyDescent="0.3">
      <c r="A76" s="2">
        <v>45581</v>
      </c>
      <c r="B76" t="s">
        <v>15</v>
      </c>
      <c r="C76" s="3">
        <v>1680.1</v>
      </c>
      <c r="D76" s="3">
        <v>1707.95</v>
      </c>
      <c r="E76" s="3">
        <v>1680.1</v>
      </c>
      <c r="F76" s="3">
        <v>1684.1</v>
      </c>
      <c r="G76" s="3">
        <v>1700.45</v>
      </c>
      <c r="H76" s="3">
        <v>1699.8</v>
      </c>
      <c r="I76" s="3">
        <v>1698.75</v>
      </c>
      <c r="J76" s="3">
        <v>1794</v>
      </c>
      <c r="K76" s="3">
        <v>1363.55</v>
      </c>
      <c r="L76" s="4">
        <v>10235341</v>
      </c>
      <c r="M76" s="3">
        <v>17387334812.900002</v>
      </c>
      <c r="N76" s="4">
        <v>244836</v>
      </c>
      <c r="O76">
        <f t="shared" si="1"/>
        <v>9.3224867881955033E-3</v>
      </c>
    </row>
    <row r="77" spans="1:15" ht="14.25" customHeight="1" x14ac:dyDescent="0.3">
      <c r="A77" s="2">
        <v>45582</v>
      </c>
      <c r="B77" t="s">
        <v>15</v>
      </c>
      <c r="C77" s="3">
        <v>1694.95</v>
      </c>
      <c r="D77" s="3">
        <v>1697.65</v>
      </c>
      <c r="E77" s="3">
        <v>1665.2</v>
      </c>
      <c r="F77" s="3">
        <v>1699.8</v>
      </c>
      <c r="G77" s="3">
        <v>1672.7</v>
      </c>
      <c r="H77" s="3">
        <v>1673.15</v>
      </c>
      <c r="I77" s="3">
        <v>1676.22</v>
      </c>
      <c r="J77" s="3">
        <v>1794</v>
      </c>
      <c r="K77" s="3">
        <v>1363.55</v>
      </c>
      <c r="L77" s="4">
        <v>7347866</v>
      </c>
      <c r="M77" s="3">
        <v>12316627212.9</v>
      </c>
      <c r="N77" s="4">
        <v>199044</v>
      </c>
      <c r="O77">
        <f t="shared" si="1"/>
        <v>-1.5678315095893555E-2</v>
      </c>
    </row>
    <row r="78" spans="1:15" ht="14.25" customHeight="1" x14ac:dyDescent="0.3">
      <c r="A78" s="2">
        <v>45583</v>
      </c>
      <c r="B78" t="s">
        <v>15</v>
      </c>
      <c r="C78" s="3">
        <v>1663.1</v>
      </c>
      <c r="D78" s="3">
        <v>1691</v>
      </c>
      <c r="E78" s="3">
        <v>1654.1</v>
      </c>
      <c r="F78" s="3">
        <v>1673.15</v>
      </c>
      <c r="G78" s="3">
        <v>1684.8</v>
      </c>
      <c r="H78" s="3">
        <v>1681.85</v>
      </c>
      <c r="I78" s="3">
        <v>1674.9</v>
      </c>
      <c r="J78" s="3">
        <v>1794</v>
      </c>
      <c r="K78" s="3">
        <v>1363.55</v>
      </c>
      <c r="L78" s="4">
        <v>12404862</v>
      </c>
      <c r="M78" s="3">
        <v>20776848848.900002</v>
      </c>
      <c r="N78" s="4">
        <v>232916</v>
      </c>
      <c r="O78">
        <f t="shared" si="1"/>
        <v>5.1997728834831409E-3</v>
      </c>
    </row>
    <row r="79" spans="1:15" ht="14.25" customHeight="1" x14ac:dyDescent="0.3">
      <c r="A79" s="2">
        <v>45586</v>
      </c>
      <c r="B79" t="s">
        <v>15</v>
      </c>
      <c r="C79" s="3">
        <v>1715</v>
      </c>
      <c r="D79" s="3">
        <v>1748.15</v>
      </c>
      <c r="E79" s="3">
        <v>1711.05</v>
      </c>
      <c r="F79" s="3">
        <v>1681.85</v>
      </c>
      <c r="G79" s="3">
        <v>1725</v>
      </c>
      <c r="H79" s="3">
        <v>1728.7</v>
      </c>
      <c r="I79" s="3">
        <v>1732.82</v>
      </c>
      <c r="J79" s="3">
        <v>1794</v>
      </c>
      <c r="K79" s="3">
        <v>1363.55</v>
      </c>
      <c r="L79" s="4">
        <v>23274177</v>
      </c>
      <c r="M79" s="3">
        <v>40330032735.800003</v>
      </c>
      <c r="N79" s="4">
        <v>574448</v>
      </c>
      <c r="O79">
        <f t="shared" si="1"/>
        <v>2.7856229747004867E-2</v>
      </c>
    </row>
    <row r="80" spans="1:15" ht="14.25" customHeight="1" x14ac:dyDescent="0.3">
      <c r="A80" s="2">
        <v>45587</v>
      </c>
      <c r="B80" t="s">
        <v>15</v>
      </c>
      <c r="C80" s="3">
        <v>1730.05</v>
      </c>
      <c r="D80" s="3">
        <v>1740</v>
      </c>
      <c r="E80" s="3">
        <v>1710.7</v>
      </c>
      <c r="F80" s="3">
        <v>1728.7</v>
      </c>
      <c r="G80" s="3">
        <v>1714.8</v>
      </c>
      <c r="H80" s="3">
        <v>1714.55</v>
      </c>
      <c r="I80" s="3">
        <v>1721.78</v>
      </c>
      <c r="J80" s="3">
        <v>1794</v>
      </c>
      <c r="K80" s="3">
        <v>1363.55</v>
      </c>
      <c r="L80" s="4">
        <v>19437640</v>
      </c>
      <c r="M80" s="3">
        <v>33467338354.450001</v>
      </c>
      <c r="N80" s="4">
        <v>411821</v>
      </c>
      <c r="O80">
        <f t="shared" si="1"/>
        <v>-8.1853415861630648E-3</v>
      </c>
    </row>
    <row r="81" spans="1:15" ht="14.25" customHeight="1" x14ac:dyDescent="0.3">
      <c r="A81" s="2">
        <v>45588</v>
      </c>
      <c r="B81" t="s">
        <v>15</v>
      </c>
      <c r="C81" s="3">
        <v>1705.05</v>
      </c>
      <c r="D81" s="3">
        <v>1746.5</v>
      </c>
      <c r="E81" s="3">
        <v>1705.05</v>
      </c>
      <c r="F81" s="3">
        <v>1714.55</v>
      </c>
      <c r="G81" s="3">
        <v>1736.2</v>
      </c>
      <c r="H81" s="3">
        <v>1735.8</v>
      </c>
      <c r="I81" s="3">
        <v>1736.32</v>
      </c>
      <c r="J81" s="3">
        <v>1794</v>
      </c>
      <c r="K81" s="3">
        <v>1363.55</v>
      </c>
      <c r="L81" s="4">
        <v>19018045</v>
      </c>
      <c r="M81" s="3">
        <v>33021503108.549999</v>
      </c>
      <c r="N81" s="4">
        <v>386048</v>
      </c>
      <c r="O81">
        <f t="shared" si="1"/>
        <v>1.2393922603598612E-2</v>
      </c>
    </row>
    <row r="82" spans="1:15" ht="14.25" customHeight="1" x14ac:dyDescent="0.3">
      <c r="A82" s="2">
        <v>45589</v>
      </c>
      <c r="B82" t="s">
        <v>15</v>
      </c>
      <c r="C82" s="3">
        <v>1738.1</v>
      </c>
      <c r="D82" s="3">
        <v>1768.65</v>
      </c>
      <c r="E82" s="3">
        <v>1738.1</v>
      </c>
      <c r="F82" s="3">
        <v>1735.8</v>
      </c>
      <c r="G82" s="3">
        <v>1750.5</v>
      </c>
      <c r="H82" s="3">
        <v>1749.65</v>
      </c>
      <c r="I82" s="3">
        <v>1755.99</v>
      </c>
      <c r="J82" s="3">
        <v>1794</v>
      </c>
      <c r="K82" s="3">
        <v>1363.55</v>
      </c>
      <c r="L82" s="4">
        <v>15416129</v>
      </c>
      <c r="M82" s="3">
        <v>27070510755.599998</v>
      </c>
      <c r="N82" s="4">
        <v>342755</v>
      </c>
      <c r="O82">
        <f t="shared" si="1"/>
        <v>7.9790298421477911E-3</v>
      </c>
    </row>
    <row r="83" spans="1:15" ht="14.25" customHeight="1" x14ac:dyDescent="0.3">
      <c r="A83" s="2">
        <v>45590</v>
      </c>
      <c r="B83" t="s">
        <v>15</v>
      </c>
      <c r="C83" s="3">
        <v>1755</v>
      </c>
      <c r="D83" s="3">
        <v>1757.85</v>
      </c>
      <c r="E83" s="3">
        <v>1728.7</v>
      </c>
      <c r="F83" s="3">
        <v>1749.65</v>
      </c>
      <c r="G83" s="3">
        <v>1745.8</v>
      </c>
      <c r="H83" s="3">
        <v>1743.4</v>
      </c>
      <c r="I83" s="3">
        <v>1740.64</v>
      </c>
      <c r="J83" s="3">
        <v>1794</v>
      </c>
      <c r="K83" s="3">
        <v>1363.55</v>
      </c>
      <c r="L83" s="4">
        <v>13065239</v>
      </c>
      <c r="M83" s="3">
        <v>22741861620.400002</v>
      </c>
      <c r="N83" s="4">
        <v>337950</v>
      </c>
      <c r="O83">
        <f t="shared" si="1"/>
        <v>-3.5721430000285768E-3</v>
      </c>
    </row>
    <row r="84" spans="1:15" ht="14.25" customHeight="1" x14ac:dyDescent="0.3">
      <c r="A84" s="2">
        <v>45593</v>
      </c>
      <c r="B84" t="s">
        <v>15</v>
      </c>
      <c r="C84" s="3">
        <v>1742</v>
      </c>
      <c r="D84" s="3">
        <v>1751</v>
      </c>
      <c r="E84" s="3">
        <v>1728.9</v>
      </c>
      <c r="F84" s="3">
        <v>1743.4</v>
      </c>
      <c r="G84" s="3">
        <v>1737</v>
      </c>
      <c r="H84" s="3">
        <v>1734.2</v>
      </c>
      <c r="I84" s="3">
        <v>1738.17</v>
      </c>
      <c r="J84" s="3">
        <v>1794</v>
      </c>
      <c r="K84" s="3">
        <v>1363.55</v>
      </c>
      <c r="L84" s="4">
        <v>11006071</v>
      </c>
      <c r="M84" s="3">
        <v>19130422535.5</v>
      </c>
      <c r="N84" s="4">
        <v>334425</v>
      </c>
      <c r="O84">
        <f t="shared" si="1"/>
        <v>-5.2770448548812923E-3</v>
      </c>
    </row>
    <row r="85" spans="1:15" ht="14.25" customHeight="1" x14ac:dyDescent="0.3">
      <c r="A85" s="2">
        <v>45594</v>
      </c>
      <c r="B85" t="s">
        <v>15</v>
      </c>
      <c r="C85" s="3">
        <v>1726.15</v>
      </c>
      <c r="D85" s="3">
        <v>1764</v>
      </c>
      <c r="E85" s="3">
        <v>1725.1</v>
      </c>
      <c r="F85" s="3">
        <v>1734.2</v>
      </c>
      <c r="G85" s="3">
        <v>1749.75</v>
      </c>
      <c r="H85" s="3">
        <v>1751.85</v>
      </c>
      <c r="I85" s="3">
        <v>1744.14</v>
      </c>
      <c r="J85" s="3">
        <v>1794</v>
      </c>
      <c r="K85" s="3">
        <v>1363.55</v>
      </c>
      <c r="L85" s="4">
        <v>17897463</v>
      </c>
      <c r="M85" s="3">
        <v>31215711397.75</v>
      </c>
      <c r="N85" s="4">
        <v>381375</v>
      </c>
      <c r="O85">
        <f t="shared" si="1"/>
        <v>1.017760350593926E-2</v>
      </c>
    </row>
    <row r="86" spans="1:15" ht="14.25" customHeight="1" x14ac:dyDescent="0.3">
      <c r="A86" s="2">
        <v>45595</v>
      </c>
      <c r="B86" t="s">
        <v>15</v>
      </c>
      <c r="C86" s="3">
        <v>1742</v>
      </c>
      <c r="D86" s="3">
        <v>1754.75</v>
      </c>
      <c r="E86" s="3">
        <v>1724.2</v>
      </c>
      <c r="F86" s="3">
        <v>1751.85</v>
      </c>
      <c r="G86" s="3">
        <v>1737</v>
      </c>
      <c r="H86" s="3">
        <v>1734.6</v>
      </c>
      <c r="I86" s="3">
        <v>1736.38</v>
      </c>
      <c r="J86" s="3">
        <v>1794</v>
      </c>
      <c r="K86" s="3">
        <v>1363.55</v>
      </c>
      <c r="L86" s="4">
        <v>16357862</v>
      </c>
      <c r="M86" s="3">
        <v>28403432611.950001</v>
      </c>
      <c r="N86" s="4">
        <v>350916</v>
      </c>
      <c r="O86">
        <f t="shared" si="1"/>
        <v>-9.846733453206611E-3</v>
      </c>
    </row>
    <row r="87" spans="1:15" ht="14.25" customHeight="1" x14ac:dyDescent="0.3">
      <c r="A87" s="2">
        <v>45596</v>
      </c>
      <c r="B87" t="s">
        <v>15</v>
      </c>
      <c r="C87" s="3">
        <v>1728</v>
      </c>
      <c r="D87" s="3">
        <v>1738.9</v>
      </c>
      <c r="E87" s="3">
        <v>1719.4</v>
      </c>
      <c r="F87" s="3">
        <v>1734.6</v>
      </c>
      <c r="G87" s="3">
        <v>1734.3</v>
      </c>
      <c r="H87" s="3">
        <v>1735.7</v>
      </c>
      <c r="I87" s="3">
        <v>1731.49</v>
      </c>
      <c r="J87" s="3">
        <v>1794</v>
      </c>
      <c r="K87" s="3">
        <v>1363.55</v>
      </c>
      <c r="L87" s="4">
        <v>11447956</v>
      </c>
      <c r="M87" s="3">
        <v>19822046508.900002</v>
      </c>
      <c r="N87" s="4">
        <v>277300</v>
      </c>
      <c r="O87">
        <f t="shared" si="1"/>
        <v>6.3415196587117287E-4</v>
      </c>
    </row>
    <row r="88" spans="1:15" ht="14.25" customHeight="1" x14ac:dyDescent="0.3">
      <c r="A88" s="2">
        <v>45597</v>
      </c>
      <c r="B88" t="s">
        <v>15</v>
      </c>
      <c r="C88" s="3">
        <v>1733</v>
      </c>
      <c r="D88" s="3">
        <v>1744.1</v>
      </c>
      <c r="E88" s="3">
        <v>1726.1</v>
      </c>
      <c r="F88" s="3">
        <v>1735.7</v>
      </c>
      <c r="G88" s="3">
        <v>1737</v>
      </c>
      <c r="H88" s="3">
        <v>1737.3</v>
      </c>
      <c r="I88" s="3">
        <v>1738.79</v>
      </c>
      <c r="J88" s="3">
        <v>1794</v>
      </c>
      <c r="K88" s="3">
        <v>1363.55</v>
      </c>
      <c r="L88" s="4">
        <v>879846</v>
      </c>
      <c r="M88" s="3">
        <v>1529870165.5999999</v>
      </c>
      <c r="N88" s="4">
        <v>69860</v>
      </c>
      <c r="O88">
        <f t="shared" si="1"/>
        <v>9.2181828657020737E-4</v>
      </c>
    </row>
    <row r="89" spans="1:15" ht="14.25" customHeight="1" x14ac:dyDescent="0.3">
      <c r="A89" s="2">
        <v>45600</v>
      </c>
      <c r="B89" t="s">
        <v>15</v>
      </c>
      <c r="C89" s="3">
        <v>1745</v>
      </c>
      <c r="D89" s="3">
        <v>1745</v>
      </c>
      <c r="E89" s="3">
        <v>1710.9</v>
      </c>
      <c r="F89" s="3">
        <v>1737.3</v>
      </c>
      <c r="G89" s="3">
        <v>1716.8</v>
      </c>
      <c r="H89" s="3">
        <v>1714.1</v>
      </c>
      <c r="I89" s="3">
        <v>1723.47</v>
      </c>
      <c r="J89" s="3">
        <v>1794</v>
      </c>
      <c r="K89" s="3">
        <v>1363.55</v>
      </c>
      <c r="L89" s="4">
        <v>14044624</v>
      </c>
      <c r="M89" s="3">
        <v>24205513156.950001</v>
      </c>
      <c r="N89" s="4">
        <v>342162</v>
      </c>
      <c r="O89">
        <f t="shared" si="1"/>
        <v>-1.3354055143038075E-2</v>
      </c>
    </row>
    <row r="90" spans="1:15" ht="14.25" customHeight="1" x14ac:dyDescent="0.3">
      <c r="A90" s="2">
        <v>45601</v>
      </c>
      <c r="B90" t="s">
        <v>15</v>
      </c>
      <c r="C90" s="3">
        <v>1703</v>
      </c>
      <c r="D90" s="3">
        <v>1762.7</v>
      </c>
      <c r="E90" s="3">
        <v>1697.9</v>
      </c>
      <c r="F90" s="3">
        <v>1714.1</v>
      </c>
      <c r="G90" s="3">
        <v>1753.5</v>
      </c>
      <c r="H90" s="3">
        <v>1757.85</v>
      </c>
      <c r="I90" s="3">
        <v>1736.4</v>
      </c>
      <c r="J90" s="3">
        <v>1794</v>
      </c>
      <c r="K90" s="3">
        <v>1363.55</v>
      </c>
      <c r="L90" s="4">
        <v>22116203</v>
      </c>
      <c r="M90" s="3">
        <v>38402543188.050003</v>
      </c>
      <c r="N90" s="4">
        <v>362395</v>
      </c>
      <c r="O90">
        <f t="shared" si="1"/>
        <v>2.5523598389825566E-2</v>
      </c>
    </row>
    <row r="91" spans="1:15" ht="14.25" customHeight="1" x14ac:dyDescent="0.3">
      <c r="A91" s="2">
        <v>45602</v>
      </c>
      <c r="B91" t="s">
        <v>15</v>
      </c>
      <c r="C91" s="3">
        <v>1771.5</v>
      </c>
      <c r="D91" s="3">
        <v>1771.5</v>
      </c>
      <c r="E91" s="3">
        <v>1745.35</v>
      </c>
      <c r="F91" s="3">
        <v>1757.85</v>
      </c>
      <c r="G91" s="3">
        <v>1756</v>
      </c>
      <c r="H91" s="3">
        <v>1755.25</v>
      </c>
      <c r="I91" s="3">
        <v>1753.58</v>
      </c>
      <c r="J91" s="3">
        <v>1794</v>
      </c>
      <c r="K91" s="3">
        <v>1363.55</v>
      </c>
      <c r="L91" s="4">
        <v>13893955</v>
      </c>
      <c r="M91" s="3">
        <v>24364201740.049999</v>
      </c>
      <c r="N91" s="4">
        <v>249677</v>
      </c>
      <c r="O91">
        <f t="shared" si="1"/>
        <v>-1.4790795574138346E-3</v>
      </c>
    </row>
    <row r="92" spans="1:15" ht="14.25" customHeight="1" x14ac:dyDescent="0.3">
      <c r="A92" s="2">
        <v>45603</v>
      </c>
      <c r="B92" t="s">
        <v>15</v>
      </c>
      <c r="C92" s="3">
        <v>1744.3</v>
      </c>
      <c r="D92" s="3">
        <v>1760.95</v>
      </c>
      <c r="E92" s="3">
        <v>1738</v>
      </c>
      <c r="F92" s="3">
        <v>1755.25</v>
      </c>
      <c r="G92" s="3">
        <v>1743.5</v>
      </c>
      <c r="H92" s="3">
        <v>1746.55</v>
      </c>
      <c r="I92" s="3">
        <v>1746.6</v>
      </c>
      <c r="J92" s="3">
        <v>1794</v>
      </c>
      <c r="K92" s="3">
        <v>1363.55</v>
      </c>
      <c r="L92" s="4">
        <v>9447728</v>
      </c>
      <c r="M92" s="3">
        <v>16501384112.799999</v>
      </c>
      <c r="N92" s="4">
        <v>315964</v>
      </c>
      <c r="O92">
        <f t="shared" si="1"/>
        <v>-4.9565588947443643E-3</v>
      </c>
    </row>
    <row r="93" spans="1:15" ht="14.25" customHeight="1" x14ac:dyDescent="0.3">
      <c r="A93" s="2">
        <v>45604</v>
      </c>
      <c r="B93" t="s">
        <v>15</v>
      </c>
      <c r="C93" s="3">
        <v>1752</v>
      </c>
      <c r="D93" s="3">
        <v>1761.8</v>
      </c>
      <c r="E93" s="3">
        <v>1745.85</v>
      </c>
      <c r="F93" s="3">
        <v>1746.55</v>
      </c>
      <c r="G93" s="3">
        <v>1751.9</v>
      </c>
      <c r="H93" s="3">
        <v>1754.45</v>
      </c>
      <c r="I93" s="3">
        <v>1754.62</v>
      </c>
      <c r="J93" s="3">
        <v>1794</v>
      </c>
      <c r="K93" s="3">
        <v>1363.55</v>
      </c>
      <c r="L93" s="4">
        <v>9951493</v>
      </c>
      <c r="M93" s="3">
        <v>17461070459.450001</v>
      </c>
      <c r="N93" s="4">
        <v>253333</v>
      </c>
      <c r="O93">
        <f t="shared" si="1"/>
        <v>4.5232028856889818E-3</v>
      </c>
    </row>
    <row r="94" spans="1:15" ht="14.25" customHeight="1" x14ac:dyDescent="0.3">
      <c r="A94" s="2">
        <v>45607</v>
      </c>
      <c r="B94" t="s">
        <v>15</v>
      </c>
      <c r="C94" s="3">
        <v>1754.55</v>
      </c>
      <c r="D94" s="3">
        <v>1782.8</v>
      </c>
      <c r="E94" s="3">
        <v>1751.2</v>
      </c>
      <c r="F94" s="3">
        <v>1754.45</v>
      </c>
      <c r="G94" s="3">
        <v>1763.9</v>
      </c>
      <c r="H94" s="3">
        <v>1766.3</v>
      </c>
      <c r="I94" s="3">
        <v>1768.85</v>
      </c>
      <c r="J94" s="3">
        <v>1794</v>
      </c>
      <c r="K94" s="3">
        <v>1363.55</v>
      </c>
      <c r="L94" s="4">
        <v>12282681</v>
      </c>
      <c r="M94" s="3">
        <v>21726235735.650002</v>
      </c>
      <c r="N94" s="4">
        <v>366875</v>
      </c>
      <c r="O94">
        <f t="shared" si="1"/>
        <v>6.7542534697483019E-3</v>
      </c>
    </row>
    <row r="95" spans="1:15" ht="14.25" customHeight="1" x14ac:dyDescent="0.3">
      <c r="A95" s="2">
        <v>45608</v>
      </c>
      <c r="B95" t="s">
        <v>15</v>
      </c>
      <c r="C95" s="3">
        <v>1772</v>
      </c>
      <c r="D95" s="3">
        <v>1775</v>
      </c>
      <c r="E95" s="3">
        <v>1708.65</v>
      </c>
      <c r="F95" s="3">
        <v>1766.3</v>
      </c>
      <c r="G95" s="3">
        <v>1719</v>
      </c>
      <c r="H95" s="3">
        <v>1718.2</v>
      </c>
      <c r="I95" s="3">
        <v>1731.71</v>
      </c>
      <c r="J95" s="3">
        <v>1794</v>
      </c>
      <c r="K95" s="3">
        <v>1363.55</v>
      </c>
      <c r="L95" s="4">
        <v>15697703</v>
      </c>
      <c r="M95" s="3">
        <v>27183831491.150002</v>
      </c>
      <c r="N95" s="4">
        <v>410691</v>
      </c>
      <c r="O95">
        <f t="shared" si="1"/>
        <v>-2.7232067032780336E-2</v>
      </c>
    </row>
    <row r="96" spans="1:15" ht="14.25" customHeight="1" x14ac:dyDescent="0.3">
      <c r="A96" s="2">
        <v>45609</v>
      </c>
      <c r="B96" t="s">
        <v>15</v>
      </c>
      <c r="C96" s="3">
        <v>1716.75</v>
      </c>
      <c r="D96" s="3">
        <v>1729.4</v>
      </c>
      <c r="E96" s="3">
        <v>1673</v>
      </c>
      <c r="F96" s="3">
        <v>1718.2</v>
      </c>
      <c r="G96" s="3">
        <v>1688.15</v>
      </c>
      <c r="H96" s="3">
        <v>1681.35</v>
      </c>
      <c r="I96" s="3">
        <v>1699.7</v>
      </c>
      <c r="J96" s="3">
        <v>1794</v>
      </c>
      <c r="K96" s="3">
        <v>1363.55</v>
      </c>
      <c r="L96" s="4">
        <v>17864250</v>
      </c>
      <c r="M96" s="3">
        <v>30363947641.299999</v>
      </c>
      <c r="N96" s="4">
        <v>384592</v>
      </c>
      <c r="O96">
        <f t="shared" si="1"/>
        <v>-2.144686299615885E-2</v>
      </c>
    </row>
    <row r="97" spans="1:15" ht="14.25" customHeight="1" x14ac:dyDescent="0.3">
      <c r="A97" s="2">
        <v>45610</v>
      </c>
      <c r="B97" t="s">
        <v>15</v>
      </c>
      <c r="C97" s="3">
        <v>1673.1</v>
      </c>
      <c r="D97" s="3">
        <v>1704.85</v>
      </c>
      <c r="E97" s="3">
        <v>1672.1</v>
      </c>
      <c r="F97" s="3">
        <v>1681.35</v>
      </c>
      <c r="G97" s="3">
        <v>1692.4</v>
      </c>
      <c r="H97" s="3">
        <v>1692.75</v>
      </c>
      <c r="I97" s="3">
        <v>1692.96</v>
      </c>
      <c r="J97" s="3">
        <v>1794</v>
      </c>
      <c r="K97" s="3">
        <v>1363.55</v>
      </c>
      <c r="L97" s="4">
        <v>13573235</v>
      </c>
      <c r="M97" s="3">
        <v>22978907908.450001</v>
      </c>
      <c r="N97" s="4">
        <v>331159</v>
      </c>
      <c r="O97">
        <f t="shared" si="1"/>
        <v>6.7802658577928998E-3</v>
      </c>
    </row>
    <row r="98" spans="1:15" ht="14.25" customHeight="1" x14ac:dyDescent="0.3">
      <c r="A98" s="2">
        <v>45614</v>
      </c>
      <c r="B98" t="s">
        <v>15</v>
      </c>
      <c r="C98" s="3">
        <v>1700</v>
      </c>
      <c r="D98" s="3">
        <v>1718.9</v>
      </c>
      <c r="E98" s="3">
        <v>1695</v>
      </c>
      <c r="F98" s="3">
        <v>1692.75</v>
      </c>
      <c r="G98" s="3">
        <v>1708.3</v>
      </c>
      <c r="H98" s="3">
        <v>1705.1</v>
      </c>
      <c r="I98" s="3">
        <v>1707.94</v>
      </c>
      <c r="J98" s="3">
        <v>1794</v>
      </c>
      <c r="K98" s="3">
        <v>1363.55</v>
      </c>
      <c r="L98" s="4">
        <v>13540984</v>
      </c>
      <c r="M98" s="3">
        <v>23127123855.099998</v>
      </c>
      <c r="N98" s="4">
        <v>291631</v>
      </c>
      <c r="O98">
        <f t="shared" si="1"/>
        <v>7.2958204105744552E-3</v>
      </c>
    </row>
    <row r="99" spans="1:15" ht="14.25" customHeight="1" x14ac:dyDescent="0.3">
      <c r="A99" s="2">
        <v>45615</v>
      </c>
      <c r="B99" t="s">
        <v>15</v>
      </c>
      <c r="C99" s="3">
        <v>1714</v>
      </c>
      <c r="D99" s="3">
        <v>1753.75</v>
      </c>
      <c r="E99" s="3">
        <v>1702.7</v>
      </c>
      <c r="F99" s="3">
        <v>1705.1</v>
      </c>
      <c r="G99" s="3">
        <v>1736</v>
      </c>
      <c r="H99" s="3">
        <v>1742.25</v>
      </c>
      <c r="I99" s="3">
        <v>1739.1</v>
      </c>
      <c r="J99" s="3">
        <v>1794</v>
      </c>
      <c r="K99" s="3">
        <v>1363.55</v>
      </c>
      <c r="L99" s="4">
        <v>25490636</v>
      </c>
      <c r="M99" s="3">
        <v>44330862947.849998</v>
      </c>
      <c r="N99" s="4">
        <v>458303</v>
      </c>
      <c r="O99">
        <f t="shared" si="1"/>
        <v>2.1787578441147201E-2</v>
      </c>
    </row>
    <row r="100" spans="1:15" ht="14.25" customHeight="1" x14ac:dyDescent="0.3">
      <c r="A100" s="2">
        <v>45617</v>
      </c>
      <c r="B100" t="s">
        <v>15</v>
      </c>
      <c r="C100" s="3">
        <v>1749.4</v>
      </c>
      <c r="D100" s="3">
        <v>1759</v>
      </c>
      <c r="E100" s="3">
        <v>1734.2</v>
      </c>
      <c r="F100" s="3">
        <v>1742.25</v>
      </c>
      <c r="G100" s="3">
        <v>1739.95</v>
      </c>
      <c r="H100" s="3">
        <v>1741.2</v>
      </c>
      <c r="I100" s="3">
        <v>1743.63</v>
      </c>
      <c r="J100" s="3">
        <v>1794</v>
      </c>
      <c r="K100" s="3">
        <v>1363.55</v>
      </c>
      <c r="L100" s="4">
        <v>17858256</v>
      </c>
      <c r="M100" s="3">
        <v>31138162734.400002</v>
      </c>
      <c r="N100" s="4">
        <v>368837</v>
      </c>
      <c r="O100">
        <f t="shared" si="1"/>
        <v>-6.0266896254840263E-4</v>
      </c>
    </row>
    <row r="101" spans="1:15" ht="14.25" customHeight="1" x14ac:dyDescent="0.3">
      <c r="A101" s="2">
        <v>45618</v>
      </c>
      <c r="B101" t="s">
        <v>15</v>
      </c>
      <c r="C101" s="3">
        <v>1743.55</v>
      </c>
      <c r="D101" s="3">
        <v>1754.3</v>
      </c>
      <c r="E101" s="3">
        <v>1729.55</v>
      </c>
      <c r="F101" s="3">
        <v>1741.2</v>
      </c>
      <c r="G101" s="3">
        <v>1742.1</v>
      </c>
      <c r="H101" s="3">
        <v>1745.6</v>
      </c>
      <c r="I101" s="3">
        <v>1743.57</v>
      </c>
      <c r="J101" s="3">
        <v>1794</v>
      </c>
      <c r="K101" s="3">
        <v>1363.55</v>
      </c>
      <c r="L101" s="4">
        <v>12386806</v>
      </c>
      <c r="M101" s="3">
        <v>21597223792.5</v>
      </c>
      <c r="N101" s="4">
        <v>260956</v>
      </c>
      <c r="O101">
        <f t="shared" si="1"/>
        <v>2.5269928784745366E-3</v>
      </c>
    </row>
    <row r="102" spans="1:15" ht="14.25" customHeight="1" x14ac:dyDescent="0.3">
      <c r="A102" s="2">
        <v>45621</v>
      </c>
      <c r="B102" t="s">
        <v>15</v>
      </c>
      <c r="C102" s="3">
        <v>1785.05</v>
      </c>
      <c r="D102" s="3">
        <v>1803.55</v>
      </c>
      <c r="E102" s="3">
        <v>1764.9</v>
      </c>
      <c r="F102" s="3">
        <v>1745.6</v>
      </c>
      <c r="G102" s="3">
        <v>1778.95</v>
      </c>
      <c r="H102" s="3">
        <v>1785.6</v>
      </c>
      <c r="I102" s="3">
        <v>1784.46</v>
      </c>
      <c r="J102" s="3">
        <v>1803.55</v>
      </c>
      <c r="K102" s="3">
        <v>1363.55</v>
      </c>
      <c r="L102" s="4">
        <v>213868637</v>
      </c>
      <c r="M102" s="3">
        <v>381639143690.09998</v>
      </c>
      <c r="N102" s="4">
        <v>600228</v>
      </c>
      <c r="O102">
        <f t="shared" si="1"/>
        <v>2.2914757103574702E-2</v>
      </c>
    </row>
    <row r="103" spans="1:15" ht="14.25" customHeight="1" x14ac:dyDescent="0.3">
      <c r="A103" s="2">
        <v>45622</v>
      </c>
      <c r="B103" t="s">
        <v>15</v>
      </c>
      <c r="C103" s="3">
        <v>1810</v>
      </c>
      <c r="D103" s="3">
        <v>1810</v>
      </c>
      <c r="E103" s="3">
        <v>1769.8</v>
      </c>
      <c r="F103" s="3">
        <v>1785.6</v>
      </c>
      <c r="G103" s="3">
        <v>1786.4</v>
      </c>
      <c r="H103" s="3">
        <v>1785.55</v>
      </c>
      <c r="I103" s="3">
        <v>1784.75</v>
      </c>
      <c r="J103" s="3">
        <v>1810</v>
      </c>
      <c r="K103" s="3">
        <v>1363.55</v>
      </c>
      <c r="L103" s="4">
        <v>15467783</v>
      </c>
      <c r="M103" s="3">
        <v>27606061237.400002</v>
      </c>
      <c r="N103" s="4">
        <v>261322</v>
      </c>
      <c r="O103">
        <f t="shared" si="1"/>
        <v>-2.8001792114669875E-5</v>
      </c>
    </row>
    <row r="104" spans="1:15" ht="14.25" customHeight="1" x14ac:dyDescent="0.3">
      <c r="A104" s="2">
        <v>45623</v>
      </c>
      <c r="B104" t="s">
        <v>15</v>
      </c>
      <c r="C104" s="3">
        <v>1789.9</v>
      </c>
      <c r="D104" s="3">
        <v>1817.35</v>
      </c>
      <c r="E104" s="3">
        <v>1785.15</v>
      </c>
      <c r="F104" s="3">
        <v>1785.55</v>
      </c>
      <c r="G104" s="3">
        <v>1809.5</v>
      </c>
      <c r="H104" s="3">
        <v>1812.3</v>
      </c>
      <c r="I104" s="3">
        <v>1801.57</v>
      </c>
      <c r="J104" s="3">
        <v>1817.35</v>
      </c>
      <c r="K104" s="3">
        <v>1363.55</v>
      </c>
      <c r="L104" s="4">
        <v>16357488</v>
      </c>
      <c r="M104" s="3">
        <v>29469224217.599998</v>
      </c>
      <c r="N104" s="4">
        <v>330771</v>
      </c>
      <c r="O104">
        <f t="shared" si="1"/>
        <v>1.4981378286802386E-2</v>
      </c>
    </row>
    <row r="105" spans="1:15" ht="14.25" customHeight="1" x14ac:dyDescent="0.3">
      <c r="A105" s="2">
        <v>45624</v>
      </c>
      <c r="B105" t="s">
        <v>15</v>
      </c>
      <c r="C105" s="3">
        <v>1819</v>
      </c>
      <c r="D105" s="3">
        <v>1836.1</v>
      </c>
      <c r="E105" s="3">
        <v>1788</v>
      </c>
      <c r="F105" s="3">
        <v>1812.3</v>
      </c>
      <c r="G105" s="3">
        <v>1793</v>
      </c>
      <c r="H105" s="3">
        <v>1793.15</v>
      </c>
      <c r="I105" s="3">
        <v>1808.45</v>
      </c>
      <c r="J105" s="3">
        <v>1836.1</v>
      </c>
      <c r="K105" s="3">
        <v>1363.55</v>
      </c>
      <c r="L105" s="4">
        <v>17861196</v>
      </c>
      <c r="M105" s="3">
        <v>32301109888.900002</v>
      </c>
      <c r="N105" s="4">
        <v>379898</v>
      </c>
      <c r="O105">
        <f t="shared" si="1"/>
        <v>-1.0566683220217329E-2</v>
      </c>
    </row>
    <row r="106" spans="1:15" ht="14.25" customHeight="1" x14ac:dyDescent="0.3">
      <c r="A106" s="2">
        <v>45625</v>
      </c>
      <c r="B106" t="s">
        <v>15</v>
      </c>
      <c r="C106" s="3">
        <v>1801.3</v>
      </c>
      <c r="D106" s="3">
        <v>1804.6</v>
      </c>
      <c r="E106" s="3">
        <v>1782.9</v>
      </c>
      <c r="F106" s="3">
        <v>1793.15</v>
      </c>
      <c r="G106" s="3">
        <v>1795.5</v>
      </c>
      <c r="H106" s="3">
        <v>1796.05</v>
      </c>
      <c r="I106" s="3">
        <v>1793.91</v>
      </c>
      <c r="J106" s="3">
        <v>1836.1</v>
      </c>
      <c r="K106" s="3">
        <v>1363.55</v>
      </c>
      <c r="L106" s="4">
        <v>13834768</v>
      </c>
      <c r="M106" s="3">
        <v>24818389358.549999</v>
      </c>
      <c r="N106" s="4">
        <v>377555</v>
      </c>
      <c r="O106">
        <f t="shared" si="1"/>
        <v>1.6172657056017976E-3</v>
      </c>
    </row>
    <row r="107" spans="1:15" ht="14.25" customHeight="1" x14ac:dyDescent="0.3">
      <c r="A107" s="2">
        <v>45628</v>
      </c>
      <c r="B107" t="s">
        <v>15</v>
      </c>
      <c r="C107" s="3">
        <v>1803.5</v>
      </c>
      <c r="D107" s="3">
        <v>1808.15</v>
      </c>
      <c r="E107" s="3">
        <v>1775</v>
      </c>
      <c r="F107" s="3">
        <v>1796.05</v>
      </c>
      <c r="G107" s="3">
        <v>1805.95</v>
      </c>
      <c r="H107" s="3">
        <v>1804.7</v>
      </c>
      <c r="I107" s="3">
        <v>1791.81</v>
      </c>
      <c r="J107" s="3">
        <v>1836.1</v>
      </c>
      <c r="K107" s="3">
        <v>1363.55</v>
      </c>
      <c r="L107" s="4">
        <v>7555438</v>
      </c>
      <c r="M107" s="3">
        <v>13537940498.049999</v>
      </c>
      <c r="N107" s="4">
        <v>219254</v>
      </c>
      <c r="O107">
        <f t="shared" si="1"/>
        <v>4.8161242727096081E-3</v>
      </c>
    </row>
    <row r="108" spans="1:15" ht="14.25" customHeight="1" x14ac:dyDescent="0.3">
      <c r="A108" s="2">
        <v>45629</v>
      </c>
      <c r="B108" t="s">
        <v>15</v>
      </c>
      <c r="C108" s="3">
        <v>1822.7</v>
      </c>
      <c r="D108" s="3">
        <v>1837.4</v>
      </c>
      <c r="E108" s="3">
        <v>1816.1</v>
      </c>
      <c r="F108" s="3">
        <v>1804.7</v>
      </c>
      <c r="G108" s="3">
        <v>1825.3</v>
      </c>
      <c r="H108" s="3">
        <v>1826.3</v>
      </c>
      <c r="I108" s="3">
        <v>1827.25</v>
      </c>
      <c r="J108" s="3">
        <v>1837.4</v>
      </c>
      <c r="K108" s="3">
        <v>1363.55</v>
      </c>
      <c r="L108" s="4">
        <v>21705121</v>
      </c>
      <c r="M108" s="3">
        <v>39660723545.25</v>
      </c>
      <c r="N108" s="4">
        <v>304635</v>
      </c>
      <c r="O108">
        <f t="shared" si="1"/>
        <v>1.1968748268410212E-2</v>
      </c>
    </row>
    <row r="109" spans="1:15" ht="14.25" customHeight="1" x14ac:dyDescent="0.3">
      <c r="A109" s="2">
        <v>45630</v>
      </c>
      <c r="B109" t="s">
        <v>15</v>
      </c>
      <c r="C109" s="3">
        <v>1838</v>
      </c>
      <c r="D109" s="3">
        <v>1865</v>
      </c>
      <c r="E109" s="3">
        <v>1831.15</v>
      </c>
      <c r="F109" s="3">
        <v>1826.3</v>
      </c>
      <c r="G109" s="3">
        <v>1856.8</v>
      </c>
      <c r="H109" s="3">
        <v>1860.1</v>
      </c>
      <c r="I109" s="3">
        <v>1854.85</v>
      </c>
      <c r="J109" s="3">
        <v>1865</v>
      </c>
      <c r="K109" s="3">
        <v>1363.55</v>
      </c>
      <c r="L109" s="4">
        <v>22334542</v>
      </c>
      <c r="M109" s="3">
        <v>41427249107.900002</v>
      </c>
      <c r="N109" s="4">
        <v>436235</v>
      </c>
      <c r="O109">
        <f t="shared" si="1"/>
        <v>1.8507364616985138E-2</v>
      </c>
    </row>
    <row r="110" spans="1:15" ht="14.25" customHeight="1" x14ac:dyDescent="0.3">
      <c r="A110" s="2">
        <v>45631</v>
      </c>
      <c r="B110" t="s">
        <v>15</v>
      </c>
      <c r="C110" s="3">
        <v>1860</v>
      </c>
      <c r="D110" s="3">
        <v>1879.95</v>
      </c>
      <c r="E110" s="3">
        <v>1835.2</v>
      </c>
      <c r="F110" s="3">
        <v>1860.1</v>
      </c>
      <c r="G110" s="3">
        <v>1864.85</v>
      </c>
      <c r="H110" s="3">
        <v>1865.75</v>
      </c>
      <c r="I110" s="3">
        <v>1862.43</v>
      </c>
      <c r="J110" s="3">
        <v>1879.95</v>
      </c>
      <c r="K110" s="3">
        <v>1363.55</v>
      </c>
      <c r="L110" s="4">
        <v>19841357</v>
      </c>
      <c r="M110" s="3">
        <v>36953040114.300003</v>
      </c>
      <c r="N110" s="4">
        <v>436462</v>
      </c>
      <c r="O110">
        <f t="shared" si="1"/>
        <v>3.0374711037041511E-3</v>
      </c>
    </row>
    <row r="111" spans="1:15" ht="14.25" customHeight="1" x14ac:dyDescent="0.3">
      <c r="A111" s="2">
        <v>45632</v>
      </c>
      <c r="B111" t="s">
        <v>15</v>
      </c>
      <c r="C111" s="3">
        <v>1857</v>
      </c>
      <c r="D111" s="3">
        <v>1864.2</v>
      </c>
      <c r="E111" s="3">
        <v>1844</v>
      </c>
      <c r="F111" s="3">
        <v>1865.75</v>
      </c>
      <c r="G111" s="3">
        <v>1855.45</v>
      </c>
      <c r="H111" s="3">
        <v>1855.85</v>
      </c>
      <c r="I111" s="3">
        <v>1856.73</v>
      </c>
      <c r="J111" s="3">
        <v>1879.95</v>
      </c>
      <c r="K111" s="3">
        <v>1363.55</v>
      </c>
      <c r="L111" s="4">
        <v>8891578</v>
      </c>
      <c r="M111" s="3">
        <v>16509303748.1</v>
      </c>
      <c r="N111" s="4">
        <v>306905</v>
      </c>
      <c r="O111">
        <f t="shared" si="1"/>
        <v>-5.3061771405601456E-3</v>
      </c>
    </row>
    <row r="112" spans="1:15" ht="14.25" customHeight="1" x14ac:dyDescent="0.3">
      <c r="A112" s="2">
        <v>45635</v>
      </c>
      <c r="B112" t="s">
        <v>15</v>
      </c>
      <c r="C112" s="3">
        <v>1853.65</v>
      </c>
      <c r="D112" s="3">
        <v>1880</v>
      </c>
      <c r="E112" s="3">
        <v>1849</v>
      </c>
      <c r="F112" s="3">
        <v>1855.85</v>
      </c>
      <c r="G112" s="3">
        <v>1867.55</v>
      </c>
      <c r="H112" s="3">
        <v>1870</v>
      </c>
      <c r="I112" s="3">
        <v>1871.09</v>
      </c>
      <c r="J112" s="3">
        <v>1880</v>
      </c>
      <c r="K112" s="3">
        <v>1363.55</v>
      </c>
      <c r="L112" s="4">
        <v>13473956</v>
      </c>
      <c r="M112" s="3">
        <v>25211039597.450001</v>
      </c>
      <c r="N112" s="4">
        <v>234236</v>
      </c>
      <c r="O112">
        <f t="shared" si="1"/>
        <v>7.6245386211170581E-3</v>
      </c>
    </row>
    <row r="113" spans="1:15" ht="14.25" customHeight="1" x14ac:dyDescent="0.3">
      <c r="A113" s="2">
        <v>45636</v>
      </c>
      <c r="B113" t="s">
        <v>15</v>
      </c>
      <c r="C113" s="3">
        <v>1877.7</v>
      </c>
      <c r="D113" s="3">
        <v>1877.7</v>
      </c>
      <c r="E113" s="3">
        <v>1858.55</v>
      </c>
      <c r="F113" s="3">
        <v>1870</v>
      </c>
      <c r="G113" s="3">
        <v>1867.65</v>
      </c>
      <c r="H113" s="3">
        <v>1868.1</v>
      </c>
      <c r="I113" s="3">
        <v>1867.3</v>
      </c>
      <c r="J113" s="3">
        <v>1880</v>
      </c>
      <c r="K113" s="3">
        <v>1363.55</v>
      </c>
      <c r="L113" s="4">
        <v>6662740</v>
      </c>
      <c r="M113" s="3">
        <v>12441343169.15</v>
      </c>
      <c r="N113" s="4">
        <v>231195</v>
      </c>
      <c r="O113">
        <f t="shared" si="1"/>
        <v>-1.0160427807487118E-3</v>
      </c>
    </row>
    <row r="114" spans="1:15" ht="14.25" customHeight="1" x14ac:dyDescent="0.3">
      <c r="A114" s="2">
        <v>45637</v>
      </c>
      <c r="B114" t="s">
        <v>15</v>
      </c>
      <c r="C114" s="3">
        <v>1861.7</v>
      </c>
      <c r="D114" s="3">
        <v>1871.9</v>
      </c>
      <c r="E114" s="3">
        <v>1856.75</v>
      </c>
      <c r="F114" s="3">
        <v>1868.1</v>
      </c>
      <c r="G114" s="3">
        <v>1862.5</v>
      </c>
      <c r="H114" s="3">
        <v>1863.1</v>
      </c>
      <c r="I114" s="3">
        <v>1864</v>
      </c>
      <c r="J114" s="3">
        <v>1880</v>
      </c>
      <c r="K114" s="3">
        <v>1363.55</v>
      </c>
      <c r="L114" s="4">
        <v>7022713</v>
      </c>
      <c r="M114" s="3">
        <v>13090328471.35</v>
      </c>
      <c r="N114" s="4">
        <v>233801</v>
      </c>
      <c r="O114">
        <f t="shared" si="1"/>
        <v>-2.6765162464536161E-3</v>
      </c>
    </row>
    <row r="115" spans="1:15" ht="14.25" customHeight="1" x14ac:dyDescent="0.3">
      <c r="A115" s="2">
        <v>45638</v>
      </c>
      <c r="B115" t="s">
        <v>15</v>
      </c>
      <c r="C115" s="3">
        <v>1851</v>
      </c>
      <c r="D115" s="3">
        <v>1868.65</v>
      </c>
      <c r="E115" s="3">
        <v>1848.7</v>
      </c>
      <c r="F115" s="3">
        <v>1863.1</v>
      </c>
      <c r="G115" s="3">
        <v>1858</v>
      </c>
      <c r="H115" s="3">
        <v>1859.25</v>
      </c>
      <c r="I115" s="3">
        <v>1858.38</v>
      </c>
      <c r="J115" s="3">
        <v>1880</v>
      </c>
      <c r="K115" s="3">
        <v>1363.55</v>
      </c>
      <c r="L115" s="4">
        <v>8646895</v>
      </c>
      <c r="M115" s="3">
        <v>16069241440.6</v>
      </c>
      <c r="N115" s="4">
        <v>201479</v>
      </c>
      <c r="O115">
        <f t="shared" si="1"/>
        <v>-2.0664483924641239E-3</v>
      </c>
    </row>
    <row r="116" spans="1:15" ht="14.25" customHeight="1" x14ac:dyDescent="0.3">
      <c r="A116" s="2">
        <v>45639</v>
      </c>
      <c r="B116" t="s">
        <v>15</v>
      </c>
      <c r="C116" s="3">
        <v>1862.5</v>
      </c>
      <c r="D116" s="3">
        <v>1875</v>
      </c>
      <c r="E116" s="3">
        <v>1829.25</v>
      </c>
      <c r="F116" s="3">
        <v>1859.25</v>
      </c>
      <c r="G116" s="3">
        <v>1873.3</v>
      </c>
      <c r="H116" s="3">
        <v>1871.75</v>
      </c>
      <c r="I116" s="3">
        <v>1858.29</v>
      </c>
      <c r="J116" s="3">
        <v>1880</v>
      </c>
      <c r="K116" s="3">
        <v>1363.55</v>
      </c>
      <c r="L116" s="4">
        <v>9504501</v>
      </c>
      <c r="M116" s="3">
        <v>17662074120.799999</v>
      </c>
      <c r="N116" s="4">
        <v>218405</v>
      </c>
      <c r="O116">
        <f t="shared" si="1"/>
        <v>6.7231410514992608E-3</v>
      </c>
    </row>
    <row r="117" spans="1:15" ht="14.25" customHeight="1" x14ac:dyDescent="0.3">
      <c r="A117" s="2">
        <v>45642</v>
      </c>
      <c r="B117" t="s">
        <v>15</v>
      </c>
      <c r="C117" s="3">
        <v>1865.1</v>
      </c>
      <c r="D117" s="3">
        <v>1869.95</v>
      </c>
      <c r="E117" s="3">
        <v>1855.25</v>
      </c>
      <c r="F117" s="3">
        <v>1871.75</v>
      </c>
      <c r="G117" s="3">
        <v>1862</v>
      </c>
      <c r="H117" s="3">
        <v>1865.2</v>
      </c>
      <c r="I117" s="3">
        <v>1863.37</v>
      </c>
      <c r="J117" s="3">
        <v>1880</v>
      </c>
      <c r="K117" s="3">
        <v>1363.55</v>
      </c>
      <c r="L117" s="4">
        <v>6553541</v>
      </c>
      <c r="M117" s="3">
        <v>12211702096</v>
      </c>
      <c r="N117" s="4">
        <v>177602</v>
      </c>
      <c r="O117">
        <f t="shared" si="1"/>
        <v>-3.4993989581941789E-3</v>
      </c>
    </row>
    <row r="118" spans="1:15" ht="14.25" customHeight="1" x14ac:dyDescent="0.3">
      <c r="A118" s="2">
        <v>45643</v>
      </c>
      <c r="B118" t="s">
        <v>15</v>
      </c>
      <c r="C118" s="3">
        <v>1856.35</v>
      </c>
      <c r="D118" s="3">
        <v>1862.35</v>
      </c>
      <c r="E118" s="3">
        <v>1826.5</v>
      </c>
      <c r="F118" s="3">
        <v>1865.2</v>
      </c>
      <c r="G118" s="3">
        <v>1829.9</v>
      </c>
      <c r="H118" s="3">
        <v>1833.25</v>
      </c>
      <c r="I118" s="3">
        <v>1840.34</v>
      </c>
      <c r="J118" s="3">
        <v>1880</v>
      </c>
      <c r="K118" s="3">
        <v>1363.55</v>
      </c>
      <c r="L118" s="4">
        <v>10539766</v>
      </c>
      <c r="M118" s="3">
        <v>19396785094.900002</v>
      </c>
      <c r="N118" s="4">
        <v>273231</v>
      </c>
      <c r="O118">
        <f t="shared" si="1"/>
        <v>-1.7129530345271309E-2</v>
      </c>
    </row>
    <row r="119" spans="1:15" ht="14.25" customHeight="1" x14ac:dyDescent="0.3">
      <c r="A119" s="2">
        <v>45644</v>
      </c>
      <c r="B119" t="s">
        <v>15</v>
      </c>
      <c r="C119" s="3">
        <v>1829.85</v>
      </c>
      <c r="D119" s="3">
        <v>1836</v>
      </c>
      <c r="E119" s="3">
        <v>1807.15</v>
      </c>
      <c r="F119" s="3">
        <v>1833.25</v>
      </c>
      <c r="G119" s="3">
        <v>1812</v>
      </c>
      <c r="H119" s="3">
        <v>1810.7</v>
      </c>
      <c r="I119" s="3">
        <v>1817.52</v>
      </c>
      <c r="J119" s="3">
        <v>1880</v>
      </c>
      <c r="K119" s="3">
        <v>1363.55</v>
      </c>
      <c r="L119" s="4">
        <v>11711156</v>
      </c>
      <c r="M119" s="3">
        <v>21285273596.849998</v>
      </c>
      <c r="N119" s="4">
        <v>235785</v>
      </c>
      <c r="O119">
        <f t="shared" si="1"/>
        <v>-1.2300559116323445E-2</v>
      </c>
    </row>
    <row r="120" spans="1:15" ht="14.25" customHeight="1" x14ac:dyDescent="0.3">
      <c r="A120" s="2">
        <v>45645</v>
      </c>
      <c r="B120" t="s">
        <v>15</v>
      </c>
      <c r="C120" s="3">
        <v>1799.6</v>
      </c>
      <c r="D120" s="3">
        <v>1801.1</v>
      </c>
      <c r="E120" s="3">
        <v>1779</v>
      </c>
      <c r="F120" s="3">
        <v>1810.7</v>
      </c>
      <c r="G120" s="3">
        <v>1794</v>
      </c>
      <c r="H120" s="3">
        <v>1793.5</v>
      </c>
      <c r="I120" s="3">
        <v>1791.37</v>
      </c>
      <c r="J120" s="3">
        <v>1880</v>
      </c>
      <c r="K120" s="3">
        <v>1363.55</v>
      </c>
      <c r="L120" s="4">
        <v>12690385</v>
      </c>
      <c r="M120" s="3">
        <v>22733148296.099998</v>
      </c>
      <c r="N120" s="4">
        <v>226833</v>
      </c>
      <c r="O120">
        <f t="shared" si="1"/>
        <v>-9.4990887502071266E-3</v>
      </c>
    </row>
    <row r="121" spans="1:15" ht="14.25" customHeight="1" x14ac:dyDescent="0.3">
      <c r="A121" s="2">
        <v>45646</v>
      </c>
      <c r="B121" t="s">
        <v>15</v>
      </c>
      <c r="C121" s="3">
        <v>1782.2</v>
      </c>
      <c r="D121" s="3">
        <v>1797.55</v>
      </c>
      <c r="E121" s="3">
        <v>1767.05</v>
      </c>
      <c r="F121" s="3">
        <v>1793.5</v>
      </c>
      <c r="G121" s="3">
        <v>1777.1</v>
      </c>
      <c r="H121" s="3">
        <v>1771.5</v>
      </c>
      <c r="I121" s="3">
        <v>1778.49</v>
      </c>
      <c r="J121" s="3">
        <v>1880</v>
      </c>
      <c r="K121" s="3">
        <v>1363.55</v>
      </c>
      <c r="L121" s="4">
        <v>12846174</v>
      </c>
      <c r="M121" s="3">
        <v>22846837948.650002</v>
      </c>
      <c r="N121" s="4">
        <v>248859</v>
      </c>
      <c r="O121">
        <f t="shared" si="1"/>
        <v>-1.2266517981600222E-2</v>
      </c>
    </row>
    <row r="122" spans="1:15" ht="14.25" customHeight="1" x14ac:dyDescent="0.3">
      <c r="A122" s="2">
        <v>45649</v>
      </c>
      <c r="B122" t="s">
        <v>15</v>
      </c>
      <c r="C122" s="3">
        <v>1782</v>
      </c>
      <c r="D122" s="3">
        <v>1806</v>
      </c>
      <c r="E122" s="3">
        <v>1781.3</v>
      </c>
      <c r="F122" s="3">
        <v>1771.5</v>
      </c>
      <c r="G122" s="3">
        <v>1802</v>
      </c>
      <c r="H122" s="3">
        <v>1801</v>
      </c>
      <c r="I122" s="3">
        <v>1798.41</v>
      </c>
      <c r="J122" s="3">
        <v>1880</v>
      </c>
      <c r="K122" s="3">
        <v>1363.55</v>
      </c>
      <c r="L122" s="4">
        <v>5522296</v>
      </c>
      <c r="M122" s="3">
        <v>9931339240.1499996</v>
      </c>
      <c r="N122" s="4">
        <v>196041</v>
      </c>
      <c r="O122">
        <f t="shared" si="1"/>
        <v>1.6652554332486594E-2</v>
      </c>
    </row>
    <row r="123" spans="1:15" ht="14.25" customHeight="1" x14ac:dyDescent="0.3">
      <c r="A123" s="2">
        <v>45650</v>
      </c>
      <c r="B123" t="s">
        <v>15</v>
      </c>
      <c r="C123" s="3">
        <v>1802.05</v>
      </c>
      <c r="D123" s="3">
        <v>1808.7</v>
      </c>
      <c r="E123" s="3">
        <v>1789.55</v>
      </c>
      <c r="F123" s="3">
        <v>1801</v>
      </c>
      <c r="G123" s="3">
        <v>1799.65</v>
      </c>
      <c r="H123" s="3">
        <v>1798.1</v>
      </c>
      <c r="I123" s="3">
        <v>1798.76</v>
      </c>
      <c r="J123" s="3">
        <v>1880</v>
      </c>
      <c r="K123" s="3">
        <v>1363.55</v>
      </c>
      <c r="L123" s="4">
        <v>7242917</v>
      </c>
      <c r="M123" s="3">
        <v>13028270259.6</v>
      </c>
      <c r="N123" s="4">
        <v>186401</v>
      </c>
      <c r="O123">
        <f t="shared" si="1"/>
        <v>-1.6102165463631822E-3</v>
      </c>
    </row>
    <row r="124" spans="1:15" ht="14.25" customHeight="1" x14ac:dyDescent="0.3">
      <c r="A124" s="2">
        <v>45652</v>
      </c>
      <c r="B124" t="s">
        <v>15</v>
      </c>
      <c r="C124" s="3">
        <v>1798.55</v>
      </c>
      <c r="D124" s="3">
        <v>1812</v>
      </c>
      <c r="E124" s="3">
        <v>1780.75</v>
      </c>
      <c r="F124" s="3">
        <v>1798.1</v>
      </c>
      <c r="G124" s="3">
        <v>1792.5</v>
      </c>
      <c r="H124" s="3">
        <v>1790.75</v>
      </c>
      <c r="I124" s="3">
        <v>1793.76</v>
      </c>
      <c r="J124" s="3">
        <v>1880</v>
      </c>
      <c r="K124" s="3">
        <v>1363.55</v>
      </c>
      <c r="L124" s="4">
        <v>5240839</v>
      </c>
      <c r="M124" s="3">
        <v>9400810018.3500004</v>
      </c>
      <c r="N124" s="4">
        <v>206346</v>
      </c>
      <c r="O124">
        <f t="shared" si="1"/>
        <v>-4.0876480729658583E-3</v>
      </c>
    </row>
    <row r="125" spans="1:15" ht="14.25" customHeight="1" x14ac:dyDescent="0.3">
      <c r="A125" s="2">
        <v>45653</v>
      </c>
      <c r="B125" t="s">
        <v>15</v>
      </c>
      <c r="C125" s="3">
        <v>1794.8</v>
      </c>
      <c r="D125" s="3">
        <v>1805.95</v>
      </c>
      <c r="E125" s="3">
        <v>1789.1</v>
      </c>
      <c r="F125" s="3">
        <v>1790.75</v>
      </c>
      <c r="G125" s="3">
        <v>1801</v>
      </c>
      <c r="H125" s="3">
        <v>1798.25</v>
      </c>
      <c r="I125" s="3">
        <v>1796.11</v>
      </c>
      <c r="J125" s="3">
        <v>1880</v>
      </c>
      <c r="K125" s="3">
        <v>1363.55</v>
      </c>
      <c r="L125" s="4">
        <v>3629665</v>
      </c>
      <c r="M125" s="3">
        <v>6519260348.3999996</v>
      </c>
      <c r="N125" s="4">
        <v>118374</v>
      </c>
      <c r="O125">
        <f t="shared" si="1"/>
        <v>4.1881893061566384E-3</v>
      </c>
    </row>
    <row r="126" spans="1:15" ht="14.25" customHeight="1" x14ac:dyDescent="0.3">
      <c r="A126" s="2">
        <v>45656</v>
      </c>
      <c r="B126" t="s">
        <v>15</v>
      </c>
      <c r="C126" s="3">
        <v>1792.2</v>
      </c>
      <c r="D126" s="3">
        <v>1815</v>
      </c>
      <c r="E126" s="3">
        <v>1771</v>
      </c>
      <c r="F126" s="3">
        <v>1798.25</v>
      </c>
      <c r="G126" s="3">
        <v>1784</v>
      </c>
      <c r="H126" s="3">
        <v>1777.9</v>
      </c>
      <c r="I126" s="3">
        <v>1785.2</v>
      </c>
      <c r="J126" s="3">
        <v>1880</v>
      </c>
      <c r="K126" s="3">
        <v>1363.55</v>
      </c>
      <c r="L126" s="4">
        <v>11111109</v>
      </c>
      <c r="M126" s="3">
        <v>19835603545.900002</v>
      </c>
      <c r="N126" s="4">
        <v>242576</v>
      </c>
      <c r="O126">
        <f t="shared" si="1"/>
        <v>-1.1316557764493206E-2</v>
      </c>
    </row>
    <row r="127" spans="1:15" ht="14.25" customHeight="1" x14ac:dyDescent="0.3">
      <c r="A127" s="2">
        <v>45657</v>
      </c>
      <c r="B127" t="s">
        <v>15</v>
      </c>
      <c r="C127" s="3">
        <v>1770.3</v>
      </c>
      <c r="D127" s="3">
        <v>1781.8</v>
      </c>
      <c r="E127" s="3">
        <v>1765.6</v>
      </c>
      <c r="F127" s="3">
        <v>1777.9</v>
      </c>
      <c r="G127" s="3">
        <v>1772</v>
      </c>
      <c r="H127" s="3">
        <v>1772.85</v>
      </c>
      <c r="I127" s="3">
        <v>1773.08</v>
      </c>
      <c r="J127" s="3">
        <v>1880</v>
      </c>
      <c r="K127" s="3">
        <v>1363.55</v>
      </c>
      <c r="L127" s="4">
        <v>7058618</v>
      </c>
      <c r="M127" s="3">
        <v>12515466451.75</v>
      </c>
      <c r="N127" s="4">
        <v>178863</v>
      </c>
      <c r="O127">
        <f t="shared" si="1"/>
        <v>-2.8404297204568207E-3</v>
      </c>
    </row>
    <row r="128" spans="1:15" ht="14.25" customHeight="1" x14ac:dyDescent="0.3">
      <c r="A128" s="2">
        <v>45658</v>
      </c>
      <c r="B128" t="s">
        <v>15</v>
      </c>
      <c r="C128" s="3">
        <v>1773.45</v>
      </c>
      <c r="D128" s="3">
        <v>1794</v>
      </c>
      <c r="E128" s="3">
        <v>1761.1</v>
      </c>
      <c r="F128" s="3">
        <v>1772.85</v>
      </c>
      <c r="G128" s="3">
        <v>1784.95</v>
      </c>
      <c r="H128" s="3">
        <v>1782.75</v>
      </c>
      <c r="I128" s="3">
        <v>1781.22</v>
      </c>
      <c r="J128" s="3">
        <v>1880</v>
      </c>
      <c r="K128" s="3">
        <v>1363.55</v>
      </c>
      <c r="L128" s="4">
        <v>3656903</v>
      </c>
      <c r="M128" s="3">
        <v>6513766065.6999998</v>
      </c>
      <c r="N128" s="4">
        <v>137050</v>
      </c>
      <c r="O128">
        <f t="shared" si="1"/>
        <v>5.5842287841611484E-3</v>
      </c>
    </row>
    <row r="129" spans="1:15" ht="14.25" customHeight="1" x14ac:dyDescent="0.3">
      <c r="A129" s="2">
        <v>45659</v>
      </c>
      <c r="B129" t="s">
        <v>15</v>
      </c>
      <c r="C129" s="3">
        <v>1777.1</v>
      </c>
      <c r="D129" s="3">
        <v>1803.45</v>
      </c>
      <c r="E129" s="3">
        <v>1773</v>
      </c>
      <c r="F129" s="3">
        <v>1782.75</v>
      </c>
      <c r="G129" s="3">
        <v>1792.35</v>
      </c>
      <c r="H129" s="3">
        <v>1793.75</v>
      </c>
      <c r="I129" s="3">
        <v>1792</v>
      </c>
      <c r="J129" s="3">
        <v>1880</v>
      </c>
      <c r="K129" s="3">
        <v>1363.55</v>
      </c>
      <c r="L129" s="4">
        <v>9279288</v>
      </c>
      <c r="M129" s="3">
        <v>16628452536.950001</v>
      </c>
      <c r="N129" s="4">
        <v>207825</v>
      </c>
      <c r="O129">
        <f t="shared" si="1"/>
        <v>6.1702426027205161E-3</v>
      </c>
    </row>
    <row r="130" spans="1:15" ht="14.25" customHeight="1" x14ac:dyDescent="0.3">
      <c r="A130" s="2">
        <v>45660</v>
      </c>
      <c r="B130" t="s">
        <v>15</v>
      </c>
      <c r="C130" s="3">
        <v>1791</v>
      </c>
      <c r="D130" s="3">
        <v>1795.25</v>
      </c>
      <c r="E130" s="3">
        <v>1746.3</v>
      </c>
      <c r="F130" s="3">
        <v>1793.75</v>
      </c>
      <c r="G130" s="3">
        <v>1748.4</v>
      </c>
      <c r="H130" s="3">
        <v>1749.2</v>
      </c>
      <c r="I130" s="3">
        <v>1758.6</v>
      </c>
      <c r="J130" s="3">
        <v>1880</v>
      </c>
      <c r="K130" s="3">
        <v>1363.55</v>
      </c>
      <c r="L130" s="4">
        <v>12213097</v>
      </c>
      <c r="M130" s="3">
        <v>21477958569.150002</v>
      </c>
      <c r="N130" s="4">
        <v>331392</v>
      </c>
      <c r="O130">
        <f t="shared" si="1"/>
        <v>-2.4836236933797884E-2</v>
      </c>
    </row>
    <row r="131" spans="1:15" ht="14.25" customHeight="1" x14ac:dyDescent="0.3">
      <c r="A131" s="2">
        <v>45663</v>
      </c>
      <c r="B131" t="s">
        <v>15</v>
      </c>
      <c r="C131" s="3">
        <v>1740.1</v>
      </c>
      <c r="D131" s="3">
        <v>1757.2</v>
      </c>
      <c r="E131" s="3">
        <v>1705.8</v>
      </c>
      <c r="F131" s="3">
        <v>1749.2</v>
      </c>
      <c r="G131" s="3">
        <v>1711</v>
      </c>
      <c r="H131" s="3">
        <v>1710.5</v>
      </c>
      <c r="I131" s="3">
        <v>1725.21</v>
      </c>
      <c r="J131" s="3">
        <v>1880</v>
      </c>
      <c r="K131" s="3">
        <v>1363.55</v>
      </c>
      <c r="L131" s="4">
        <v>9408174</v>
      </c>
      <c r="M131" s="3">
        <v>16231088938.6</v>
      </c>
      <c r="N131" s="4">
        <v>286152</v>
      </c>
      <c r="O131">
        <f t="shared" ref="O131:O194" si="2">(H131-H130)/H130</f>
        <v>-2.2124399725588866E-2</v>
      </c>
    </row>
    <row r="132" spans="1:15" ht="14.25" customHeight="1" x14ac:dyDescent="0.3">
      <c r="A132" s="2">
        <v>45664</v>
      </c>
      <c r="B132" t="s">
        <v>15</v>
      </c>
      <c r="C132" s="3">
        <v>1715</v>
      </c>
      <c r="D132" s="3">
        <v>1721</v>
      </c>
      <c r="E132" s="3">
        <v>1700</v>
      </c>
      <c r="F132" s="3">
        <v>1710.5</v>
      </c>
      <c r="G132" s="3">
        <v>1712.95</v>
      </c>
      <c r="H132" s="3">
        <v>1713.4</v>
      </c>
      <c r="I132" s="3">
        <v>1712.76</v>
      </c>
      <c r="J132" s="3">
        <v>1880</v>
      </c>
      <c r="K132" s="3">
        <v>1363.55</v>
      </c>
      <c r="L132" s="4">
        <v>6763953</v>
      </c>
      <c r="M132" s="3">
        <v>11585014112.5</v>
      </c>
      <c r="N132" s="4">
        <v>183035</v>
      </c>
      <c r="O132">
        <f t="shared" si="2"/>
        <v>1.6954106986261858E-3</v>
      </c>
    </row>
    <row r="133" spans="1:15" ht="14.25" customHeight="1" x14ac:dyDescent="0.3">
      <c r="A133" s="2">
        <v>45665</v>
      </c>
      <c r="B133" t="s">
        <v>15</v>
      </c>
      <c r="C133" s="3">
        <v>1708.25</v>
      </c>
      <c r="D133" s="3">
        <v>1711.65</v>
      </c>
      <c r="E133" s="3">
        <v>1683.35</v>
      </c>
      <c r="F133" s="3">
        <v>1713.4</v>
      </c>
      <c r="G133" s="3">
        <v>1694.2</v>
      </c>
      <c r="H133" s="3">
        <v>1694.3</v>
      </c>
      <c r="I133" s="3">
        <v>1694.07</v>
      </c>
      <c r="J133" s="3">
        <v>1880</v>
      </c>
      <c r="K133" s="3">
        <v>1363.55</v>
      </c>
      <c r="L133" s="4">
        <v>9869095</v>
      </c>
      <c r="M133" s="3">
        <v>16718930725.700001</v>
      </c>
      <c r="N133" s="4">
        <v>333259</v>
      </c>
      <c r="O133">
        <f t="shared" si="2"/>
        <v>-1.114742617018801E-2</v>
      </c>
    </row>
    <row r="134" spans="1:15" ht="14.25" customHeight="1" x14ac:dyDescent="0.3">
      <c r="A134" s="2">
        <v>45666</v>
      </c>
      <c r="B134" t="s">
        <v>15</v>
      </c>
      <c r="C134" s="3">
        <v>1684.15</v>
      </c>
      <c r="D134" s="3">
        <v>1689</v>
      </c>
      <c r="E134" s="3">
        <v>1658.1</v>
      </c>
      <c r="F134" s="3">
        <v>1694.3</v>
      </c>
      <c r="G134" s="3">
        <v>1668.8</v>
      </c>
      <c r="H134" s="3">
        <v>1667.8</v>
      </c>
      <c r="I134" s="3">
        <v>1668.1</v>
      </c>
      <c r="J134" s="3">
        <v>1880</v>
      </c>
      <c r="K134" s="3">
        <v>1363.55</v>
      </c>
      <c r="L134" s="4">
        <v>20210111</v>
      </c>
      <c r="M134" s="3">
        <v>33712559507.349998</v>
      </c>
      <c r="N134" s="4">
        <v>484900</v>
      </c>
      <c r="O134">
        <f t="shared" si="2"/>
        <v>-1.5640677565956444E-2</v>
      </c>
    </row>
    <row r="135" spans="1:15" ht="14.25" customHeight="1" x14ac:dyDescent="0.3">
      <c r="A135" s="2">
        <v>45667</v>
      </c>
      <c r="B135" t="s">
        <v>15</v>
      </c>
      <c r="C135" s="3">
        <v>1671</v>
      </c>
      <c r="D135" s="3">
        <v>1674.9</v>
      </c>
      <c r="E135" s="3">
        <v>1654</v>
      </c>
      <c r="F135" s="3">
        <v>1667.8</v>
      </c>
      <c r="G135" s="3">
        <v>1657</v>
      </c>
      <c r="H135" s="3">
        <v>1656.75</v>
      </c>
      <c r="I135" s="3">
        <v>1664.65</v>
      </c>
      <c r="J135" s="3">
        <v>1880</v>
      </c>
      <c r="K135" s="3">
        <v>1363.55</v>
      </c>
      <c r="L135" s="4">
        <v>8726640</v>
      </c>
      <c r="M135" s="3">
        <v>14526837756.799999</v>
      </c>
      <c r="N135" s="4">
        <v>215325</v>
      </c>
      <c r="O135">
        <f t="shared" si="2"/>
        <v>-6.6254946636287058E-3</v>
      </c>
    </row>
    <row r="136" spans="1:15" ht="14.25" customHeight="1" x14ac:dyDescent="0.3">
      <c r="A136" s="2">
        <v>45670</v>
      </c>
      <c r="B136" t="s">
        <v>15</v>
      </c>
      <c r="C136" s="3">
        <v>1640</v>
      </c>
      <c r="D136" s="3">
        <v>1646.75</v>
      </c>
      <c r="E136" s="3">
        <v>1624.3</v>
      </c>
      <c r="F136" s="3">
        <v>1656.75</v>
      </c>
      <c r="G136" s="3">
        <v>1632.1</v>
      </c>
      <c r="H136" s="3">
        <v>1630.85</v>
      </c>
      <c r="I136" s="3">
        <v>1634.5</v>
      </c>
      <c r="J136" s="3">
        <v>1880</v>
      </c>
      <c r="K136" s="3">
        <v>1363.55</v>
      </c>
      <c r="L136" s="4">
        <v>10834533</v>
      </c>
      <c r="M136" s="3">
        <v>17709048137.700001</v>
      </c>
      <c r="N136" s="4">
        <v>275849</v>
      </c>
      <c r="O136">
        <f t="shared" si="2"/>
        <v>-1.5633016447864849E-2</v>
      </c>
    </row>
    <row r="137" spans="1:15" ht="14.25" customHeight="1" x14ac:dyDescent="0.3">
      <c r="A137" s="2">
        <v>45671</v>
      </c>
      <c r="B137" t="s">
        <v>15</v>
      </c>
      <c r="C137" s="3">
        <v>1639.9</v>
      </c>
      <c r="D137" s="3">
        <v>1656.2</v>
      </c>
      <c r="E137" s="3">
        <v>1637</v>
      </c>
      <c r="F137" s="3">
        <v>1630.85</v>
      </c>
      <c r="G137" s="3">
        <v>1650.75</v>
      </c>
      <c r="H137" s="3">
        <v>1646.6</v>
      </c>
      <c r="I137" s="3">
        <v>1646.85</v>
      </c>
      <c r="J137" s="3">
        <v>1880</v>
      </c>
      <c r="K137" s="3">
        <v>1363.55</v>
      </c>
      <c r="L137" s="4">
        <v>13330716</v>
      </c>
      <c r="M137" s="3">
        <v>21953639202.099998</v>
      </c>
      <c r="N137" s="4">
        <v>315905</v>
      </c>
      <c r="O137">
        <f t="shared" si="2"/>
        <v>9.6575405463408658E-3</v>
      </c>
    </row>
    <row r="138" spans="1:15" ht="14.25" customHeight="1" x14ac:dyDescent="0.3">
      <c r="A138" s="2">
        <v>45672</v>
      </c>
      <c r="B138" t="s">
        <v>15</v>
      </c>
      <c r="C138" s="3">
        <v>1656.5</v>
      </c>
      <c r="D138" s="3">
        <v>1662.7</v>
      </c>
      <c r="E138" s="3">
        <v>1636.3</v>
      </c>
      <c r="F138" s="3">
        <v>1646.6</v>
      </c>
      <c r="G138" s="3">
        <v>1645.7</v>
      </c>
      <c r="H138" s="3">
        <v>1643.05</v>
      </c>
      <c r="I138" s="3">
        <v>1648.56</v>
      </c>
      <c r="J138" s="3">
        <v>1880</v>
      </c>
      <c r="K138" s="3">
        <v>1363.55</v>
      </c>
      <c r="L138" s="4">
        <v>7011446</v>
      </c>
      <c r="M138" s="3">
        <v>11558819066.049999</v>
      </c>
      <c r="N138" s="4">
        <v>207907</v>
      </c>
      <c r="O138">
        <f t="shared" si="2"/>
        <v>-2.1559577310822026E-3</v>
      </c>
    </row>
    <row r="139" spans="1:15" ht="14.25" customHeight="1" x14ac:dyDescent="0.3">
      <c r="A139" s="2">
        <v>45673</v>
      </c>
      <c r="B139" t="s">
        <v>15</v>
      </c>
      <c r="C139" s="3">
        <v>1652.85</v>
      </c>
      <c r="D139" s="3">
        <v>1660.55</v>
      </c>
      <c r="E139" s="3">
        <v>1642.85</v>
      </c>
      <c r="F139" s="3">
        <v>1643.05</v>
      </c>
      <c r="G139" s="3">
        <v>1654.85</v>
      </c>
      <c r="H139" s="3">
        <v>1652.05</v>
      </c>
      <c r="I139" s="3">
        <v>1650.92</v>
      </c>
      <c r="J139" s="3">
        <v>1880</v>
      </c>
      <c r="K139" s="3">
        <v>1363.55</v>
      </c>
      <c r="L139" s="4">
        <v>10606227</v>
      </c>
      <c r="M139" s="3">
        <v>17510025478.450001</v>
      </c>
      <c r="N139" s="4">
        <v>215124</v>
      </c>
      <c r="O139">
        <f t="shared" si="2"/>
        <v>5.4776178448616899E-3</v>
      </c>
    </row>
    <row r="140" spans="1:15" ht="14.25" customHeight="1" x14ac:dyDescent="0.3">
      <c r="A140" s="2">
        <v>45674</v>
      </c>
      <c r="B140" t="s">
        <v>15</v>
      </c>
      <c r="C140" s="3">
        <v>1643.5</v>
      </c>
      <c r="D140" s="3">
        <v>1650.5</v>
      </c>
      <c r="E140" s="3">
        <v>1628.5</v>
      </c>
      <c r="F140" s="3">
        <v>1652.05</v>
      </c>
      <c r="G140" s="3">
        <v>1636.7</v>
      </c>
      <c r="H140" s="3">
        <v>1636.75</v>
      </c>
      <c r="I140" s="3">
        <v>1636.01</v>
      </c>
      <c r="J140" s="3">
        <v>1880</v>
      </c>
      <c r="K140" s="3">
        <v>1363.55</v>
      </c>
      <c r="L140" s="4">
        <v>11556038</v>
      </c>
      <c r="M140" s="3">
        <v>18905738551</v>
      </c>
      <c r="N140" s="4">
        <v>214237</v>
      </c>
      <c r="O140">
        <f t="shared" si="2"/>
        <v>-9.2612209073574987E-3</v>
      </c>
    </row>
    <row r="141" spans="1:15" ht="14.25" customHeight="1" x14ac:dyDescent="0.3">
      <c r="A141" s="2">
        <v>45677</v>
      </c>
      <c r="B141" t="s">
        <v>15</v>
      </c>
      <c r="C141" s="3">
        <v>1626</v>
      </c>
      <c r="D141" s="3">
        <v>1660.95</v>
      </c>
      <c r="E141" s="3">
        <v>1626</v>
      </c>
      <c r="F141" s="3">
        <v>1636.75</v>
      </c>
      <c r="G141" s="3">
        <v>1652.85</v>
      </c>
      <c r="H141" s="3">
        <v>1651.25</v>
      </c>
      <c r="I141" s="3">
        <v>1646.81</v>
      </c>
      <c r="J141" s="3">
        <v>1880</v>
      </c>
      <c r="K141" s="3">
        <v>1363.55</v>
      </c>
      <c r="L141" s="4">
        <v>8778809</v>
      </c>
      <c r="M141" s="3">
        <v>14457009775.1</v>
      </c>
      <c r="N141" s="4">
        <v>226533</v>
      </c>
      <c r="O141">
        <f t="shared" si="2"/>
        <v>8.8590193981976477E-3</v>
      </c>
    </row>
    <row r="142" spans="1:15" ht="14.25" customHeight="1" x14ac:dyDescent="0.3">
      <c r="A142" s="2">
        <v>45678</v>
      </c>
      <c r="B142" t="s">
        <v>15</v>
      </c>
      <c r="C142" s="3">
        <v>1658.25</v>
      </c>
      <c r="D142" s="3">
        <v>1661.05</v>
      </c>
      <c r="E142" s="3">
        <v>1633.05</v>
      </c>
      <c r="F142" s="3">
        <v>1651.25</v>
      </c>
      <c r="G142" s="3">
        <v>1645.75</v>
      </c>
      <c r="H142" s="3">
        <v>1642.4</v>
      </c>
      <c r="I142" s="3">
        <v>1645.24</v>
      </c>
      <c r="J142" s="3">
        <v>1880</v>
      </c>
      <c r="K142" s="3">
        <v>1363.55</v>
      </c>
      <c r="L142" s="4">
        <v>15579072</v>
      </c>
      <c r="M142" s="3">
        <v>25631380761.950001</v>
      </c>
      <c r="N142" s="4">
        <v>270722</v>
      </c>
      <c r="O142">
        <f t="shared" si="2"/>
        <v>-5.3595760787281815E-3</v>
      </c>
    </row>
    <row r="143" spans="1:15" ht="14.25" customHeight="1" x14ac:dyDescent="0.3">
      <c r="A143" s="2">
        <v>45679</v>
      </c>
      <c r="B143" t="s">
        <v>15</v>
      </c>
      <c r="C143" s="3">
        <v>1642.4</v>
      </c>
      <c r="D143" s="3">
        <v>1671.9</v>
      </c>
      <c r="E143" s="3">
        <v>1625.45</v>
      </c>
      <c r="F143" s="3">
        <v>1642.4</v>
      </c>
      <c r="G143" s="3">
        <v>1671.9</v>
      </c>
      <c r="H143" s="3">
        <v>1666.05</v>
      </c>
      <c r="I143" s="3">
        <v>1653.85</v>
      </c>
      <c r="J143" s="3">
        <v>1880</v>
      </c>
      <c r="K143" s="3">
        <v>1363.55</v>
      </c>
      <c r="L143" s="4">
        <v>15309653</v>
      </c>
      <c r="M143" s="3">
        <v>25319845164.799999</v>
      </c>
      <c r="N143" s="4">
        <v>367130</v>
      </c>
      <c r="O143">
        <f t="shared" si="2"/>
        <v>1.4399659035557637E-2</v>
      </c>
    </row>
    <row r="144" spans="1:15" ht="14.25" customHeight="1" x14ac:dyDescent="0.3">
      <c r="A144" s="2">
        <v>45680</v>
      </c>
      <c r="B144" t="s">
        <v>15</v>
      </c>
      <c r="C144" s="3">
        <v>1687</v>
      </c>
      <c r="D144" s="3">
        <v>1687</v>
      </c>
      <c r="E144" s="3">
        <v>1651.25</v>
      </c>
      <c r="F144" s="3">
        <v>1666.05</v>
      </c>
      <c r="G144" s="3">
        <v>1665</v>
      </c>
      <c r="H144" s="3">
        <v>1664.9</v>
      </c>
      <c r="I144" s="3">
        <v>1665.84</v>
      </c>
      <c r="J144" s="3">
        <v>1880</v>
      </c>
      <c r="K144" s="3">
        <v>1363.55</v>
      </c>
      <c r="L144" s="4">
        <v>17454579</v>
      </c>
      <c r="M144" s="3">
        <v>29076566202.700001</v>
      </c>
      <c r="N144" s="4">
        <v>445411</v>
      </c>
      <c r="O144">
        <f t="shared" si="2"/>
        <v>-6.9025539449588168E-4</v>
      </c>
    </row>
    <row r="145" spans="1:15" ht="14.25" customHeight="1" x14ac:dyDescent="0.3">
      <c r="A145" s="2">
        <v>45681</v>
      </c>
      <c r="B145" t="s">
        <v>15</v>
      </c>
      <c r="C145" s="3">
        <v>1660</v>
      </c>
      <c r="D145" s="3">
        <v>1670.3</v>
      </c>
      <c r="E145" s="3">
        <v>1644.5</v>
      </c>
      <c r="F145" s="3">
        <v>1664.9</v>
      </c>
      <c r="G145" s="3">
        <v>1645</v>
      </c>
      <c r="H145" s="3">
        <v>1649.8</v>
      </c>
      <c r="I145" s="3">
        <v>1658.68</v>
      </c>
      <c r="J145" s="3">
        <v>1880</v>
      </c>
      <c r="K145" s="3">
        <v>1363.55</v>
      </c>
      <c r="L145" s="4">
        <v>12118100</v>
      </c>
      <c r="M145" s="3">
        <v>20100037678.049999</v>
      </c>
      <c r="N145" s="4">
        <v>271994</v>
      </c>
      <c r="O145">
        <f t="shared" si="2"/>
        <v>-9.0696137906181359E-3</v>
      </c>
    </row>
    <row r="146" spans="1:15" ht="14.25" customHeight="1" x14ac:dyDescent="0.3">
      <c r="A146" s="2">
        <v>45684</v>
      </c>
      <c r="B146" t="s">
        <v>15</v>
      </c>
      <c r="C146" s="3">
        <v>1641.1</v>
      </c>
      <c r="D146" s="3">
        <v>1643.6</v>
      </c>
      <c r="E146" s="3">
        <v>1626</v>
      </c>
      <c r="F146" s="3">
        <v>1649.8</v>
      </c>
      <c r="G146" s="3">
        <v>1629.5</v>
      </c>
      <c r="H146" s="3">
        <v>1629.8</v>
      </c>
      <c r="I146" s="3">
        <v>1632.37</v>
      </c>
      <c r="J146" s="3">
        <v>1880</v>
      </c>
      <c r="K146" s="3">
        <v>1363.55</v>
      </c>
      <c r="L146" s="4">
        <v>11402083</v>
      </c>
      <c r="M146" s="3">
        <v>18612439467.950001</v>
      </c>
      <c r="N146" s="4">
        <v>277125</v>
      </c>
      <c r="O146">
        <f t="shared" si="2"/>
        <v>-1.2122681537156019E-2</v>
      </c>
    </row>
    <row r="147" spans="1:15" ht="14.25" customHeight="1" x14ac:dyDescent="0.3">
      <c r="A147" s="2">
        <v>45685</v>
      </c>
      <c r="B147" t="s">
        <v>15</v>
      </c>
      <c r="C147" s="3">
        <v>1647</v>
      </c>
      <c r="D147" s="3">
        <v>1684.3</v>
      </c>
      <c r="E147" s="3">
        <v>1647</v>
      </c>
      <c r="F147" s="3">
        <v>1629.8</v>
      </c>
      <c r="G147" s="3">
        <v>1673.3</v>
      </c>
      <c r="H147" s="3">
        <v>1670.4</v>
      </c>
      <c r="I147" s="3">
        <v>1670.57</v>
      </c>
      <c r="J147" s="3">
        <v>1880</v>
      </c>
      <c r="K147" s="3">
        <v>1363.55</v>
      </c>
      <c r="L147" s="4">
        <v>15089656</v>
      </c>
      <c r="M147" s="3">
        <v>25208271808.849998</v>
      </c>
      <c r="N147" s="4">
        <v>350835</v>
      </c>
      <c r="O147">
        <f t="shared" si="2"/>
        <v>2.4911032028469834E-2</v>
      </c>
    </row>
    <row r="148" spans="1:15" ht="14.25" customHeight="1" x14ac:dyDescent="0.3">
      <c r="A148" s="2">
        <v>45686</v>
      </c>
      <c r="B148" t="s">
        <v>15</v>
      </c>
      <c r="C148" s="3">
        <v>1675</v>
      </c>
      <c r="D148" s="3">
        <v>1681.15</v>
      </c>
      <c r="E148" s="3">
        <v>1668.85</v>
      </c>
      <c r="F148" s="3">
        <v>1670.4</v>
      </c>
      <c r="G148" s="3">
        <v>1676</v>
      </c>
      <c r="H148" s="3">
        <v>1677.3</v>
      </c>
      <c r="I148" s="3">
        <v>1675.45</v>
      </c>
      <c r="J148" s="3">
        <v>1880</v>
      </c>
      <c r="K148" s="3">
        <v>1363.55</v>
      </c>
      <c r="L148" s="4">
        <v>6309945</v>
      </c>
      <c r="M148" s="3">
        <v>10571994646.450001</v>
      </c>
      <c r="N148" s="4">
        <v>196187</v>
      </c>
      <c r="O148">
        <f t="shared" si="2"/>
        <v>4.1307471264366994E-3</v>
      </c>
    </row>
    <row r="149" spans="1:15" ht="14.25" customHeight="1" x14ac:dyDescent="0.3">
      <c r="A149" s="2">
        <v>45687</v>
      </c>
      <c r="B149" t="s">
        <v>15</v>
      </c>
      <c r="C149" s="3">
        <v>1681</v>
      </c>
      <c r="D149" s="3">
        <v>1697.9</v>
      </c>
      <c r="E149" s="3">
        <v>1672.55</v>
      </c>
      <c r="F149" s="3">
        <v>1677.3</v>
      </c>
      <c r="G149" s="3">
        <v>1693.1</v>
      </c>
      <c r="H149" s="3">
        <v>1691.5</v>
      </c>
      <c r="I149" s="3">
        <v>1685.73</v>
      </c>
      <c r="J149" s="3">
        <v>1880</v>
      </c>
      <c r="K149" s="3">
        <v>1363.55</v>
      </c>
      <c r="L149" s="4">
        <v>12872423</v>
      </c>
      <c r="M149" s="3">
        <v>21699404205.049999</v>
      </c>
      <c r="N149" s="4">
        <v>263161</v>
      </c>
      <c r="O149">
        <f t="shared" si="2"/>
        <v>8.4659870029213883E-3</v>
      </c>
    </row>
    <row r="150" spans="1:15" ht="14.25" customHeight="1" x14ac:dyDescent="0.3">
      <c r="A150" s="2">
        <v>45688</v>
      </c>
      <c r="B150" t="s">
        <v>15</v>
      </c>
      <c r="C150" s="3">
        <v>1687.25</v>
      </c>
      <c r="D150" s="3">
        <v>1704.7</v>
      </c>
      <c r="E150" s="3">
        <v>1683.95</v>
      </c>
      <c r="F150" s="3">
        <v>1691.5</v>
      </c>
      <c r="G150" s="3">
        <v>1699.5</v>
      </c>
      <c r="H150" s="3">
        <v>1698.75</v>
      </c>
      <c r="I150" s="3">
        <v>1696.52</v>
      </c>
      <c r="J150" s="3">
        <v>1880</v>
      </c>
      <c r="K150" s="3">
        <v>1363.55</v>
      </c>
      <c r="L150" s="4">
        <v>7910843</v>
      </c>
      <c r="M150" s="3">
        <v>13420873179.4</v>
      </c>
      <c r="N150" s="4">
        <v>215938</v>
      </c>
      <c r="O150">
        <f t="shared" si="2"/>
        <v>4.2861365651788354E-3</v>
      </c>
    </row>
    <row r="151" spans="1:15" ht="14.25" customHeight="1" x14ac:dyDescent="0.3">
      <c r="A151" s="2">
        <v>45689</v>
      </c>
      <c r="B151" t="s">
        <v>15</v>
      </c>
      <c r="C151" s="3">
        <v>1697.5</v>
      </c>
      <c r="D151" s="3">
        <v>1713</v>
      </c>
      <c r="E151" s="3">
        <v>1676.05</v>
      </c>
      <c r="F151" s="3">
        <v>1698.75</v>
      </c>
      <c r="G151" s="3">
        <v>1692</v>
      </c>
      <c r="H151" s="3">
        <v>1690.95</v>
      </c>
      <c r="I151" s="3">
        <v>1694.22</v>
      </c>
      <c r="J151" s="3">
        <v>1880</v>
      </c>
      <c r="K151" s="3">
        <v>1363.55</v>
      </c>
      <c r="L151" s="4">
        <v>2793764</v>
      </c>
      <c r="M151" s="3">
        <v>4733238897.9499998</v>
      </c>
      <c r="N151" s="4">
        <v>88839</v>
      </c>
      <c r="O151">
        <f t="shared" si="2"/>
        <v>-4.5916114790286707E-3</v>
      </c>
    </row>
    <row r="152" spans="1:15" ht="14.25" customHeight="1" x14ac:dyDescent="0.3">
      <c r="A152" s="2">
        <v>45691</v>
      </c>
      <c r="B152" t="s">
        <v>15</v>
      </c>
      <c r="C152" s="3">
        <v>1670</v>
      </c>
      <c r="D152" s="3">
        <v>1686.8</v>
      </c>
      <c r="E152" s="3">
        <v>1663.45</v>
      </c>
      <c r="F152" s="3">
        <v>1690.95</v>
      </c>
      <c r="G152" s="3">
        <v>1679.6</v>
      </c>
      <c r="H152" s="3">
        <v>1678</v>
      </c>
      <c r="I152" s="3">
        <v>1679.49</v>
      </c>
      <c r="J152" s="3">
        <v>1880</v>
      </c>
      <c r="K152" s="3">
        <v>1363.55</v>
      </c>
      <c r="L152" s="4">
        <v>10138270</v>
      </c>
      <c r="M152" s="3">
        <v>17027093333.700001</v>
      </c>
      <c r="N152" s="4">
        <v>230780</v>
      </c>
      <c r="O152">
        <f t="shared" si="2"/>
        <v>-7.658416866258639E-3</v>
      </c>
    </row>
    <row r="153" spans="1:15" ht="14.25" customHeight="1" x14ac:dyDescent="0.3">
      <c r="A153" s="2">
        <v>45692</v>
      </c>
      <c r="B153" t="s">
        <v>15</v>
      </c>
      <c r="C153" s="3">
        <v>1688.7</v>
      </c>
      <c r="D153" s="3">
        <v>1725.8</v>
      </c>
      <c r="E153" s="3">
        <v>1680.05</v>
      </c>
      <c r="F153" s="3">
        <v>1678</v>
      </c>
      <c r="G153" s="3">
        <v>1716.3</v>
      </c>
      <c r="H153" s="3">
        <v>1720.9</v>
      </c>
      <c r="I153" s="3">
        <v>1710.93</v>
      </c>
      <c r="J153" s="3">
        <v>1880</v>
      </c>
      <c r="K153" s="3">
        <v>1363.55</v>
      </c>
      <c r="L153" s="4">
        <v>14308251</v>
      </c>
      <c r="M153" s="3">
        <v>24480395914.25</v>
      </c>
      <c r="N153" s="4">
        <v>342091</v>
      </c>
      <c r="O153">
        <f t="shared" si="2"/>
        <v>2.556615017878432E-2</v>
      </c>
    </row>
    <row r="154" spans="1:15" ht="14.25" customHeight="1" x14ac:dyDescent="0.3">
      <c r="A154" s="2">
        <v>45693</v>
      </c>
      <c r="B154" t="s">
        <v>15</v>
      </c>
      <c r="C154" s="3">
        <v>1733</v>
      </c>
      <c r="D154" s="3">
        <v>1744.2</v>
      </c>
      <c r="E154" s="3">
        <v>1718.9</v>
      </c>
      <c r="F154" s="3">
        <v>1720.9</v>
      </c>
      <c r="G154" s="3">
        <v>1734.8</v>
      </c>
      <c r="H154" s="3">
        <v>1737.8</v>
      </c>
      <c r="I154" s="3">
        <v>1733.84</v>
      </c>
      <c r="J154" s="3">
        <v>1880</v>
      </c>
      <c r="K154" s="3">
        <v>1363.55</v>
      </c>
      <c r="L154" s="4">
        <v>11837753</v>
      </c>
      <c r="M154" s="3">
        <v>20524785237.349998</v>
      </c>
      <c r="N154" s="4">
        <v>275185</v>
      </c>
      <c r="O154">
        <f t="shared" si="2"/>
        <v>9.820442791562474E-3</v>
      </c>
    </row>
    <row r="155" spans="1:15" ht="14.25" customHeight="1" x14ac:dyDescent="0.3">
      <c r="A155" s="2">
        <v>45694</v>
      </c>
      <c r="B155" t="s">
        <v>15</v>
      </c>
      <c r="C155" s="3">
        <v>1735.5</v>
      </c>
      <c r="D155" s="3">
        <v>1749</v>
      </c>
      <c r="E155" s="3">
        <v>1724</v>
      </c>
      <c r="F155" s="3">
        <v>1737.8</v>
      </c>
      <c r="G155" s="3">
        <v>1746.5</v>
      </c>
      <c r="H155" s="3">
        <v>1743.85</v>
      </c>
      <c r="I155" s="3">
        <v>1735.75</v>
      </c>
      <c r="J155" s="3">
        <v>1880</v>
      </c>
      <c r="K155" s="3">
        <v>1363.55</v>
      </c>
      <c r="L155" s="4">
        <v>13380358</v>
      </c>
      <c r="M155" s="3">
        <v>23225008521.549999</v>
      </c>
      <c r="N155" s="4">
        <v>225108</v>
      </c>
      <c r="O155">
        <f t="shared" si="2"/>
        <v>3.4814132811600614E-3</v>
      </c>
    </row>
    <row r="156" spans="1:15" ht="14.25" customHeight="1" x14ac:dyDescent="0.3">
      <c r="A156" s="2">
        <v>45695</v>
      </c>
      <c r="B156" t="s">
        <v>15</v>
      </c>
      <c r="C156" s="3">
        <v>1750</v>
      </c>
      <c r="D156" s="3">
        <v>1767</v>
      </c>
      <c r="E156" s="3">
        <v>1725</v>
      </c>
      <c r="F156" s="3">
        <v>1743.85</v>
      </c>
      <c r="G156" s="3">
        <v>1732</v>
      </c>
      <c r="H156" s="3">
        <v>1732.75</v>
      </c>
      <c r="I156" s="3">
        <v>1744.99</v>
      </c>
      <c r="J156" s="3">
        <v>1880</v>
      </c>
      <c r="K156" s="3">
        <v>1363.55</v>
      </c>
      <c r="L156" s="4">
        <v>11754800</v>
      </c>
      <c r="M156" s="3">
        <v>20512007682.549999</v>
      </c>
      <c r="N156" s="4">
        <v>326327</v>
      </c>
      <c r="O156">
        <f t="shared" si="2"/>
        <v>-6.3652263669466465E-3</v>
      </c>
    </row>
    <row r="157" spans="1:15" ht="14.25" customHeight="1" x14ac:dyDescent="0.3">
      <c r="A157" s="2">
        <v>45698</v>
      </c>
      <c r="B157" t="s">
        <v>15</v>
      </c>
      <c r="C157" s="3">
        <v>1717.3</v>
      </c>
      <c r="D157" s="3">
        <v>1723.45</v>
      </c>
      <c r="E157" s="3">
        <v>1708.5</v>
      </c>
      <c r="F157" s="3">
        <v>1732.75</v>
      </c>
      <c r="G157" s="3">
        <v>1716.6</v>
      </c>
      <c r="H157" s="3">
        <v>1715.75</v>
      </c>
      <c r="I157" s="3">
        <v>1715.57</v>
      </c>
      <c r="J157" s="3">
        <v>1880</v>
      </c>
      <c r="K157" s="3">
        <v>1363.55</v>
      </c>
      <c r="L157" s="4">
        <v>8597975</v>
      </c>
      <c r="M157" s="3">
        <v>14750390095.15</v>
      </c>
      <c r="N157" s="4">
        <v>175150</v>
      </c>
      <c r="O157">
        <f t="shared" si="2"/>
        <v>-9.8109940845476848E-3</v>
      </c>
    </row>
    <row r="158" spans="1:15" ht="14.25" customHeight="1" x14ac:dyDescent="0.3">
      <c r="A158" s="2">
        <v>45699</v>
      </c>
      <c r="B158" t="s">
        <v>15</v>
      </c>
      <c r="C158" s="3">
        <v>1703</v>
      </c>
      <c r="D158" s="3">
        <v>1711</v>
      </c>
      <c r="E158" s="3">
        <v>1688.7</v>
      </c>
      <c r="F158" s="3">
        <v>1715.75</v>
      </c>
      <c r="G158" s="3">
        <v>1700.95</v>
      </c>
      <c r="H158" s="3">
        <v>1701.4</v>
      </c>
      <c r="I158" s="3">
        <v>1700.06</v>
      </c>
      <c r="J158" s="3">
        <v>1880</v>
      </c>
      <c r="K158" s="3">
        <v>1363.55</v>
      </c>
      <c r="L158" s="4">
        <v>11362352</v>
      </c>
      <c r="M158" s="3">
        <v>19316630388.150002</v>
      </c>
      <c r="N158" s="4">
        <v>182730</v>
      </c>
      <c r="O158">
        <f t="shared" si="2"/>
        <v>-8.3636893486812823E-3</v>
      </c>
    </row>
    <row r="159" spans="1:15" ht="14.25" customHeight="1" x14ac:dyDescent="0.3">
      <c r="A159" s="2">
        <v>45700</v>
      </c>
      <c r="B159" t="s">
        <v>15</v>
      </c>
      <c r="C159" s="3">
        <v>1693</v>
      </c>
      <c r="D159" s="3">
        <v>1712</v>
      </c>
      <c r="E159" s="3">
        <v>1681.2</v>
      </c>
      <c r="F159" s="3">
        <v>1701.4</v>
      </c>
      <c r="G159" s="3">
        <v>1710.65</v>
      </c>
      <c r="H159" s="3">
        <v>1706.8</v>
      </c>
      <c r="I159" s="3">
        <v>1696.59</v>
      </c>
      <c r="J159" s="3">
        <v>1880</v>
      </c>
      <c r="K159" s="3">
        <v>1363.55</v>
      </c>
      <c r="L159" s="4">
        <v>11404785</v>
      </c>
      <c r="M159" s="3">
        <v>19349271431.549999</v>
      </c>
      <c r="N159" s="4">
        <v>286053</v>
      </c>
      <c r="O159">
        <f t="shared" si="2"/>
        <v>3.1738568237920906E-3</v>
      </c>
    </row>
    <row r="160" spans="1:15" ht="14.25" customHeight="1" x14ac:dyDescent="0.3">
      <c r="A160" s="2">
        <v>45701</v>
      </c>
      <c r="B160" t="s">
        <v>15</v>
      </c>
      <c r="C160" s="3">
        <v>1699</v>
      </c>
      <c r="D160" s="3">
        <v>1714.25</v>
      </c>
      <c r="E160" s="3">
        <v>1693.55</v>
      </c>
      <c r="F160" s="3">
        <v>1706.8</v>
      </c>
      <c r="G160" s="3">
        <v>1698.95</v>
      </c>
      <c r="H160" s="3">
        <v>1697.7</v>
      </c>
      <c r="I160" s="3">
        <v>1702.88</v>
      </c>
      <c r="J160" s="3">
        <v>1880</v>
      </c>
      <c r="K160" s="3">
        <v>1363.55</v>
      </c>
      <c r="L160" s="4">
        <v>6301217</v>
      </c>
      <c r="M160" s="3">
        <v>10730216799.15</v>
      </c>
      <c r="N160" s="4">
        <v>200278</v>
      </c>
      <c r="O160">
        <f t="shared" si="2"/>
        <v>-5.331614717600134E-3</v>
      </c>
    </row>
    <row r="161" spans="1:15" ht="14.25" customHeight="1" x14ac:dyDescent="0.3">
      <c r="A161" s="2">
        <v>45702</v>
      </c>
      <c r="B161" t="s">
        <v>15</v>
      </c>
      <c r="C161" s="3">
        <v>1701.9</v>
      </c>
      <c r="D161" s="3">
        <v>1701.9</v>
      </c>
      <c r="E161" s="3">
        <v>1680</v>
      </c>
      <c r="F161" s="3">
        <v>1697.7</v>
      </c>
      <c r="G161" s="3">
        <v>1694.4</v>
      </c>
      <c r="H161" s="3">
        <v>1694.85</v>
      </c>
      <c r="I161" s="3">
        <v>1690.46</v>
      </c>
      <c r="J161" s="3">
        <v>1880</v>
      </c>
      <c r="K161" s="3">
        <v>1363.55</v>
      </c>
      <c r="L161" s="4">
        <v>9979946</v>
      </c>
      <c r="M161" s="3">
        <v>16870660139.450001</v>
      </c>
      <c r="N161" s="4">
        <v>309031</v>
      </c>
      <c r="O161">
        <f t="shared" si="2"/>
        <v>-1.6787418271780269E-3</v>
      </c>
    </row>
    <row r="162" spans="1:15" ht="14.25" customHeight="1" x14ac:dyDescent="0.3">
      <c r="A162" s="2">
        <v>45705</v>
      </c>
      <c r="B162" t="s">
        <v>15</v>
      </c>
      <c r="C162" s="3">
        <v>1685.2</v>
      </c>
      <c r="D162" s="3">
        <v>1720</v>
      </c>
      <c r="E162" s="3">
        <v>1681.25</v>
      </c>
      <c r="F162" s="3">
        <v>1694.85</v>
      </c>
      <c r="G162" s="3">
        <v>1719</v>
      </c>
      <c r="H162" s="3">
        <v>1717.35</v>
      </c>
      <c r="I162" s="3">
        <v>1702.14</v>
      </c>
      <c r="J162" s="3">
        <v>1880</v>
      </c>
      <c r="K162" s="3">
        <v>1397.3</v>
      </c>
      <c r="L162" s="4">
        <v>6469473</v>
      </c>
      <c r="M162" s="3">
        <v>11011975039</v>
      </c>
      <c r="N162" s="4">
        <v>262946</v>
      </c>
      <c r="O162">
        <f t="shared" si="2"/>
        <v>1.3275511107177626E-2</v>
      </c>
    </row>
    <row r="163" spans="1:15" ht="14.25" customHeight="1" x14ac:dyDescent="0.3">
      <c r="A163" s="2">
        <v>45706</v>
      </c>
      <c r="B163" t="s">
        <v>15</v>
      </c>
      <c r="C163" s="3">
        <v>1713.05</v>
      </c>
      <c r="D163" s="3">
        <v>1731.55</v>
      </c>
      <c r="E163" s="3">
        <v>1706.15</v>
      </c>
      <c r="F163" s="3">
        <v>1717.35</v>
      </c>
      <c r="G163" s="3">
        <v>1723</v>
      </c>
      <c r="H163" s="3">
        <v>1723.05</v>
      </c>
      <c r="I163" s="3">
        <v>1721.09</v>
      </c>
      <c r="J163" s="3">
        <v>1880</v>
      </c>
      <c r="K163" s="3">
        <v>1397.3</v>
      </c>
      <c r="L163" s="4">
        <v>8175455</v>
      </c>
      <c r="M163" s="3">
        <v>14070671116.4</v>
      </c>
      <c r="N163" s="4">
        <v>322226</v>
      </c>
      <c r="O163">
        <f t="shared" si="2"/>
        <v>3.319067167438231E-3</v>
      </c>
    </row>
    <row r="164" spans="1:15" ht="14.25" customHeight="1" x14ac:dyDescent="0.3">
      <c r="A164" s="2">
        <v>45707</v>
      </c>
      <c r="B164" t="s">
        <v>15</v>
      </c>
      <c r="C164" s="3">
        <v>1717</v>
      </c>
      <c r="D164" s="3">
        <v>1737.9</v>
      </c>
      <c r="E164" s="3">
        <v>1712.45</v>
      </c>
      <c r="F164" s="3">
        <v>1723.05</v>
      </c>
      <c r="G164" s="3">
        <v>1725.05</v>
      </c>
      <c r="H164" s="3">
        <v>1727.2</v>
      </c>
      <c r="I164" s="3">
        <v>1727.42</v>
      </c>
      <c r="J164" s="3">
        <v>1880</v>
      </c>
      <c r="K164" s="3">
        <v>1397.3</v>
      </c>
      <c r="L164" s="4">
        <v>5942056</v>
      </c>
      <c r="M164" s="3">
        <v>10264454339.75</v>
      </c>
      <c r="N164" s="4">
        <v>300603</v>
      </c>
      <c r="O164">
        <f t="shared" si="2"/>
        <v>2.4085197759786954E-3</v>
      </c>
    </row>
    <row r="165" spans="1:15" ht="14.25" customHeight="1" x14ac:dyDescent="0.3">
      <c r="A165" s="2">
        <v>45708</v>
      </c>
      <c r="B165" t="s">
        <v>15</v>
      </c>
      <c r="C165" s="3">
        <v>1711</v>
      </c>
      <c r="D165" s="3">
        <v>1714.7</v>
      </c>
      <c r="E165" s="3">
        <v>1685.3</v>
      </c>
      <c r="F165" s="3">
        <v>1727.2</v>
      </c>
      <c r="G165" s="3">
        <v>1685.95</v>
      </c>
      <c r="H165" s="3">
        <v>1687.1</v>
      </c>
      <c r="I165" s="3">
        <v>1695.04</v>
      </c>
      <c r="J165" s="3">
        <v>1880</v>
      </c>
      <c r="K165" s="3">
        <v>1397.3</v>
      </c>
      <c r="L165" s="4">
        <v>13195255</v>
      </c>
      <c r="M165" s="3">
        <v>22366435828.299999</v>
      </c>
      <c r="N165" s="4">
        <v>246655</v>
      </c>
      <c r="O165">
        <f t="shared" si="2"/>
        <v>-2.3216767021769415E-2</v>
      </c>
    </row>
    <row r="166" spans="1:15" ht="14.25" customHeight="1" x14ac:dyDescent="0.3">
      <c r="A166" s="2">
        <v>45709</v>
      </c>
      <c r="B166" t="s">
        <v>15</v>
      </c>
      <c r="C166" s="3">
        <v>1680.9</v>
      </c>
      <c r="D166" s="3">
        <v>1694.95</v>
      </c>
      <c r="E166" s="3">
        <v>1677.25</v>
      </c>
      <c r="F166" s="3">
        <v>1687.1</v>
      </c>
      <c r="G166" s="3">
        <v>1690</v>
      </c>
      <c r="H166" s="3">
        <v>1692.5</v>
      </c>
      <c r="I166" s="3">
        <v>1686.23</v>
      </c>
      <c r="J166" s="3">
        <v>1880</v>
      </c>
      <c r="K166" s="3">
        <v>1397.3</v>
      </c>
      <c r="L166" s="4">
        <v>7840470</v>
      </c>
      <c r="M166" s="3">
        <v>13220829593.15</v>
      </c>
      <c r="N166" s="4">
        <v>292907</v>
      </c>
      <c r="O166">
        <f t="shared" si="2"/>
        <v>3.2007586983581835E-3</v>
      </c>
    </row>
    <row r="167" spans="1:15" ht="14.25" customHeight="1" x14ac:dyDescent="0.3">
      <c r="A167" s="2">
        <v>45712</v>
      </c>
      <c r="B167" t="s">
        <v>15</v>
      </c>
      <c r="C167" s="3">
        <v>1681.1</v>
      </c>
      <c r="D167" s="3">
        <v>1684.2</v>
      </c>
      <c r="E167" s="3">
        <v>1661.1</v>
      </c>
      <c r="F167" s="3">
        <v>1692.5</v>
      </c>
      <c r="G167" s="3">
        <v>1677</v>
      </c>
      <c r="H167" s="3">
        <v>1677.1</v>
      </c>
      <c r="I167" s="3">
        <v>1672.34</v>
      </c>
      <c r="J167" s="3">
        <v>1880</v>
      </c>
      <c r="K167" s="3">
        <v>1397.3</v>
      </c>
      <c r="L167" s="4">
        <v>10346823</v>
      </c>
      <c r="M167" s="3">
        <v>17303402535.099998</v>
      </c>
      <c r="N167" s="4">
        <v>245559</v>
      </c>
      <c r="O167">
        <f t="shared" si="2"/>
        <v>-9.0989660265879419E-3</v>
      </c>
    </row>
    <row r="168" spans="1:15" ht="14.25" customHeight="1" x14ac:dyDescent="0.3">
      <c r="A168" s="2">
        <v>45713</v>
      </c>
      <c r="B168" t="s">
        <v>15</v>
      </c>
      <c r="C168" s="3">
        <v>1671.1</v>
      </c>
      <c r="D168" s="3">
        <v>1688</v>
      </c>
      <c r="E168" s="3">
        <v>1671.1</v>
      </c>
      <c r="F168" s="3">
        <v>1677.1</v>
      </c>
      <c r="G168" s="3">
        <v>1680.85</v>
      </c>
      <c r="H168" s="3">
        <v>1682.35</v>
      </c>
      <c r="I168" s="3">
        <v>1681.8</v>
      </c>
      <c r="J168" s="3">
        <v>1880</v>
      </c>
      <c r="K168" s="3">
        <v>1397.3</v>
      </c>
      <c r="L168" s="4">
        <v>12069354</v>
      </c>
      <c r="M168" s="3">
        <v>20298255600.950001</v>
      </c>
      <c r="N168" s="4">
        <v>222521</v>
      </c>
      <c r="O168">
        <f t="shared" si="2"/>
        <v>3.1304036730069765E-3</v>
      </c>
    </row>
    <row r="169" spans="1:15" ht="14.25" customHeight="1" x14ac:dyDescent="0.3">
      <c r="A169" s="2">
        <v>45715</v>
      </c>
      <c r="B169" t="s">
        <v>15</v>
      </c>
      <c r="C169" s="3">
        <v>1682.55</v>
      </c>
      <c r="D169" s="3">
        <v>1710.75</v>
      </c>
      <c r="E169" s="3">
        <v>1682.55</v>
      </c>
      <c r="F169" s="3">
        <v>1682.35</v>
      </c>
      <c r="G169" s="3">
        <v>1698.25</v>
      </c>
      <c r="H169" s="3">
        <v>1700.7</v>
      </c>
      <c r="I169" s="3">
        <v>1701.04</v>
      </c>
      <c r="J169" s="3">
        <v>1880</v>
      </c>
      <c r="K169" s="3">
        <v>1397.3</v>
      </c>
      <c r="L169" s="4">
        <v>17893400</v>
      </c>
      <c r="M169" s="3">
        <v>30437323745</v>
      </c>
      <c r="N169" s="4">
        <v>333728</v>
      </c>
      <c r="O169">
        <f t="shared" si="2"/>
        <v>1.0907361726156946E-2</v>
      </c>
    </row>
    <row r="170" spans="1:15" ht="14.25" customHeight="1" x14ac:dyDescent="0.3">
      <c r="A170" s="2">
        <v>45716</v>
      </c>
      <c r="B170" t="s">
        <v>15</v>
      </c>
      <c r="C170" s="3">
        <v>1685</v>
      </c>
      <c r="D170" s="3">
        <v>1737.25</v>
      </c>
      <c r="E170" s="3">
        <v>1685</v>
      </c>
      <c r="F170" s="3">
        <v>1700.7</v>
      </c>
      <c r="G170" s="3">
        <v>1730.15</v>
      </c>
      <c r="H170" s="3">
        <v>1732.4</v>
      </c>
      <c r="I170" s="3">
        <v>1721.14</v>
      </c>
      <c r="J170" s="3">
        <v>1880</v>
      </c>
      <c r="K170" s="3">
        <v>1397.3</v>
      </c>
      <c r="L170" s="4">
        <v>27258364</v>
      </c>
      <c r="M170" s="3">
        <v>46915554649.050003</v>
      </c>
      <c r="N170" s="4">
        <v>439035</v>
      </c>
      <c r="O170">
        <f t="shared" si="2"/>
        <v>1.8639383783148143E-2</v>
      </c>
    </row>
    <row r="171" spans="1:15" ht="14.25" customHeight="1" x14ac:dyDescent="0.3">
      <c r="A171" s="2">
        <v>45719</v>
      </c>
      <c r="B171" t="s">
        <v>15</v>
      </c>
      <c r="C171" s="3">
        <v>1739.8</v>
      </c>
      <c r="D171" s="3">
        <v>1743.05</v>
      </c>
      <c r="E171" s="3">
        <v>1694.1</v>
      </c>
      <c r="F171" s="3">
        <v>1732.4</v>
      </c>
      <c r="G171" s="3">
        <v>1703.55</v>
      </c>
      <c r="H171" s="3">
        <v>1701.55</v>
      </c>
      <c r="I171" s="3">
        <v>1709.27</v>
      </c>
      <c r="J171" s="3">
        <v>1880</v>
      </c>
      <c r="K171" s="3">
        <v>1421.25</v>
      </c>
      <c r="L171" s="4">
        <v>10602682</v>
      </c>
      <c r="M171" s="3">
        <v>18122815702.349998</v>
      </c>
      <c r="N171" s="4">
        <v>298350</v>
      </c>
      <c r="O171">
        <f t="shared" si="2"/>
        <v>-1.7807665666127993E-2</v>
      </c>
    </row>
    <row r="172" spans="1:15" ht="14.25" customHeight="1" x14ac:dyDescent="0.3">
      <c r="A172" s="2">
        <v>45720</v>
      </c>
      <c r="B172" t="s">
        <v>15</v>
      </c>
      <c r="C172" s="3">
        <v>1698</v>
      </c>
      <c r="D172" s="3">
        <v>1714.3</v>
      </c>
      <c r="E172" s="3">
        <v>1693.25</v>
      </c>
      <c r="F172" s="3">
        <v>1701.55</v>
      </c>
      <c r="G172" s="3">
        <v>1711.3</v>
      </c>
      <c r="H172" s="3">
        <v>1710</v>
      </c>
      <c r="I172" s="3">
        <v>1706.3</v>
      </c>
      <c r="J172" s="3">
        <v>1880</v>
      </c>
      <c r="K172" s="3">
        <v>1421.25</v>
      </c>
      <c r="L172" s="4">
        <v>9960479</v>
      </c>
      <c r="M172" s="3">
        <v>16995592810.65</v>
      </c>
      <c r="N172" s="4">
        <v>323741</v>
      </c>
      <c r="O172">
        <f t="shared" si="2"/>
        <v>4.9660603567335936E-3</v>
      </c>
    </row>
    <row r="173" spans="1:15" ht="14.25" customHeight="1" x14ac:dyDescent="0.3">
      <c r="A173" s="2">
        <v>45721</v>
      </c>
      <c r="B173" t="s">
        <v>15</v>
      </c>
      <c r="C173" s="3">
        <v>1701.95</v>
      </c>
      <c r="D173" s="3">
        <v>1710.8</v>
      </c>
      <c r="E173" s="3">
        <v>1688.25</v>
      </c>
      <c r="F173" s="3">
        <v>1710</v>
      </c>
      <c r="G173" s="3">
        <v>1692.1</v>
      </c>
      <c r="H173" s="3">
        <v>1690</v>
      </c>
      <c r="I173" s="3">
        <v>1695.97</v>
      </c>
      <c r="J173" s="3">
        <v>1880</v>
      </c>
      <c r="K173" s="3">
        <v>1421.25</v>
      </c>
      <c r="L173" s="4">
        <v>10791936</v>
      </c>
      <c r="M173" s="3">
        <v>18302795483</v>
      </c>
      <c r="N173" s="4">
        <v>361183</v>
      </c>
      <c r="O173">
        <f t="shared" si="2"/>
        <v>-1.1695906432748537E-2</v>
      </c>
    </row>
    <row r="174" spans="1:15" ht="14.25" customHeight="1" x14ac:dyDescent="0.3">
      <c r="A174" s="2">
        <v>45722</v>
      </c>
      <c r="B174" t="s">
        <v>15</v>
      </c>
      <c r="C174" s="3">
        <v>1687</v>
      </c>
      <c r="D174" s="3">
        <v>1699.9</v>
      </c>
      <c r="E174" s="3">
        <v>1672.25</v>
      </c>
      <c r="F174" s="3">
        <v>1690</v>
      </c>
      <c r="G174" s="3">
        <v>1692.4</v>
      </c>
      <c r="H174" s="3">
        <v>1691.2</v>
      </c>
      <c r="I174" s="3">
        <v>1686.14</v>
      </c>
      <c r="J174" s="3">
        <v>1880</v>
      </c>
      <c r="K174" s="3">
        <v>1421.25</v>
      </c>
      <c r="L174" s="4">
        <v>16483044</v>
      </c>
      <c r="M174" s="3">
        <v>27792685275.849998</v>
      </c>
      <c r="N174" s="4">
        <v>399697</v>
      </c>
      <c r="O174">
        <f t="shared" si="2"/>
        <v>7.1005917159765999E-4</v>
      </c>
    </row>
    <row r="175" spans="1:15" ht="14.25" customHeight="1" x14ac:dyDescent="0.3">
      <c r="A175" s="2">
        <v>45723</v>
      </c>
      <c r="B175" t="s">
        <v>15</v>
      </c>
      <c r="C175" s="3">
        <v>1682</v>
      </c>
      <c r="D175" s="3">
        <v>1701.15</v>
      </c>
      <c r="E175" s="3">
        <v>1677.6</v>
      </c>
      <c r="F175" s="3">
        <v>1691.2</v>
      </c>
      <c r="G175" s="3">
        <v>1688</v>
      </c>
      <c r="H175" s="3">
        <v>1689.25</v>
      </c>
      <c r="I175" s="3">
        <v>1690.66</v>
      </c>
      <c r="J175" s="3">
        <v>1880</v>
      </c>
      <c r="K175" s="3">
        <v>1421.25</v>
      </c>
      <c r="L175" s="4">
        <v>6686457</v>
      </c>
      <c r="M175" s="3">
        <v>11304555576.9</v>
      </c>
      <c r="N175" s="4">
        <v>191461</v>
      </c>
      <c r="O175">
        <f t="shared" si="2"/>
        <v>-1.1530274361400458E-3</v>
      </c>
    </row>
    <row r="176" spans="1:15" ht="14.25" customHeight="1" x14ac:dyDescent="0.3">
      <c r="A176" s="2">
        <v>45726</v>
      </c>
      <c r="B176" t="s">
        <v>15</v>
      </c>
      <c r="C176" s="3">
        <v>1689</v>
      </c>
      <c r="D176" s="3">
        <v>1699.9</v>
      </c>
      <c r="E176" s="3">
        <v>1683.05</v>
      </c>
      <c r="F176" s="3">
        <v>1689.25</v>
      </c>
      <c r="G176" s="3">
        <v>1688.7</v>
      </c>
      <c r="H176" s="3">
        <v>1687.5</v>
      </c>
      <c r="I176" s="3">
        <v>1689.67</v>
      </c>
      <c r="J176" s="3">
        <v>1880</v>
      </c>
      <c r="K176" s="3">
        <v>1421.25</v>
      </c>
      <c r="L176" s="4">
        <v>7802025</v>
      </c>
      <c r="M176" s="3">
        <v>13182846005.049999</v>
      </c>
      <c r="N176" s="4">
        <v>284969</v>
      </c>
      <c r="O176">
        <f t="shared" si="2"/>
        <v>-1.0359627053426078E-3</v>
      </c>
    </row>
    <row r="177" spans="1:15" ht="14.25" customHeight="1" x14ac:dyDescent="0.3">
      <c r="A177" s="2">
        <v>45727</v>
      </c>
      <c r="B177" t="s">
        <v>15</v>
      </c>
      <c r="C177" s="3">
        <v>1682.4</v>
      </c>
      <c r="D177" s="3">
        <v>1694</v>
      </c>
      <c r="E177" s="3">
        <v>1670.05</v>
      </c>
      <c r="F177" s="3">
        <v>1687.5</v>
      </c>
      <c r="G177" s="3">
        <v>1687.9</v>
      </c>
      <c r="H177" s="3">
        <v>1685.5</v>
      </c>
      <c r="I177" s="3">
        <v>1685.65</v>
      </c>
      <c r="J177" s="3">
        <v>1880</v>
      </c>
      <c r="K177" s="3">
        <v>1421.25</v>
      </c>
      <c r="L177" s="4">
        <v>9949215</v>
      </c>
      <c r="M177" s="3">
        <v>16770918814.65</v>
      </c>
      <c r="N177" s="4">
        <v>272484</v>
      </c>
      <c r="O177">
        <f t="shared" si="2"/>
        <v>-1.1851851851851852E-3</v>
      </c>
    </row>
    <row r="178" spans="1:15" ht="14.25" customHeight="1" x14ac:dyDescent="0.3">
      <c r="A178" s="2">
        <v>45728</v>
      </c>
      <c r="B178" t="s">
        <v>15</v>
      </c>
      <c r="C178" s="3">
        <v>1691.55</v>
      </c>
      <c r="D178" s="3">
        <v>1718.5</v>
      </c>
      <c r="E178" s="3">
        <v>1691.55</v>
      </c>
      <c r="F178" s="3">
        <v>1685.5</v>
      </c>
      <c r="G178" s="3">
        <v>1711.8</v>
      </c>
      <c r="H178" s="3">
        <v>1711.15</v>
      </c>
      <c r="I178" s="3">
        <v>1710.44</v>
      </c>
      <c r="J178" s="3">
        <v>1880</v>
      </c>
      <c r="K178" s="3">
        <v>1421.25</v>
      </c>
      <c r="L178" s="4">
        <v>9392053</v>
      </c>
      <c r="M178" s="3">
        <v>16064564334.1</v>
      </c>
      <c r="N178" s="4">
        <v>277146</v>
      </c>
      <c r="O178">
        <f t="shared" si="2"/>
        <v>1.5218036191041288E-2</v>
      </c>
    </row>
    <row r="179" spans="1:15" ht="14.25" customHeight="1" x14ac:dyDescent="0.3">
      <c r="A179" s="2">
        <v>45729</v>
      </c>
      <c r="B179" t="s">
        <v>15</v>
      </c>
      <c r="C179" s="3">
        <v>1716.05</v>
      </c>
      <c r="D179" s="3">
        <v>1720.8</v>
      </c>
      <c r="E179" s="3">
        <v>1700.05</v>
      </c>
      <c r="F179" s="3">
        <v>1711.15</v>
      </c>
      <c r="G179" s="3">
        <v>1705</v>
      </c>
      <c r="H179" s="3">
        <v>1706.6</v>
      </c>
      <c r="I179" s="3">
        <v>1711.11</v>
      </c>
      <c r="J179" s="3">
        <v>1880</v>
      </c>
      <c r="K179" s="3">
        <v>1421.25</v>
      </c>
      <c r="L179" s="4">
        <v>7868132</v>
      </c>
      <c r="M179" s="3">
        <v>13463215400.700001</v>
      </c>
      <c r="N179" s="4">
        <v>185351</v>
      </c>
      <c r="O179">
        <f t="shared" si="2"/>
        <v>-2.6590304765801839E-3</v>
      </c>
    </row>
    <row r="180" spans="1:15" ht="14.25" customHeight="1" x14ac:dyDescent="0.3">
      <c r="A180" s="2">
        <v>45733</v>
      </c>
      <c r="B180" t="s">
        <v>15</v>
      </c>
      <c r="C180" s="3">
        <v>1705</v>
      </c>
      <c r="D180" s="3">
        <v>1724</v>
      </c>
      <c r="E180" s="3">
        <v>1705</v>
      </c>
      <c r="F180" s="3">
        <v>1706.6</v>
      </c>
      <c r="G180" s="3">
        <v>1710.5</v>
      </c>
      <c r="H180" s="3">
        <v>1710.4</v>
      </c>
      <c r="I180" s="3">
        <v>1711.13</v>
      </c>
      <c r="J180" s="3">
        <v>1880</v>
      </c>
      <c r="K180" s="3">
        <v>1421.25</v>
      </c>
      <c r="L180" s="4">
        <v>9475957</v>
      </c>
      <c r="M180" s="3">
        <v>16214635449.549999</v>
      </c>
      <c r="N180" s="4">
        <v>365060</v>
      </c>
      <c r="O180">
        <f t="shared" si="2"/>
        <v>2.2266494784953603E-3</v>
      </c>
    </row>
    <row r="181" spans="1:15" ht="14.25" customHeight="1" x14ac:dyDescent="0.3">
      <c r="A181" s="2">
        <v>45734</v>
      </c>
      <c r="B181" t="s">
        <v>15</v>
      </c>
      <c r="C181" s="3">
        <v>1728</v>
      </c>
      <c r="D181" s="3">
        <v>1737.4</v>
      </c>
      <c r="E181" s="3">
        <v>1715.05</v>
      </c>
      <c r="F181" s="3">
        <v>1710.4</v>
      </c>
      <c r="G181" s="3">
        <v>1735.6</v>
      </c>
      <c r="H181" s="3">
        <v>1732.2</v>
      </c>
      <c r="I181" s="3">
        <v>1729.28</v>
      </c>
      <c r="J181" s="3">
        <v>1880</v>
      </c>
      <c r="K181" s="3">
        <v>1421.25</v>
      </c>
      <c r="L181" s="4">
        <v>10953589</v>
      </c>
      <c r="M181" s="3">
        <v>18941785563.700001</v>
      </c>
      <c r="N181" s="4">
        <v>248631</v>
      </c>
      <c r="O181">
        <f t="shared" si="2"/>
        <v>1.2745556594948523E-2</v>
      </c>
    </row>
    <row r="182" spans="1:15" ht="14.25" customHeight="1" x14ac:dyDescent="0.3">
      <c r="A182" s="2">
        <v>45735</v>
      </c>
      <c r="B182" t="s">
        <v>15</v>
      </c>
      <c r="C182" s="3">
        <v>1735</v>
      </c>
      <c r="D182" s="3">
        <v>1751</v>
      </c>
      <c r="E182" s="3">
        <v>1732.2</v>
      </c>
      <c r="F182" s="3">
        <v>1732.2</v>
      </c>
      <c r="G182" s="3">
        <v>1743.95</v>
      </c>
      <c r="H182" s="3">
        <v>1744.1</v>
      </c>
      <c r="I182" s="3">
        <v>1743.72</v>
      </c>
      <c r="J182" s="3">
        <v>1880</v>
      </c>
      <c r="K182" s="3">
        <v>1421.25</v>
      </c>
      <c r="L182" s="4">
        <v>7610703</v>
      </c>
      <c r="M182" s="3">
        <v>13270934759.25</v>
      </c>
      <c r="N182" s="4">
        <v>201878</v>
      </c>
      <c r="O182">
        <f t="shared" si="2"/>
        <v>6.8698764576837915E-3</v>
      </c>
    </row>
    <row r="183" spans="1:15" ht="14.25" customHeight="1" x14ac:dyDescent="0.3">
      <c r="A183" s="2">
        <v>45736</v>
      </c>
      <c r="B183" t="s">
        <v>15</v>
      </c>
      <c r="C183" s="3">
        <v>1754</v>
      </c>
      <c r="D183" s="3">
        <v>1774</v>
      </c>
      <c r="E183" s="3">
        <v>1749.3</v>
      </c>
      <c r="F183" s="3">
        <v>1744.1</v>
      </c>
      <c r="G183" s="3">
        <v>1766.6</v>
      </c>
      <c r="H183" s="3">
        <v>1768.75</v>
      </c>
      <c r="I183" s="3">
        <v>1760.62</v>
      </c>
      <c r="J183" s="3">
        <v>1880</v>
      </c>
      <c r="K183" s="3">
        <v>1421.25</v>
      </c>
      <c r="L183" s="4">
        <v>8916989</v>
      </c>
      <c r="M183" s="3">
        <v>15699398473.15</v>
      </c>
      <c r="N183" s="4">
        <v>218030</v>
      </c>
      <c r="O183">
        <f t="shared" si="2"/>
        <v>1.4133363912619741E-2</v>
      </c>
    </row>
    <row r="184" spans="1:15" ht="14.25" customHeight="1" x14ac:dyDescent="0.3">
      <c r="A184" s="2">
        <v>45737</v>
      </c>
      <c r="B184" t="s">
        <v>15</v>
      </c>
      <c r="C184" s="3">
        <v>1755.55</v>
      </c>
      <c r="D184" s="3">
        <v>1774.1</v>
      </c>
      <c r="E184" s="3">
        <v>1755.55</v>
      </c>
      <c r="F184" s="3">
        <v>1768.75</v>
      </c>
      <c r="G184" s="3">
        <v>1772.5</v>
      </c>
      <c r="H184" s="3">
        <v>1770.35</v>
      </c>
      <c r="I184" s="3">
        <v>1766.98</v>
      </c>
      <c r="J184" s="3">
        <v>1880</v>
      </c>
      <c r="K184" s="3">
        <v>1421.25</v>
      </c>
      <c r="L184" s="4">
        <v>16754132</v>
      </c>
      <c r="M184" s="3">
        <v>29604196148.950001</v>
      </c>
      <c r="N184" s="4">
        <v>210244</v>
      </c>
      <c r="O184">
        <f t="shared" si="2"/>
        <v>9.0459363957592031E-4</v>
      </c>
    </row>
    <row r="185" spans="1:15" ht="14.25" customHeight="1" x14ac:dyDescent="0.3">
      <c r="A185" s="2">
        <v>45740</v>
      </c>
      <c r="B185" t="s">
        <v>15</v>
      </c>
      <c r="C185" s="3">
        <v>1779</v>
      </c>
      <c r="D185" s="3">
        <v>1804.4</v>
      </c>
      <c r="E185" s="3">
        <v>1773.65</v>
      </c>
      <c r="F185" s="3">
        <v>1770.35</v>
      </c>
      <c r="G185" s="3">
        <v>1802.8</v>
      </c>
      <c r="H185" s="3">
        <v>1800</v>
      </c>
      <c r="I185" s="3">
        <v>1794.28</v>
      </c>
      <c r="J185" s="3">
        <v>1880</v>
      </c>
      <c r="K185" s="3">
        <v>1421.25</v>
      </c>
      <c r="L185" s="4">
        <v>8696868</v>
      </c>
      <c r="M185" s="3">
        <v>15604655158.799999</v>
      </c>
      <c r="N185" s="4">
        <v>286856</v>
      </c>
      <c r="O185">
        <f t="shared" si="2"/>
        <v>1.6748100658062016E-2</v>
      </c>
    </row>
    <row r="186" spans="1:15" ht="14.25" customHeight="1" x14ac:dyDescent="0.3">
      <c r="A186" s="2">
        <v>45741</v>
      </c>
      <c r="B186" t="s">
        <v>15</v>
      </c>
      <c r="C186" s="3">
        <v>1804.9</v>
      </c>
      <c r="D186" s="3">
        <v>1843.7</v>
      </c>
      <c r="E186" s="3">
        <v>1801.5</v>
      </c>
      <c r="F186" s="3">
        <v>1800</v>
      </c>
      <c r="G186" s="3">
        <v>1816</v>
      </c>
      <c r="H186" s="3">
        <v>1821.45</v>
      </c>
      <c r="I186" s="3">
        <v>1825.84</v>
      </c>
      <c r="J186" s="3">
        <v>1880</v>
      </c>
      <c r="K186" s="3">
        <v>1421.25</v>
      </c>
      <c r="L186" s="4">
        <v>19550708</v>
      </c>
      <c r="M186" s="3">
        <v>35696516139.199997</v>
      </c>
      <c r="N186" s="4">
        <v>407401</v>
      </c>
      <c r="O186">
        <f t="shared" si="2"/>
        <v>1.1916666666666692E-2</v>
      </c>
    </row>
    <row r="187" spans="1:15" ht="14.25" customHeight="1" x14ac:dyDescent="0.3">
      <c r="A187" s="2">
        <v>45742</v>
      </c>
      <c r="B187" t="s">
        <v>15</v>
      </c>
      <c r="C187" s="3">
        <v>1825</v>
      </c>
      <c r="D187" s="3">
        <v>1827.5</v>
      </c>
      <c r="E187" s="3">
        <v>1802</v>
      </c>
      <c r="F187" s="3">
        <v>1821.45</v>
      </c>
      <c r="G187" s="3">
        <v>1803</v>
      </c>
      <c r="H187" s="3">
        <v>1806.55</v>
      </c>
      <c r="I187" s="3">
        <v>1814.11</v>
      </c>
      <c r="J187" s="3">
        <v>1880</v>
      </c>
      <c r="K187" s="3">
        <v>1421.25</v>
      </c>
      <c r="L187" s="4">
        <v>12239221</v>
      </c>
      <c r="M187" s="3">
        <v>22203311052.099998</v>
      </c>
      <c r="N187" s="4">
        <v>265431</v>
      </c>
      <c r="O187">
        <f t="shared" si="2"/>
        <v>-8.1802959180872874E-3</v>
      </c>
    </row>
    <row r="188" spans="1:15" ht="14.25" customHeight="1" x14ac:dyDescent="0.3">
      <c r="A188" s="2">
        <v>45743</v>
      </c>
      <c r="B188" t="s">
        <v>15</v>
      </c>
      <c r="C188" s="3">
        <v>1800</v>
      </c>
      <c r="D188" s="3">
        <v>1841</v>
      </c>
      <c r="E188" s="3">
        <v>1798.1</v>
      </c>
      <c r="F188" s="3">
        <v>1806.55</v>
      </c>
      <c r="G188" s="3">
        <v>1821.2</v>
      </c>
      <c r="H188" s="3">
        <v>1825.35</v>
      </c>
      <c r="I188" s="3">
        <v>1827.55</v>
      </c>
      <c r="J188" s="3">
        <v>1880</v>
      </c>
      <c r="K188" s="3">
        <v>1421.25</v>
      </c>
      <c r="L188" s="4">
        <v>20829050</v>
      </c>
      <c r="M188" s="3">
        <v>38066130418.300003</v>
      </c>
      <c r="N188" s="4">
        <v>416415</v>
      </c>
      <c r="O188">
        <f t="shared" si="2"/>
        <v>1.0406576070410426E-2</v>
      </c>
    </row>
    <row r="189" spans="1:15" ht="14.25" customHeight="1" x14ac:dyDescent="0.3">
      <c r="A189" s="2">
        <v>45744</v>
      </c>
      <c r="B189" t="s">
        <v>15</v>
      </c>
      <c r="C189" s="3">
        <v>1829</v>
      </c>
      <c r="D189" s="3">
        <v>1836</v>
      </c>
      <c r="E189" s="3">
        <v>1805.85</v>
      </c>
      <c r="F189" s="3">
        <v>1825.35</v>
      </c>
      <c r="G189" s="3">
        <v>1825.5</v>
      </c>
      <c r="H189" s="3">
        <v>1828.2</v>
      </c>
      <c r="I189" s="3">
        <v>1821.88</v>
      </c>
      <c r="J189" s="3">
        <v>1880</v>
      </c>
      <c r="K189" s="3">
        <v>1421.25</v>
      </c>
      <c r="L189" s="4">
        <v>14386824</v>
      </c>
      <c r="M189" s="3">
        <v>26211031845.900002</v>
      </c>
      <c r="N189" s="4">
        <v>276619</v>
      </c>
      <c r="O189">
        <f t="shared" si="2"/>
        <v>1.5613443997042412E-3</v>
      </c>
    </row>
    <row r="190" spans="1:15" ht="14.25" customHeight="1" x14ac:dyDescent="0.3">
      <c r="A190" s="2">
        <v>45748</v>
      </c>
      <c r="B190" t="s">
        <v>15</v>
      </c>
      <c r="C190" s="3">
        <v>1802</v>
      </c>
      <c r="D190" s="3">
        <v>1809.9</v>
      </c>
      <c r="E190" s="3">
        <v>1765.35</v>
      </c>
      <c r="F190" s="3">
        <v>1828.2</v>
      </c>
      <c r="G190" s="3">
        <v>1769.9</v>
      </c>
      <c r="H190" s="3">
        <v>1767.85</v>
      </c>
      <c r="I190" s="3">
        <v>1781.74</v>
      </c>
      <c r="J190" s="3">
        <v>1880</v>
      </c>
      <c r="K190" s="3">
        <v>1426.8</v>
      </c>
      <c r="L190" s="4">
        <v>14255503</v>
      </c>
      <c r="M190" s="3">
        <v>25399632617.349998</v>
      </c>
      <c r="N190" s="4">
        <v>409481</v>
      </c>
      <c r="O190">
        <f t="shared" si="2"/>
        <v>-3.30106115304672E-2</v>
      </c>
    </row>
    <row r="191" spans="1:15" ht="14.25" customHeight="1" x14ac:dyDescent="0.3">
      <c r="A191" s="2">
        <v>45749</v>
      </c>
      <c r="B191" t="s">
        <v>15</v>
      </c>
      <c r="C191" s="3">
        <v>1770.7</v>
      </c>
      <c r="D191" s="3">
        <v>1799.2</v>
      </c>
      <c r="E191" s="3">
        <v>1770.7</v>
      </c>
      <c r="F191" s="3">
        <v>1767.85</v>
      </c>
      <c r="G191" s="3">
        <v>1798.9</v>
      </c>
      <c r="H191" s="3">
        <v>1796.9</v>
      </c>
      <c r="I191" s="3">
        <v>1791.24</v>
      </c>
      <c r="J191" s="3">
        <v>1880</v>
      </c>
      <c r="K191" s="3">
        <v>1426.8</v>
      </c>
      <c r="L191" s="4">
        <v>5786782</v>
      </c>
      <c r="M191" s="3">
        <v>10365535361.9</v>
      </c>
      <c r="N191" s="4">
        <v>144509</v>
      </c>
      <c r="O191">
        <f t="shared" si="2"/>
        <v>1.6432389625816772E-2</v>
      </c>
    </row>
    <row r="192" spans="1:15" ht="14.25" customHeight="1" x14ac:dyDescent="0.3">
      <c r="A192" s="2">
        <v>45750</v>
      </c>
      <c r="B192" t="s">
        <v>15</v>
      </c>
      <c r="C192" s="3">
        <v>1781.1</v>
      </c>
      <c r="D192" s="3">
        <v>1804</v>
      </c>
      <c r="E192" s="3">
        <v>1777</v>
      </c>
      <c r="F192" s="3">
        <v>1796.9</v>
      </c>
      <c r="G192" s="3">
        <v>1792.8</v>
      </c>
      <c r="H192" s="3">
        <v>1794.85</v>
      </c>
      <c r="I192" s="3">
        <v>1794.09</v>
      </c>
      <c r="J192" s="3">
        <v>1880</v>
      </c>
      <c r="K192" s="3">
        <v>1426.8</v>
      </c>
      <c r="L192" s="4">
        <v>5625019</v>
      </c>
      <c r="M192" s="3">
        <v>10091817304.1</v>
      </c>
      <c r="N192" s="4">
        <v>147618</v>
      </c>
      <c r="O192">
        <f t="shared" si="2"/>
        <v>-1.1408536924704669E-3</v>
      </c>
    </row>
    <row r="193" spans="1:15" ht="14.25" customHeight="1" x14ac:dyDescent="0.3">
      <c r="A193" s="2">
        <v>45751</v>
      </c>
      <c r="B193" t="s">
        <v>15</v>
      </c>
      <c r="C193" s="3">
        <v>1813</v>
      </c>
      <c r="D193" s="3">
        <v>1841.95</v>
      </c>
      <c r="E193" s="3">
        <v>1811.1</v>
      </c>
      <c r="F193" s="3">
        <v>1794.85</v>
      </c>
      <c r="G193" s="3">
        <v>1816.8</v>
      </c>
      <c r="H193" s="3">
        <v>1817.3</v>
      </c>
      <c r="I193" s="3">
        <v>1824.22</v>
      </c>
      <c r="J193" s="3">
        <v>1880</v>
      </c>
      <c r="K193" s="3">
        <v>1426.8</v>
      </c>
      <c r="L193" s="4">
        <v>16770227</v>
      </c>
      <c r="M193" s="3">
        <v>30592639918.200001</v>
      </c>
      <c r="N193" s="4">
        <v>316416</v>
      </c>
      <c r="O193">
        <f t="shared" si="2"/>
        <v>1.2508009025823911E-2</v>
      </c>
    </row>
    <row r="194" spans="1:15" ht="14.25" customHeight="1" x14ac:dyDescent="0.3">
      <c r="A194" s="2">
        <v>45754</v>
      </c>
      <c r="B194" t="s">
        <v>15</v>
      </c>
      <c r="C194" s="3">
        <v>1762.8</v>
      </c>
      <c r="D194" s="3">
        <v>1779.85</v>
      </c>
      <c r="E194" s="3">
        <v>1738.2</v>
      </c>
      <c r="F194" s="3">
        <v>1817.3</v>
      </c>
      <c r="G194" s="3">
        <v>1760.05</v>
      </c>
      <c r="H194" s="3">
        <v>1757.7</v>
      </c>
      <c r="I194" s="3">
        <v>1759.15</v>
      </c>
      <c r="J194" s="3">
        <v>1880</v>
      </c>
      <c r="K194" s="3">
        <v>1426.8</v>
      </c>
      <c r="L194" s="4">
        <v>18997725</v>
      </c>
      <c r="M194" s="3">
        <v>33419875202</v>
      </c>
      <c r="N194" s="4">
        <v>374557</v>
      </c>
      <c r="O194">
        <f t="shared" si="2"/>
        <v>-3.2795906014416946E-2</v>
      </c>
    </row>
    <row r="195" spans="1:15" ht="14.25" customHeight="1" x14ac:dyDescent="0.3">
      <c r="A195" s="2">
        <v>45755</v>
      </c>
      <c r="B195" t="s">
        <v>15</v>
      </c>
      <c r="C195" s="3">
        <v>1765</v>
      </c>
      <c r="D195" s="3">
        <v>1782</v>
      </c>
      <c r="E195" s="3">
        <v>1750.3</v>
      </c>
      <c r="F195" s="3">
        <v>1757.7</v>
      </c>
      <c r="G195" s="3">
        <v>1770.15</v>
      </c>
      <c r="H195" s="3">
        <v>1769.15</v>
      </c>
      <c r="I195" s="3">
        <v>1769.16</v>
      </c>
      <c r="J195" s="3">
        <v>1880</v>
      </c>
      <c r="K195" s="3">
        <v>1426.8</v>
      </c>
      <c r="L195" s="4">
        <v>17781936</v>
      </c>
      <c r="M195" s="3">
        <v>31459003790.150002</v>
      </c>
      <c r="N195" s="4">
        <v>355184</v>
      </c>
      <c r="O195">
        <f t="shared" ref="O195:O258" si="3">(H195-H194)/H194</f>
        <v>6.514194686237723E-3</v>
      </c>
    </row>
    <row r="196" spans="1:15" ht="14.25" customHeight="1" x14ac:dyDescent="0.3">
      <c r="A196" s="2">
        <v>45756</v>
      </c>
      <c r="B196" t="s">
        <v>15</v>
      </c>
      <c r="C196" s="3">
        <v>1765</v>
      </c>
      <c r="D196" s="3">
        <v>1775</v>
      </c>
      <c r="E196" s="3">
        <v>1753.5</v>
      </c>
      <c r="F196" s="3">
        <v>1769.15</v>
      </c>
      <c r="G196" s="3">
        <v>1765.3</v>
      </c>
      <c r="H196" s="3">
        <v>1765</v>
      </c>
      <c r="I196" s="3">
        <v>1761.66</v>
      </c>
      <c r="J196" s="3">
        <v>1880</v>
      </c>
      <c r="K196" s="3">
        <v>1426.8</v>
      </c>
      <c r="L196" s="4">
        <v>11227304</v>
      </c>
      <c r="M196" s="3">
        <v>19778728957.549999</v>
      </c>
      <c r="N196" s="4">
        <v>207950</v>
      </c>
      <c r="O196">
        <f t="shared" si="3"/>
        <v>-2.3457592629229237E-3</v>
      </c>
    </row>
    <row r="197" spans="1:15" ht="14.25" customHeight="1" x14ac:dyDescent="0.3">
      <c r="A197" s="2">
        <v>45758</v>
      </c>
      <c r="B197" t="s">
        <v>15</v>
      </c>
      <c r="C197" s="3">
        <v>1774.75</v>
      </c>
      <c r="D197" s="3">
        <v>1819.4</v>
      </c>
      <c r="E197" s="3">
        <v>1774.75</v>
      </c>
      <c r="F197" s="3">
        <v>1765</v>
      </c>
      <c r="G197" s="3">
        <v>1805.2</v>
      </c>
      <c r="H197" s="3">
        <v>1806.75</v>
      </c>
      <c r="I197" s="3">
        <v>1803.31</v>
      </c>
      <c r="J197" s="3">
        <v>1880</v>
      </c>
      <c r="K197" s="3">
        <v>1426.8</v>
      </c>
      <c r="L197" s="4">
        <v>16387883</v>
      </c>
      <c r="M197" s="3">
        <v>29552499474.849998</v>
      </c>
      <c r="N197" s="4">
        <v>395826</v>
      </c>
      <c r="O197">
        <f t="shared" si="3"/>
        <v>2.3654390934844192E-2</v>
      </c>
    </row>
    <row r="198" spans="1:15" ht="14.25" customHeight="1" x14ac:dyDescent="0.3">
      <c r="A198" s="2">
        <v>45762</v>
      </c>
      <c r="B198" t="s">
        <v>15</v>
      </c>
      <c r="C198" s="3">
        <v>1865</v>
      </c>
      <c r="D198" s="3">
        <v>1876.8</v>
      </c>
      <c r="E198" s="3">
        <v>1855</v>
      </c>
      <c r="F198" s="3">
        <v>1806.75</v>
      </c>
      <c r="G198" s="3">
        <v>1865.6</v>
      </c>
      <c r="H198" s="3">
        <v>1864.9</v>
      </c>
      <c r="I198" s="3">
        <v>1866.76</v>
      </c>
      <c r="J198" s="3">
        <v>1880</v>
      </c>
      <c r="K198" s="3">
        <v>1426.8</v>
      </c>
      <c r="L198" s="4">
        <v>24649172</v>
      </c>
      <c r="M198" s="3">
        <v>46014108976</v>
      </c>
      <c r="N198" s="4">
        <v>360194</v>
      </c>
      <c r="O198">
        <f t="shared" si="3"/>
        <v>3.2184862321848674E-2</v>
      </c>
    </row>
    <row r="199" spans="1:15" ht="14.25" customHeight="1" x14ac:dyDescent="0.3">
      <c r="A199" s="2">
        <v>45763</v>
      </c>
      <c r="B199" t="s">
        <v>15</v>
      </c>
      <c r="C199" s="3">
        <v>1883.8</v>
      </c>
      <c r="D199" s="3">
        <v>1883.8</v>
      </c>
      <c r="E199" s="3">
        <v>1860.5</v>
      </c>
      <c r="F199" s="3">
        <v>1864.9</v>
      </c>
      <c r="G199" s="3">
        <v>1875.9</v>
      </c>
      <c r="H199" s="3">
        <v>1878</v>
      </c>
      <c r="I199" s="3">
        <v>1874.15</v>
      </c>
      <c r="J199" s="3">
        <v>1883.8</v>
      </c>
      <c r="K199" s="3">
        <v>1426.8</v>
      </c>
      <c r="L199" s="4">
        <v>9568410</v>
      </c>
      <c r="M199" s="3">
        <v>17932665363.900002</v>
      </c>
      <c r="N199" s="4">
        <v>252887</v>
      </c>
      <c r="O199">
        <f t="shared" si="3"/>
        <v>7.024505335406675E-3</v>
      </c>
    </row>
    <row r="200" spans="1:15" ht="14.25" customHeight="1" x14ac:dyDescent="0.3">
      <c r="A200" s="2">
        <v>45764</v>
      </c>
      <c r="B200" t="s">
        <v>15</v>
      </c>
      <c r="C200" s="3">
        <v>1882</v>
      </c>
      <c r="D200" s="3">
        <v>1919.7</v>
      </c>
      <c r="E200" s="3">
        <v>1876.7</v>
      </c>
      <c r="F200" s="3">
        <v>1878</v>
      </c>
      <c r="G200" s="3">
        <v>1905.8</v>
      </c>
      <c r="H200" s="3">
        <v>1906.7</v>
      </c>
      <c r="I200" s="3">
        <v>1901.41</v>
      </c>
      <c r="J200" s="3">
        <v>1919.7</v>
      </c>
      <c r="K200" s="3">
        <v>1426.8</v>
      </c>
      <c r="L200" s="4">
        <v>17851542</v>
      </c>
      <c r="M200" s="3">
        <v>33943168763.200001</v>
      </c>
      <c r="N200" s="4">
        <v>394807</v>
      </c>
      <c r="O200">
        <f t="shared" si="3"/>
        <v>1.5282215122470738E-2</v>
      </c>
    </row>
    <row r="201" spans="1:15" ht="14.25" customHeight="1" x14ac:dyDescent="0.3">
      <c r="A201" s="2">
        <v>45768</v>
      </c>
      <c r="B201" t="s">
        <v>15</v>
      </c>
      <c r="C201" s="3">
        <v>1924</v>
      </c>
      <c r="D201" s="3">
        <v>1950.7</v>
      </c>
      <c r="E201" s="3">
        <v>1910</v>
      </c>
      <c r="F201" s="3">
        <v>1906.7</v>
      </c>
      <c r="G201" s="3">
        <v>1925.2</v>
      </c>
      <c r="H201" s="3">
        <v>1927.1</v>
      </c>
      <c r="I201" s="3">
        <v>1930.83</v>
      </c>
      <c r="J201" s="3">
        <v>1950.7</v>
      </c>
      <c r="K201" s="3">
        <v>1426.8</v>
      </c>
      <c r="L201" s="4">
        <v>17123649</v>
      </c>
      <c r="M201" s="3">
        <v>33062832499.299999</v>
      </c>
      <c r="N201" s="4">
        <v>411337</v>
      </c>
      <c r="O201">
        <f t="shared" si="3"/>
        <v>1.0699113651859162E-2</v>
      </c>
    </row>
    <row r="202" spans="1:15" ht="14.25" customHeight="1" x14ac:dyDescent="0.3">
      <c r="A202" s="2">
        <v>45769</v>
      </c>
      <c r="B202" t="s">
        <v>15</v>
      </c>
      <c r="C202" s="3">
        <v>1935</v>
      </c>
      <c r="D202" s="3">
        <v>1970.6</v>
      </c>
      <c r="E202" s="3">
        <v>1935</v>
      </c>
      <c r="F202" s="3">
        <v>1927.1</v>
      </c>
      <c r="G202" s="3">
        <v>1960</v>
      </c>
      <c r="H202" s="3">
        <v>1961.7</v>
      </c>
      <c r="I202" s="3">
        <v>1957.16</v>
      </c>
      <c r="J202" s="3">
        <v>1970.6</v>
      </c>
      <c r="K202" s="3">
        <v>1426.8</v>
      </c>
      <c r="L202" s="4">
        <v>22980875</v>
      </c>
      <c r="M202" s="3">
        <v>44977215852.400002</v>
      </c>
      <c r="N202" s="4">
        <v>512026</v>
      </c>
      <c r="O202">
        <f t="shared" si="3"/>
        <v>1.7954439312957364E-2</v>
      </c>
    </row>
    <row r="203" spans="1:15" ht="14.25" customHeight="1" x14ac:dyDescent="0.3">
      <c r="A203" s="2">
        <v>45770</v>
      </c>
      <c r="B203" t="s">
        <v>15</v>
      </c>
      <c r="C203" s="3">
        <v>1978.9</v>
      </c>
      <c r="D203" s="3">
        <v>1978.9</v>
      </c>
      <c r="E203" s="3">
        <v>1920.5</v>
      </c>
      <c r="F203" s="3">
        <v>1961.7</v>
      </c>
      <c r="G203" s="3">
        <v>1920.7</v>
      </c>
      <c r="H203" s="3">
        <v>1923.9</v>
      </c>
      <c r="I203" s="3">
        <v>1939.04</v>
      </c>
      <c r="J203" s="3">
        <v>1978.9</v>
      </c>
      <c r="K203" s="3">
        <v>1426.8</v>
      </c>
      <c r="L203" s="4">
        <v>15285321</v>
      </c>
      <c r="M203" s="3">
        <v>29638923676.099998</v>
      </c>
      <c r="N203" s="4">
        <v>247823</v>
      </c>
      <c r="O203">
        <f t="shared" si="3"/>
        <v>-1.9269001376357217E-2</v>
      </c>
    </row>
    <row r="204" spans="1:15" ht="14.25" customHeight="1" x14ac:dyDescent="0.3">
      <c r="A204" s="2">
        <v>45771</v>
      </c>
      <c r="B204" t="s">
        <v>15</v>
      </c>
      <c r="C204" s="3">
        <v>1910</v>
      </c>
      <c r="D204" s="3">
        <v>1923.9</v>
      </c>
      <c r="E204" s="3">
        <v>1905.1</v>
      </c>
      <c r="F204" s="3">
        <v>1923.9</v>
      </c>
      <c r="G204" s="3">
        <v>1914.9</v>
      </c>
      <c r="H204" s="3">
        <v>1916.8</v>
      </c>
      <c r="I204" s="3">
        <v>1916.73</v>
      </c>
      <c r="J204" s="3">
        <v>1978.9</v>
      </c>
      <c r="K204" s="3">
        <v>1426.8</v>
      </c>
      <c r="L204" s="4">
        <v>12965877</v>
      </c>
      <c r="M204" s="3">
        <v>24852091752.799999</v>
      </c>
      <c r="N204" s="4">
        <v>227034</v>
      </c>
      <c r="O204">
        <f t="shared" si="3"/>
        <v>-3.6904205000260594E-3</v>
      </c>
    </row>
    <row r="205" spans="1:15" ht="14.25" customHeight="1" x14ac:dyDescent="0.3">
      <c r="A205" s="2">
        <v>45772</v>
      </c>
      <c r="B205" t="s">
        <v>15</v>
      </c>
      <c r="C205" s="3">
        <v>1924.8</v>
      </c>
      <c r="D205" s="3">
        <v>1933</v>
      </c>
      <c r="E205" s="3">
        <v>1891.8</v>
      </c>
      <c r="F205" s="3">
        <v>1916.8</v>
      </c>
      <c r="G205" s="3">
        <v>1908</v>
      </c>
      <c r="H205" s="3">
        <v>1911.2</v>
      </c>
      <c r="I205" s="3">
        <v>1911.37</v>
      </c>
      <c r="J205" s="3">
        <v>1978.9</v>
      </c>
      <c r="K205" s="3">
        <v>1426.8</v>
      </c>
      <c r="L205" s="4">
        <v>9250439</v>
      </c>
      <c r="M205" s="3">
        <v>17681017343.799999</v>
      </c>
      <c r="N205" s="4">
        <v>201781</v>
      </c>
      <c r="O205">
        <f t="shared" si="3"/>
        <v>-2.9215358931552115E-3</v>
      </c>
    </row>
    <row r="206" spans="1:15" ht="14.25" customHeight="1" x14ac:dyDescent="0.3">
      <c r="A206" s="2">
        <v>45775</v>
      </c>
      <c r="B206" t="s">
        <v>15</v>
      </c>
      <c r="C206" s="3">
        <v>1911.2</v>
      </c>
      <c r="D206" s="3">
        <v>1929.7</v>
      </c>
      <c r="E206" s="3">
        <v>1908.4</v>
      </c>
      <c r="F206" s="3">
        <v>1911.2</v>
      </c>
      <c r="G206" s="3">
        <v>1921</v>
      </c>
      <c r="H206" s="3">
        <v>1920.2</v>
      </c>
      <c r="I206" s="3">
        <v>1922.17</v>
      </c>
      <c r="J206" s="3">
        <v>1978.9</v>
      </c>
      <c r="K206" s="3">
        <v>1426.8</v>
      </c>
      <c r="L206" s="4">
        <v>6960246</v>
      </c>
      <c r="M206" s="3">
        <v>13378745824.700001</v>
      </c>
      <c r="N206" s="4">
        <v>155527</v>
      </c>
      <c r="O206">
        <f t="shared" si="3"/>
        <v>4.7090832984512344E-3</v>
      </c>
    </row>
    <row r="207" spans="1:15" ht="14.25" customHeight="1" x14ac:dyDescent="0.3">
      <c r="A207" s="2">
        <v>45776</v>
      </c>
      <c r="B207" t="s">
        <v>15</v>
      </c>
      <c r="C207" s="3">
        <v>1918.8</v>
      </c>
      <c r="D207" s="3">
        <v>1928.8</v>
      </c>
      <c r="E207" s="3">
        <v>1900.2</v>
      </c>
      <c r="F207" s="3">
        <v>1920.2</v>
      </c>
      <c r="G207" s="3">
        <v>1906</v>
      </c>
      <c r="H207" s="3">
        <v>1908.8</v>
      </c>
      <c r="I207" s="3">
        <v>1909.52</v>
      </c>
      <c r="J207" s="3">
        <v>1978.9</v>
      </c>
      <c r="K207" s="3">
        <v>1426.8</v>
      </c>
      <c r="L207" s="4">
        <v>9459154</v>
      </c>
      <c r="M207" s="3">
        <v>18062438512.299999</v>
      </c>
      <c r="N207" s="4">
        <v>186299</v>
      </c>
      <c r="O207">
        <f t="shared" si="3"/>
        <v>-5.9368815748360015E-3</v>
      </c>
    </row>
    <row r="208" spans="1:15" ht="14.25" customHeight="1" x14ac:dyDescent="0.3">
      <c r="A208" s="2">
        <v>45777</v>
      </c>
      <c r="B208" t="s">
        <v>15</v>
      </c>
      <c r="C208" s="3">
        <v>1913</v>
      </c>
      <c r="D208" s="3">
        <v>1936.9</v>
      </c>
      <c r="E208" s="3">
        <v>1910.3</v>
      </c>
      <c r="F208" s="3">
        <v>1908.8</v>
      </c>
      <c r="G208" s="3">
        <v>1920.1</v>
      </c>
      <c r="H208" s="3">
        <v>1925</v>
      </c>
      <c r="I208" s="3">
        <v>1925.02</v>
      </c>
      <c r="J208" s="3">
        <v>1978.9</v>
      </c>
      <c r="K208" s="3">
        <v>1426.8</v>
      </c>
      <c r="L208" s="4">
        <v>15968435</v>
      </c>
      <c r="M208" s="3">
        <v>30739492241.200001</v>
      </c>
      <c r="N208" s="4">
        <v>275126</v>
      </c>
      <c r="O208">
        <f t="shared" si="3"/>
        <v>8.4870075440067298E-3</v>
      </c>
    </row>
    <row r="209" spans="1:15" ht="14.25" customHeight="1" x14ac:dyDescent="0.3">
      <c r="A209" s="2">
        <v>45779</v>
      </c>
      <c r="B209" t="s">
        <v>15</v>
      </c>
      <c r="C209" s="3">
        <v>1929.8</v>
      </c>
      <c r="D209" s="3">
        <v>1941.9</v>
      </c>
      <c r="E209" s="3">
        <v>1920</v>
      </c>
      <c r="F209" s="3">
        <v>1925</v>
      </c>
      <c r="G209" s="3">
        <v>1923.5</v>
      </c>
      <c r="H209" s="3">
        <v>1925</v>
      </c>
      <c r="I209" s="3">
        <v>1930.63</v>
      </c>
      <c r="J209" s="3">
        <v>1978.9</v>
      </c>
      <c r="K209" s="3">
        <v>1426.8</v>
      </c>
      <c r="L209" s="4">
        <v>11406024</v>
      </c>
      <c r="M209" s="3">
        <v>22020820771.5</v>
      </c>
      <c r="N209" s="4">
        <v>236285</v>
      </c>
      <c r="O209">
        <f t="shared" si="3"/>
        <v>0</v>
      </c>
    </row>
    <row r="210" spans="1:15" ht="14.25" customHeight="1" x14ac:dyDescent="0.3">
      <c r="A210" s="2">
        <v>45782</v>
      </c>
      <c r="B210" t="s">
        <v>15</v>
      </c>
      <c r="C210" s="3">
        <v>1939</v>
      </c>
      <c r="D210" s="3">
        <v>1952</v>
      </c>
      <c r="E210" s="3">
        <v>1932.3</v>
      </c>
      <c r="F210" s="3">
        <v>1925</v>
      </c>
      <c r="G210" s="3">
        <v>1935.8</v>
      </c>
      <c r="H210" s="3">
        <v>1936.8</v>
      </c>
      <c r="I210" s="3">
        <v>1940.79</v>
      </c>
      <c r="J210" s="3">
        <v>1978.9</v>
      </c>
      <c r="K210" s="3">
        <v>1426.8</v>
      </c>
      <c r="L210" s="4">
        <v>7534012</v>
      </c>
      <c r="M210" s="3">
        <v>14621940034</v>
      </c>
      <c r="N210" s="4">
        <v>160044</v>
      </c>
      <c r="O210">
        <f t="shared" si="3"/>
        <v>6.1298701298701059E-3</v>
      </c>
    </row>
    <row r="211" spans="1:15" ht="14.25" customHeight="1" x14ac:dyDescent="0.3">
      <c r="A211" s="2">
        <v>45783</v>
      </c>
      <c r="B211" t="s">
        <v>15</v>
      </c>
      <c r="C211" s="3">
        <v>1930</v>
      </c>
      <c r="D211" s="3">
        <v>1940.1</v>
      </c>
      <c r="E211" s="3">
        <v>1924.3</v>
      </c>
      <c r="F211" s="3">
        <v>1936.8</v>
      </c>
      <c r="G211" s="3">
        <v>1928.6</v>
      </c>
      <c r="H211" s="3">
        <v>1931.7</v>
      </c>
      <c r="I211" s="3">
        <v>1931.89</v>
      </c>
      <c r="J211" s="3">
        <v>1978.9</v>
      </c>
      <c r="K211" s="3">
        <v>1426.8</v>
      </c>
      <c r="L211" s="4">
        <v>8745078</v>
      </c>
      <c r="M211" s="3">
        <v>16894488689.1</v>
      </c>
      <c r="N211" s="4">
        <v>140830</v>
      </c>
      <c r="O211">
        <f t="shared" si="3"/>
        <v>-2.6332094175959878E-3</v>
      </c>
    </row>
    <row r="212" spans="1:15" ht="14.25" customHeight="1" x14ac:dyDescent="0.3">
      <c r="A212" s="2">
        <v>45784</v>
      </c>
      <c r="B212" t="s">
        <v>15</v>
      </c>
      <c r="C212" s="3">
        <v>1934</v>
      </c>
      <c r="D212" s="3">
        <v>1948.7</v>
      </c>
      <c r="E212" s="3">
        <v>1922.4</v>
      </c>
      <c r="F212" s="3">
        <v>1931.7</v>
      </c>
      <c r="G212" s="3">
        <v>1945</v>
      </c>
      <c r="H212" s="3">
        <v>1945.6</v>
      </c>
      <c r="I212" s="3">
        <v>1939.91</v>
      </c>
      <c r="J212" s="3">
        <v>1978.9</v>
      </c>
      <c r="K212" s="3">
        <v>1426.8</v>
      </c>
      <c r="L212" s="4">
        <v>10710389</v>
      </c>
      <c r="M212" s="3">
        <v>20777145511</v>
      </c>
      <c r="N212" s="4">
        <v>178998</v>
      </c>
      <c r="O212">
        <f t="shared" si="3"/>
        <v>7.1957343272764217E-3</v>
      </c>
    </row>
    <row r="213" spans="1:15" ht="14.25" customHeight="1" x14ac:dyDescent="0.3">
      <c r="A213" s="2">
        <v>45785</v>
      </c>
      <c r="B213" t="s">
        <v>15</v>
      </c>
      <c r="C213" s="3">
        <v>1954.8</v>
      </c>
      <c r="D213" s="3">
        <v>1954.8</v>
      </c>
      <c r="E213" s="3">
        <v>1919.1</v>
      </c>
      <c r="F213" s="3">
        <v>1945.6</v>
      </c>
      <c r="G213" s="3">
        <v>1921.5</v>
      </c>
      <c r="H213" s="3">
        <v>1928.5</v>
      </c>
      <c r="I213" s="3">
        <v>1933.8</v>
      </c>
      <c r="J213" s="3">
        <v>1978.9</v>
      </c>
      <c r="K213" s="3">
        <v>1426.8</v>
      </c>
      <c r="L213" s="4">
        <v>17401715</v>
      </c>
      <c r="M213" s="3">
        <v>33651432174.299999</v>
      </c>
      <c r="N213" s="4">
        <v>280256</v>
      </c>
      <c r="O213">
        <f t="shared" si="3"/>
        <v>-8.7890624999999532E-3</v>
      </c>
    </row>
    <row r="214" spans="1:15" ht="14.25" customHeight="1" x14ac:dyDescent="0.3">
      <c r="A214" s="2">
        <v>45786</v>
      </c>
      <c r="B214" t="s">
        <v>15</v>
      </c>
      <c r="C214" s="3">
        <v>1910.1</v>
      </c>
      <c r="D214" s="3">
        <v>1919</v>
      </c>
      <c r="E214" s="3">
        <v>1886.8</v>
      </c>
      <c r="F214" s="3">
        <v>1928.5</v>
      </c>
      <c r="G214" s="3">
        <v>1893.3</v>
      </c>
      <c r="H214" s="3">
        <v>1889.7</v>
      </c>
      <c r="I214" s="3">
        <v>1894.97</v>
      </c>
      <c r="J214" s="3">
        <v>1978.9</v>
      </c>
      <c r="K214" s="3">
        <v>1426.8</v>
      </c>
      <c r="L214" s="4">
        <v>8594398</v>
      </c>
      <c r="M214" s="3">
        <v>16286144558.6</v>
      </c>
      <c r="N214" s="4">
        <v>292155</v>
      </c>
      <c r="O214">
        <f t="shared" si="3"/>
        <v>-2.0119263676432436E-2</v>
      </c>
    </row>
    <row r="215" spans="1:15" ht="14.25" customHeight="1" x14ac:dyDescent="0.3">
      <c r="A215" s="2">
        <v>45789</v>
      </c>
      <c r="B215" t="s">
        <v>15</v>
      </c>
      <c r="C215" s="3">
        <v>1917.6</v>
      </c>
      <c r="D215" s="3">
        <v>1959.9</v>
      </c>
      <c r="E215" s="3">
        <v>1912.3</v>
      </c>
      <c r="F215" s="3">
        <v>1889.7</v>
      </c>
      <c r="G215" s="3">
        <v>1956.4</v>
      </c>
      <c r="H215" s="3">
        <v>1957.2</v>
      </c>
      <c r="I215" s="3">
        <v>1948.86</v>
      </c>
      <c r="J215" s="3">
        <v>1978.9</v>
      </c>
      <c r="K215" s="3">
        <v>1430.3</v>
      </c>
      <c r="L215" s="4">
        <v>9309486</v>
      </c>
      <c r="M215" s="3">
        <v>18142865391.200001</v>
      </c>
      <c r="N215" s="4">
        <v>207249</v>
      </c>
      <c r="O215">
        <f t="shared" si="3"/>
        <v>3.5719955548499764E-2</v>
      </c>
    </row>
    <row r="216" spans="1:15" ht="14.25" customHeight="1" x14ac:dyDescent="0.3">
      <c r="A216" s="2">
        <v>45790</v>
      </c>
      <c r="B216" t="s">
        <v>15</v>
      </c>
      <c r="C216" s="3">
        <v>1950</v>
      </c>
      <c r="D216" s="3">
        <v>1961.7</v>
      </c>
      <c r="E216" s="3">
        <v>1920</v>
      </c>
      <c r="F216" s="3">
        <v>1957.2</v>
      </c>
      <c r="G216" s="3">
        <v>1924.9</v>
      </c>
      <c r="H216" s="3">
        <v>1922.6</v>
      </c>
      <c r="I216" s="3">
        <v>1930.6</v>
      </c>
      <c r="J216" s="3">
        <v>1978.9</v>
      </c>
      <c r="K216" s="3">
        <v>1430.3</v>
      </c>
      <c r="L216" s="4">
        <v>12121051</v>
      </c>
      <c r="M216" s="3">
        <v>23400936924.400002</v>
      </c>
      <c r="N216" s="4">
        <v>234495</v>
      </c>
      <c r="O216">
        <f t="shared" si="3"/>
        <v>-1.7678315961577835E-2</v>
      </c>
    </row>
    <row r="217" spans="1:15" ht="14.25" customHeight="1" x14ac:dyDescent="0.3">
      <c r="A217" s="2">
        <v>45791</v>
      </c>
      <c r="B217" t="s">
        <v>15</v>
      </c>
      <c r="C217" s="3">
        <v>1922.1</v>
      </c>
      <c r="D217" s="3">
        <v>1930.2</v>
      </c>
      <c r="E217" s="3">
        <v>1903</v>
      </c>
      <c r="F217" s="3">
        <v>1922.6</v>
      </c>
      <c r="G217" s="3">
        <v>1913.5</v>
      </c>
      <c r="H217" s="3">
        <v>1910.6</v>
      </c>
      <c r="I217" s="3">
        <v>1914.76</v>
      </c>
      <c r="J217" s="3">
        <v>1978.9</v>
      </c>
      <c r="K217" s="3">
        <v>1430.3</v>
      </c>
      <c r="L217" s="4">
        <v>7722654</v>
      </c>
      <c r="M217" s="3">
        <v>14787000374.5</v>
      </c>
      <c r="N217" s="4">
        <v>189542</v>
      </c>
      <c r="O217">
        <f t="shared" si="3"/>
        <v>-6.2415479038801626E-3</v>
      </c>
    </row>
    <row r="218" spans="1:15" ht="14.25" customHeight="1" x14ac:dyDescent="0.3">
      <c r="A218" s="2">
        <v>45792</v>
      </c>
      <c r="B218" t="s">
        <v>15</v>
      </c>
      <c r="C218" s="3">
        <v>1913.5</v>
      </c>
      <c r="D218" s="3">
        <v>1944.8</v>
      </c>
      <c r="E218" s="3">
        <v>1897</v>
      </c>
      <c r="F218" s="3">
        <v>1910.6</v>
      </c>
      <c r="G218" s="3">
        <v>1933.8</v>
      </c>
      <c r="H218" s="3">
        <v>1933.8</v>
      </c>
      <c r="I218" s="3">
        <v>1923.01</v>
      </c>
      <c r="J218" s="3">
        <v>1978.9</v>
      </c>
      <c r="K218" s="3">
        <v>1430.3</v>
      </c>
      <c r="L218" s="4">
        <v>16120729</v>
      </c>
      <c r="M218" s="3">
        <v>31000329957.900002</v>
      </c>
      <c r="N218" s="4">
        <v>224596</v>
      </c>
      <c r="O218">
        <f t="shared" si="3"/>
        <v>1.2142782372029754E-2</v>
      </c>
    </row>
    <row r="219" spans="1:15" ht="14.25" customHeight="1" x14ac:dyDescent="0.3">
      <c r="A219" s="2">
        <v>45793</v>
      </c>
      <c r="B219" t="s">
        <v>15</v>
      </c>
      <c r="C219" s="3">
        <v>1933.8</v>
      </c>
      <c r="D219" s="3">
        <v>1943.8</v>
      </c>
      <c r="E219" s="3">
        <v>1928.4</v>
      </c>
      <c r="F219" s="3">
        <v>1933.8</v>
      </c>
      <c r="G219" s="3">
        <v>1934.5</v>
      </c>
      <c r="H219" s="3">
        <v>1934.7</v>
      </c>
      <c r="I219" s="3">
        <v>1933.5</v>
      </c>
      <c r="J219" s="3">
        <v>1978.9</v>
      </c>
      <c r="K219" s="3">
        <v>1430.3</v>
      </c>
      <c r="L219" s="4">
        <v>7934005</v>
      </c>
      <c r="M219" s="3">
        <v>15340426257</v>
      </c>
      <c r="N219" s="4">
        <v>175140</v>
      </c>
      <c r="O219">
        <f t="shared" si="3"/>
        <v>4.6540490226501757E-4</v>
      </c>
    </row>
    <row r="220" spans="1:15" ht="14.25" customHeight="1" x14ac:dyDescent="0.3">
      <c r="A220" s="2">
        <v>45796</v>
      </c>
      <c r="B220" t="s">
        <v>15</v>
      </c>
      <c r="C220" s="3">
        <v>1937</v>
      </c>
      <c r="D220" s="3">
        <v>1945</v>
      </c>
      <c r="E220" s="3">
        <v>1931</v>
      </c>
      <c r="F220" s="3">
        <v>1934.7</v>
      </c>
      <c r="G220" s="3">
        <v>1937.1</v>
      </c>
      <c r="H220" s="3">
        <v>1938.7</v>
      </c>
      <c r="I220" s="3">
        <v>1938.13</v>
      </c>
      <c r="J220" s="3">
        <v>1978.9</v>
      </c>
      <c r="K220" s="3">
        <v>1448.15</v>
      </c>
      <c r="L220" s="4">
        <v>5101482</v>
      </c>
      <c r="M220" s="3">
        <v>9887338159.2000008</v>
      </c>
      <c r="N220" s="4">
        <v>156815</v>
      </c>
      <c r="O220">
        <f t="shared" si="3"/>
        <v>2.0675040057890112E-3</v>
      </c>
    </row>
    <row r="221" spans="1:15" ht="14.25" customHeight="1" x14ac:dyDescent="0.3">
      <c r="A221" s="2">
        <v>45797</v>
      </c>
      <c r="B221" t="s">
        <v>15</v>
      </c>
      <c r="C221" s="3">
        <v>1928.1</v>
      </c>
      <c r="D221" s="3">
        <v>1934.6</v>
      </c>
      <c r="E221" s="3">
        <v>1913</v>
      </c>
      <c r="F221" s="3">
        <v>1938.7</v>
      </c>
      <c r="G221" s="3">
        <v>1917.1</v>
      </c>
      <c r="H221" s="3">
        <v>1914.9</v>
      </c>
      <c r="I221" s="3">
        <v>1918.55</v>
      </c>
      <c r="J221" s="3">
        <v>1978.9</v>
      </c>
      <c r="K221" s="3">
        <v>1448.15</v>
      </c>
      <c r="L221" s="4">
        <v>11939545</v>
      </c>
      <c r="M221" s="3">
        <v>22906655882.099998</v>
      </c>
      <c r="N221" s="4">
        <v>176524</v>
      </c>
      <c r="O221">
        <f t="shared" si="3"/>
        <v>-1.2276267602001317E-2</v>
      </c>
    </row>
    <row r="222" spans="1:15" ht="14.25" customHeight="1" x14ac:dyDescent="0.3">
      <c r="A222" s="2">
        <v>45798</v>
      </c>
      <c r="B222" t="s">
        <v>15</v>
      </c>
      <c r="C222" s="3">
        <v>1927</v>
      </c>
      <c r="D222" s="3">
        <v>1946.9</v>
      </c>
      <c r="E222" s="3">
        <v>1921.1</v>
      </c>
      <c r="F222" s="3">
        <v>1914.9</v>
      </c>
      <c r="G222" s="3">
        <v>1925.2</v>
      </c>
      <c r="H222" s="3">
        <v>1926.8</v>
      </c>
      <c r="I222" s="3">
        <v>1930.42</v>
      </c>
      <c r="J222" s="3">
        <v>1978.9</v>
      </c>
      <c r="K222" s="3">
        <v>1448.15</v>
      </c>
      <c r="L222" s="4">
        <v>7566020</v>
      </c>
      <c r="M222" s="3">
        <v>14605582585.700001</v>
      </c>
      <c r="N222" s="4">
        <v>205548</v>
      </c>
      <c r="O222">
        <f t="shared" si="3"/>
        <v>6.2144237296986073E-3</v>
      </c>
    </row>
    <row r="223" spans="1:15" ht="14.25" customHeight="1" x14ac:dyDescent="0.3">
      <c r="A223" s="2">
        <v>45799</v>
      </c>
      <c r="B223" t="s">
        <v>15</v>
      </c>
      <c r="C223" s="3">
        <v>1915.2</v>
      </c>
      <c r="D223" s="3">
        <v>1924.2</v>
      </c>
      <c r="E223" s="3">
        <v>1905.2</v>
      </c>
      <c r="F223" s="3">
        <v>1926.8</v>
      </c>
      <c r="G223" s="3">
        <v>1924</v>
      </c>
      <c r="H223" s="3">
        <v>1919.9</v>
      </c>
      <c r="I223" s="3">
        <v>1914.84</v>
      </c>
      <c r="J223" s="3">
        <v>1978.9</v>
      </c>
      <c r="K223" s="3">
        <v>1448.15</v>
      </c>
      <c r="L223" s="4">
        <v>10653335</v>
      </c>
      <c r="M223" s="3">
        <v>20399411133.400002</v>
      </c>
      <c r="N223" s="4">
        <v>255429</v>
      </c>
      <c r="O223">
        <f t="shared" si="3"/>
        <v>-3.5810670541830307E-3</v>
      </c>
    </row>
    <row r="224" spans="1:15" ht="14.25" customHeight="1" x14ac:dyDescent="0.3">
      <c r="A224" s="2">
        <v>45800</v>
      </c>
      <c r="B224" t="s">
        <v>15</v>
      </c>
      <c r="C224" s="3">
        <v>1920.1</v>
      </c>
      <c r="D224" s="3">
        <v>1937</v>
      </c>
      <c r="E224" s="3">
        <v>1914.5</v>
      </c>
      <c r="F224" s="3">
        <v>1919.9</v>
      </c>
      <c r="G224" s="3">
        <v>1933.5</v>
      </c>
      <c r="H224" s="3">
        <v>1933.6</v>
      </c>
      <c r="I224" s="3">
        <v>1929.98</v>
      </c>
      <c r="J224" s="3">
        <v>1978.9</v>
      </c>
      <c r="K224" s="3">
        <v>1448.15</v>
      </c>
      <c r="L224" s="4">
        <v>4783036</v>
      </c>
      <c r="M224" s="3">
        <v>9231150800.3999996</v>
      </c>
      <c r="N224" s="4">
        <v>116301</v>
      </c>
      <c r="O224">
        <f t="shared" si="3"/>
        <v>7.1357883223083585E-3</v>
      </c>
    </row>
    <row r="225" spans="1:15" ht="14.25" customHeight="1" x14ac:dyDescent="0.3">
      <c r="A225" s="2">
        <v>45803</v>
      </c>
      <c r="B225" t="s">
        <v>15</v>
      </c>
      <c r="C225" s="3">
        <v>1935</v>
      </c>
      <c r="D225" s="3">
        <v>1949.9</v>
      </c>
      <c r="E225" s="3">
        <v>1926.9</v>
      </c>
      <c r="F225" s="3">
        <v>1933.6</v>
      </c>
      <c r="G225" s="3">
        <v>1940.3</v>
      </c>
      <c r="H225" s="3">
        <v>1940.2</v>
      </c>
      <c r="I225" s="3">
        <v>1939.47</v>
      </c>
      <c r="J225" s="3">
        <v>1978.9</v>
      </c>
      <c r="K225" s="3">
        <v>1454</v>
      </c>
      <c r="L225" s="4">
        <v>5401430</v>
      </c>
      <c r="M225" s="3">
        <v>10475911940.9</v>
      </c>
      <c r="N225" s="4">
        <v>201842</v>
      </c>
      <c r="O225">
        <f t="shared" si="3"/>
        <v>3.413322300372433E-3</v>
      </c>
    </row>
    <row r="226" spans="1:15" ht="14.25" customHeight="1" x14ac:dyDescent="0.3">
      <c r="A226" s="2">
        <v>45804</v>
      </c>
      <c r="B226" t="s">
        <v>15</v>
      </c>
      <c r="C226" s="3">
        <v>1931.6</v>
      </c>
      <c r="D226" s="3">
        <v>1948</v>
      </c>
      <c r="E226" s="3">
        <v>1916.3</v>
      </c>
      <c r="F226" s="3">
        <v>1940.2</v>
      </c>
      <c r="G226" s="3">
        <v>1926.8</v>
      </c>
      <c r="H226" s="3">
        <v>1926.3</v>
      </c>
      <c r="I226" s="3">
        <v>1927.12</v>
      </c>
      <c r="J226" s="3">
        <v>1978.9</v>
      </c>
      <c r="K226" s="3">
        <v>1454</v>
      </c>
      <c r="L226" s="4">
        <v>13081074</v>
      </c>
      <c r="M226" s="3">
        <v>25208751300.700001</v>
      </c>
      <c r="N226" s="4">
        <v>202672</v>
      </c>
      <c r="O226">
        <f t="shared" si="3"/>
        <v>-7.1642098752706376E-3</v>
      </c>
    </row>
    <row r="227" spans="1:15" ht="14.25" customHeight="1" x14ac:dyDescent="0.3">
      <c r="A227" s="2">
        <v>45805</v>
      </c>
      <c r="B227" t="s">
        <v>15</v>
      </c>
      <c r="C227" s="3">
        <v>1920.2</v>
      </c>
      <c r="D227" s="3">
        <v>1934.5</v>
      </c>
      <c r="E227" s="3">
        <v>1917.7</v>
      </c>
      <c r="F227" s="3">
        <v>1926.3</v>
      </c>
      <c r="G227" s="3">
        <v>1928.4</v>
      </c>
      <c r="H227" s="3">
        <v>1923.5</v>
      </c>
      <c r="I227" s="3">
        <v>1922.92</v>
      </c>
      <c r="J227" s="3">
        <v>1978.9</v>
      </c>
      <c r="K227" s="3">
        <v>1454</v>
      </c>
      <c r="L227" s="4">
        <v>9078797</v>
      </c>
      <c r="M227" s="3">
        <v>17457806722.099998</v>
      </c>
      <c r="N227" s="4">
        <v>179687</v>
      </c>
      <c r="O227">
        <f t="shared" si="3"/>
        <v>-1.4535638270258811E-3</v>
      </c>
    </row>
    <row r="228" spans="1:15" ht="14.25" customHeight="1" x14ac:dyDescent="0.3">
      <c r="A228" s="2">
        <v>45806</v>
      </c>
      <c r="B228" t="s">
        <v>15</v>
      </c>
      <c r="C228" s="3">
        <v>1928</v>
      </c>
      <c r="D228" s="3">
        <v>1940.8</v>
      </c>
      <c r="E228" s="3">
        <v>1907.3</v>
      </c>
      <c r="F228" s="3">
        <v>1923.5</v>
      </c>
      <c r="G228" s="3">
        <v>1937.6</v>
      </c>
      <c r="H228" s="3">
        <v>1927.5</v>
      </c>
      <c r="I228" s="3">
        <v>1921.28</v>
      </c>
      <c r="J228" s="3">
        <v>1978.9</v>
      </c>
      <c r="K228" s="3">
        <v>1454</v>
      </c>
      <c r="L228" s="4">
        <v>14458897</v>
      </c>
      <c r="M228" s="3">
        <v>27779560938.599998</v>
      </c>
      <c r="N228" s="4">
        <v>215462</v>
      </c>
      <c r="O228">
        <f t="shared" si="3"/>
        <v>2.0795425006498568E-3</v>
      </c>
    </row>
    <row r="229" spans="1:15" ht="14.25" customHeight="1" x14ac:dyDescent="0.3">
      <c r="A229" s="2">
        <v>45807</v>
      </c>
      <c r="B229" t="s">
        <v>15</v>
      </c>
      <c r="C229" s="3">
        <v>1931.9</v>
      </c>
      <c r="D229" s="3">
        <v>1948.8</v>
      </c>
      <c r="E229" s="3">
        <v>1925.4</v>
      </c>
      <c r="F229" s="3">
        <v>1927.5</v>
      </c>
      <c r="G229" s="3">
        <v>1941.5</v>
      </c>
      <c r="H229" s="3">
        <v>1944.9</v>
      </c>
      <c r="I229" s="3">
        <v>1939.36</v>
      </c>
      <c r="J229" s="3">
        <v>1978.9</v>
      </c>
      <c r="K229" s="3">
        <v>1454</v>
      </c>
      <c r="L229" s="4">
        <v>14374039</v>
      </c>
      <c r="M229" s="3">
        <v>27876395261.099998</v>
      </c>
      <c r="N229" s="4">
        <v>152055</v>
      </c>
      <c r="O229">
        <f t="shared" si="3"/>
        <v>9.0272373540856501E-3</v>
      </c>
    </row>
    <row r="230" spans="1:15" ht="14.25" customHeight="1" x14ac:dyDescent="0.3">
      <c r="A230" s="2">
        <v>45810</v>
      </c>
      <c r="B230" t="s">
        <v>15</v>
      </c>
      <c r="C230" s="3">
        <v>1930.1</v>
      </c>
      <c r="D230" s="3">
        <v>1936</v>
      </c>
      <c r="E230" s="3">
        <v>1908</v>
      </c>
      <c r="F230" s="3">
        <v>1944.9</v>
      </c>
      <c r="G230" s="3">
        <v>1931</v>
      </c>
      <c r="H230" s="3">
        <v>1932.1</v>
      </c>
      <c r="I230" s="3">
        <v>1924.65</v>
      </c>
      <c r="J230" s="3">
        <v>1978.9</v>
      </c>
      <c r="K230" s="3">
        <v>1454</v>
      </c>
      <c r="L230" s="4">
        <v>7334411</v>
      </c>
      <c r="M230" s="3">
        <v>14116152681.299999</v>
      </c>
      <c r="N230" s="4">
        <v>202297</v>
      </c>
      <c r="O230">
        <f t="shared" si="3"/>
        <v>-6.5813152347165308E-3</v>
      </c>
    </row>
    <row r="231" spans="1:15" ht="14.25" customHeight="1" x14ac:dyDescent="0.3">
      <c r="A231" s="2">
        <v>45811</v>
      </c>
      <c r="B231" t="s">
        <v>15</v>
      </c>
      <c r="C231" s="3">
        <v>1938</v>
      </c>
      <c r="D231" s="3">
        <v>1952</v>
      </c>
      <c r="E231" s="3">
        <v>1920</v>
      </c>
      <c r="F231" s="3">
        <v>1932.1</v>
      </c>
      <c r="G231" s="3">
        <v>1923.5</v>
      </c>
      <c r="H231" s="3">
        <v>1924.6</v>
      </c>
      <c r="I231" s="3">
        <v>1933.85</v>
      </c>
      <c r="J231" s="3">
        <v>1978.9</v>
      </c>
      <c r="K231" s="3">
        <v>1454</v>
      </c>
      <c r="L231" s="4">
        <v>12188792</v>
      </c>
      <c r="M231" s="3">
        <v>23571332796.700001</v>
      </c>
      <c r="N231" s="4">
        <v>202204</v>
      </c>
      <c r="O231">
        <f t="shared" si="3"/>
        <v>-3.8817866570053311E-3</v>
      </c>
    </row>
    <row r="232" spans="1:15" ht="14.25" customHeight="1" x14ac:dyDescent="0.3">
      <c r="A232" s="2">
        <v>45812</v>
      </c>
      <c r="B232" t="s">
        <v>15</v>
      </c>
      <c r="C232" s="3">
        <v>1921</v>
      </c>
      <c r="D232" s="3">
        <v>1943.3</v>
      </c>
      <c r="E232" s="3">
        <v>1920.9</v>
      </c>
      <c r="F232" s="3">
        <v>1924.6</v>
      </c>
      <c r="G232" s="3">
        <v>1939.5</v>
      </c>
      <c r="H232" s="3">
        <v>1941.2</v>
      </c>
      <c r="I232" s="3">
        <v>1935.52</v>
      </c>
      <c r="J232" s="3">
        <v>1978.9</v>
      </c>
      <c r="K232" s="3">
        <v>1454</v>
      </c>
      <c r="L232" s="4">
        <v>6480771</v>
      </c>
      <c r="M232" s="3">
        <v>12543693178.6</v>
      </c>
      <c r="N232" s="4">
        <v>205372</v>
      </c>
      <c r="O232">
        <f t="shared" si="3"/>
        <v>8.6251688662579949E-3</v>
      </c>
    </row>
    <row r="233" spans="1:15" ht="14.25" customHeight="1" x14ac:dyDescent="0.3">
      <c r="A233" s="2">
        <v>45813</v>
      </c>
      <c r="B233" t="s">
        <v>15</v>
      </c>
      <c r="C233" s="3">
        <v>1948</v>
      </c>
      <c r="D233" s="3">
        <v>1958.9</v>
      </c>
      <c r="E233" s="3">
        <v>1940.2</v>
      </c>
      <c r="F233" s="3">
        <v>1941.2</v>
      </c>
      <c r="G233" s="3">
        <v>1952</v>
      </c>
      <c r="H233" s="3">
        <v>1949.6</v>
      </c>
      <c r="I233" s="3">
        <v>1950.15</v>
      </c>
      <c r="J233" s="3">
        <v>1978.9</v>
      </c>
      <c r="K233" s="3">
        <v>1454</v>
      </c>
      <c r="L233" s="4">
        <v>11127709</v>
      </c>
      <c r="M233" s="3">
        <v>21700698216.200001</v>
      </c>
      <c r="N233" s="4">
        <v>216860</v>
      </c>
      <c r="O233">
        <f t="shared" si="3"/>
        <v>4.327220276117795E-3</v>
      </c>
    </row>
    <row r="234" spans="1:15" ht="14.25" customHeight="1" x14ac:dyDescent="0.3">
      <c r="A234" s="2">
        <v>45814</v>
      </c>
      <c r="B234" t="s">
        <v>15</v>
      </c>
      <c r="C234" s="3">
        <v>1944</v>
      </c>
      <c r="D234" s="3">
        <v>1996.3</v>
      </c>
      <c r="E234" s="3">
        <v>1942.7</v>
      </c>
      <c r="F234" s="3">
        <v>1949.6</v>
      </c>
      <c r="G234" s="3">
        <v>1978</v>
      </c>
      <c r="H234" s="3">
        <v>1978.7</v>
      </c>
      <c r="I234" s="3">
        <v>1976.03</v>
      </c>
      <c r="J234" s="3">
        <v>1996.3</v>
      </c>
      <c r="K234" s="3">
        <v>1454</v>
      </c>
      <c r="L234" s="4">
        <v>15063504</v>
      </c>
      <c r="M234" s="3">
        <v>29765991590.299999</v>
      </c>
      <c r="N234" s="4">
        <v>354572</v>
      </c>
      <c r="O234">
        <f t="shared" si="3"/>
        <v>1.4926138695117018E-2</v>
      </c>
    </row>
    <row r="235" spans="1:15" ht="14.25" customHeight="1" x14ac:dyDescent="0.3">
      <c r="A235" s="2">
        <v>45817</v>
      </c>
      <c r="B235" t="s">
        <v>15</v>
      </c>
      <c r="C235" s="3">
        <v>1995</v>
      </c>
      <c r="D235" s="3">
        <v>1995</v>
      </c>
      <c r="E235" s="3">
        <v>1975.9</v>
      </c>
      <c r="F235" s="3">
        <v>1978.7</v>
      </c>
      <c r="G235" s="3">
        <v>1980.1</v>
      </c>
      <c r="H235" s="3">
        <v>1978.9</v>
      </c>
      <c r="I235" s="3">
        <v>1982.15</v>
      </c>
      <c r="J235" s="3">
        <v>1996.3</v>
      </c>
      <c r="K235" s="3">
        <v>1552.2</v>
      </c>
      <c r="L235" s="4">
        <v>6601294</v>
      </c>
      <c r="M235" s="3">
        <v>13084780209.799999</v>
      </c>
      <c r="N235" s="4">
        <v>203285</v>
      </c>
      <c r="O235">
        <f t="shared" si="3"/>
        <v>1.0107646434530019E-4</v>
      </c>
    </row>
    <row r="236" spans="1:15" ht="14.25" customHeight="1" x14ac:dyDescent="0.3">
      <c r="A236" s="2">
        <v>45818</v>
      </c>
      <c r="B236" t="s">
        <v>15</v>
      </c>
      <c r="C236" s="3">
        <v>1982.8</v>
      </c>
      <c r="D236" s="3">
        <v>1982.8</v>
      </c>
      <c r="E236" s="3">
        <v>1961.1</v>
      </c>
      <c r="F236" s="3">
        <v>1978.9</v>
      </c>
      <c r="G236" s="3">
        <v>1962.8</v>
      </c>
      <c r="H236" s="3">
        <v>1965.3</v>
      </c>
      <c r="I236" s="3">
        <v>1967.94</v>
      </c>
      <c r="J236" s="3">
        <v>1996.3</v>
      </c>
      <c r="K236" s="3">
        <v>1552.2</v>
      </c>
      <c r="L236" s="4">
        <v>7766563</v>
      </c>
      <c r="M236" s="3">
        <v>15284154944.5</v>
      </c>
      <c r="N236" s="4">
        <v>281306</v>
      </c>
      <c r="O236">
        <f t="shared" si="3"/>
        <v>-6.8725049269797037E-3</v>
      </c>
    </row>
    <row r="237" spans="1:15" ht="14.25" customHeight="1" x14ac:dyDescent="0.3">
      <c r="A237" s="2">
        <v>45819</v>
      </c>
      <c r="B237" t="s">
        <v>15</v>
      </c>
      <c r="C237" s="3">
        <v>1967.6</v>
      </c>
      <c r="D237" s="3">
        <v>1967.6</v>
      </c>
      <c r="E237" s="3">
        <v>1947</v>
      </c>
      <c r="F237" s="3">
        <v>1965.3</v>
      </c>
      <c r="G237" s="3">
        <v>1947.9</v>
      </c>
      <c r="H237" s="3">
        <v>1950.4</v>
      </c>
      <c r="I237" s="3">
        <v>1956.28</v>
      </c>
      <c r="J237" s="3">
        <v>1996.3</v>
      </c>
      <c r="K237" s="3">
        <v>1552.2</v>
      </c>
      <c r="L237" s="4">
        <v>5548197</v>
      </c>
      <c r="M237" s="3">
        <v>10853832767</v>
      </c>
      <c r="N237" s="4">
        <v>181762</v>
      </c>
      <c r="O237">
        <f t="shared" si="3"/>
        <v>-7.5815397140385002E-3</v>
      </c>
    </row>
    <row r="238" spans="1:15" ht="14.25" customHeight="1" x14ac:dyDescent="0.3">
      <c r="A238" s="2">
        <v>45820</v>
      </c>
      <c r="B238" t="s">
        <v>15</v>
      </c>
      <c r="C238" s="3">
        <v>1950</v>
      </c>
      <c r="D238" s="3">
        <v>1961</v>
      </c>
      <c r="E238" s="3">
        <v>1935.3</v>
      </c>
      <c r="F238" s="3">
        <v>1950.4</v>
      </c>
      <c r="G238" s="3">
        <v>1940</v>
      </c>
      <c r="H238" s="3">
        <v>1943.4</v>
      </c>
      <c r="I238" s="3">
        <v>1945.18</v>
      </c>
      <c r="J238" s="3">
        <v>1996.3</v>
      </c>
      <c r="K238" s="3">
        <v>1552.2</v>
      </c>
      <c r="L238" s="4">
        <v>8174565</v>
      </c>
      <c r="M238" s="3">
        <v>15901014848.9</v>
      </c>
      <c r="N238" s="4">
        <v>179174</v>
      </c>
      <c r="O238">
        <f t="shared" si="3"/>
        <v>-3.5890073831009021E-3</v>
      </c>
    </row>
    <row r="239" spans="1:15" ht="14.25" customHeight="1" x14ac:dyDescent="0.3">
      <c r="A239" s="2">
        <v>45821</v>
      </c>
      <c r="B239" t="s">
        <v>15</v>
      </c>
      <c r="C239" s="3">
        <v>1920</v>
      </c>
      <c r="D239" s="3">
        <v>1933</v>
      </c>
      <c r="E239" s="3">
        <v>1913</v>
      </c>
      <c r="F239" s="3">
        <v>1943.4</v>
      </c>
      <c r="G239" s="3">
        <v>1919.5</v>
      </c>
      <c r="H239" s="3">
        <v>1917.6</v>
      </c>
      <c r="I239" s="3">
        <v>1920.08</v>
      </c>
      <c r="J239" s="3">
        <v>1996.3</v>
      </c>
      <c r="K239" s="3">
        <v>1552.2</v>
      </c>
      <c r="L239" s="4">
        <v>6058881</v>
      </c>
      <c r="M239" s="3">
        <v>11633522704.6</v>
      </c>
      <c r="N239" s="4">
        <v>187789</v>
      </c>
      <c r="O239">
        <f t="shared" si="3"/>
        <v>-1.3275702377277031E-2</v>
      </c>
    </row>
    <row r="240" spans="1:15" ht="14.25" customHeight="1" x14ac:dyDescent="0.3">
      <c r="A240" s="2">
        <v>45824</v>
      </c>
      <c r="B240" t="s">
        <v>15</v>
      </c>
      <c r="C240" s="3">
        <v>1924</v>
      </c>
      <c r="D240" s="3">
        <v>1938.9</v>
      </c>
      <c r="E240" s="3">
        <v>1920.1</v>
      </c>
      <c r="F240" s="3">
        <v>1917.6</v>
      </c>
      <c r="G240" s="3">
        <v>1936.9</v>
      </c>
      <c r="H240" s="3">
        <v>1935.4</v>
      </c>
      <c r="I240" s="3">
        <v>1933.31</v>
      </c>
      <c r="J240" s="3">
        <v>1996.3</v>
      </c>
      <c r="K240" s="3">
        <v>1588.05</v>
      </c>
      <c r="L240" s="4">
        <v>8256873</v>
      </c>
      <c r="M240" s="3">
        <v>15963122374.700001</v>
      </c>
      <c r="N240" s="4">
        <v>199177</v>
      </c>
      <c r="O240">
        <f t="shared" si="3"/>
        <v>9.282436378806937E-3</v>
      </c>
    </row>
    <row r="241" spans="1:15" ht="14.25" customHeight="1" x14ac:dyDescent="0.3">
      <c r="A241" s="2">
        <v>45825</v>
      </c>
      <c r="B241" t="s">
        <v>15</v>
      </c>
      <c r="C241" s="3">
        <v>1937</v>
      </c>
      <c r="D241" s="3">
        <v>1941.6</v>
      </c>
      <c r="E241" s="3">
        <v>1919.1</v>
      </c>
      <c r="F241" s="3">
        <v>1935.4</v>
      </c>
      <c r="G241" s="3">
        <v>1926</v>
      </c>
      <c r="H241" s="3">
        <v>1929.6</v>
      </c>
      <c r="I241" s="3">
        <v>1927.55</v>
      </c>
      <c r="J241" s="3">
        <v>1996.3</v>
      </c>
      <c r="K241" s="3">
        <v>1588.05</v>
      </c>
      <c r="L241" s="4">
        <v>8489368</v>
      </c>
      <c r="M241" s="3">
        <v>16363691276.799999</v>
      </c>
      <c r="N241" s="4">
        <v>219738</v>
      </c>
      <c r="O241">
        <f t="shared" si="3"/>
        <v>-2.9967965278496341E-3</v>
      </c>
    </row>
    <row r="242" spans="1:15" ht="14.25" customHeight="1" x14ac:dyDescent="0.3">
      <c r="A242" s="2">
        <v>45826</v>
      </c>
      <c r="B242" t="s">
        <v>15</v>
      </c>
      <c r="C242" s="3">
        <v>1917</v>
      </c>
      <c r="D242" s="3">
        <v>1936.3</v>
      </c>
      <c r="E242" s="3">
        <v>1917</v>
      </c>
      <c r="F242" s="3">
        <v>1929.6</v>
      </c>
      <c r="G242" s="3">
        <v>1932.5</v>
      </c>
      <c r="H242" s="3">
        <v>1933.9</v>
      </c>
      <c r="I242" s="3">
        <v>1928.12</v>
      </c>
      <c r="J242" s="3">
        <v>1996.3</v>
      </c>
      <c r="K242" s="3">
        <v>1588.05</v>
      </c>
      <c r="L242" s="4">
        <v>9216908</v>
      </c>
      <c r="M242" s="3">
        <v>17771302525.400002</v>
      </c>
      <c r="N242" s="4">
        <v>251910</v>
      </c>
      <c r="O242">
        <f t="shared" si="3"/>
        <v>2.2284411276949534E-3</v>
      </c>
    </row>
    <row r="243" spans="1:15" ht="14.25" customHeight="1" x14ac:dyDescent="0.3">
      <c r="A243" s="2">
        <v>45827</v>
      </c>
      <c r="B243" t="s">
        <v>15</v>
      </c>
      <c r="C243" s="3">
        <v>1933.9</v>
      </c>
      <c r="D243" s="3">
        <v>1946.8</v>
      </c>
      <c r="E243" s="3">
        <v>1925.6</v>
      </c>
      <c r="F243" s="3">
        <v>1933.9</v>
      </c>
      <c r="G243" s="3">
        <v>1933.1</v>
      </c>
      <c r="H243" s="3">
        <v>1935.3</v>
      </c>
      <c r="I243" s="3">
        <v>1937.61</v>
      </c>
      <c r="J243" s="3">
        <v>1996.3</v>
      </c>
      <c r="K243" s="3">
        <v>1588.05</v>
      </c>
      <c r="L243" s="4">
        <v>8438110</v>
      </c>
      <c r="M243" s="3">
        <v>16349732658.700001</v>
      </c>
      <c r="N243" s="4">
        <v>202215</v>
      </c>
      <c r="O243">
        <f t="shared" si="3"/>
        <v>7.2392574590199256E-4</v>
      </c>
    </row>
    <row r="244" spans="1:15" ht="14.25" customHeight="1" x14ac:dyDescent="0.3">
      <c r="A244" s="2">
        <v>45828</v>
      </c>
      <c r="B244" t="s">
        <v>15</v>
      </c>
      <c r="C244" s="3">
        <v>1931.6</v>
      </c>
      <c r="D244" s="3">
        <v>1969.9</v>
      </c>
      <c r="E244" s="3">
        <v>1931.6</v>
      </c>
      <c r="F244" s="3">
        <v>1935.3</v>
      </c>
      <c r="G244" s="3">
        <v>1963.1</v>
      </c>
      <c r="H244" s="3">
        <v>1964.7</v>
      </c>
      <c r="I244" s="3">
        <v>1960.39</v>
      </c>
      <c r="J244" s="3">
        <v>1996.3</v>
      </c>
      <c r="K244" s="3">
        <v>1588.05</v>
      </c>
      <c r="L244" s="4">
        <v>16450204</v>
      </c>
      <c r="M244" s="3">
        <v>32248839586.400002</v>
      </c>
      <c r="N244" s="4">
        <v>261970</v>
      </c>
      <c r="O244">
        <f t="shared" si="3"/>
        <v>1.5191443187102822E-2</v>
      </c>
    </row>
    <row r="245" spans="1:15" ht="14.25" customHeight="1" x14ac:dyDescent="0.3">
      <c r="A245" s="2">
        <v>45831</v>
      </c>
      <c r="B245" t="s">
        <v>15</v>
      </c>
      <c r="C245" s="3">
        <v>1948.4</v>
      </c>
      <c r="D245" s="3">
        <v>1957.9</v>
      </c>
      <c r="E245" s="3">
        <v>1941.8</v>
      </c>
      <c r="F245" s="3">
        <v>1964.7</v>
      </c>
      <c r="G245" s="3">
        <v>1948.1</v>
      </c>
      <c r="H245" s="3">
        <v>1948.4</v>
      </c>
      <c r="I245" s="3">
        <v>1948.19</v>
      </c>
      <c r="J245" s="3">
        <v>1996.3</v>
      </c>
      <c r="K245" s="3">
        <v>1588.05</v>
      </c>
      <c r="L245" s="4">
        <v>5869759</v>
      </c>
      <c r="M245" s="3">
        <v>11435395881.1</v>
      </c>
      <c r="N245" s="4">
        <v>176324</v>
      </c>
      <c r="O245">
        <f t="shared" si="3"/>
        <v>-8.296432025245562E-3</v>
      </c>
    </row>
    <row r="246" spans="1:15" ht="14.25" customHeight="1" x14ac:dyDescent="0.3">
      <c r="A246" s="2">
        <v>45832</v>
      </c>
      <c r="B246" t="s">
        <v>15</v>
      </c>
      <c r="C246" s="3">
        <v>1965</v>
      </c>
      <c r="D246" s="3">
        <v>1979</v>
      </c>
      <c r="E246" s="3">
        <v>1955.6</v>
      </c>
      <c r="F246" s="3">
        <v>1948.4</v>
      </c>
      <c r="G246" s="3">
        <v>1963.7</v>
      </c>
      <c r="H246" s="3">
        <v>1960.9</v>
      </c>
      <c r="I246" s="3">
        <v>1964.12</v>
      </c>
      <c r="J246" s="3">
        <v>1996.3</v>
      </c>
      <c r="K246" s="3">
        <v>1588.05</v>
      </c>
      <c r="L246" s="4">
        <v>11312661</v>
      </c>
      <c r="M246" s="3">
        <v>22219442191.5</v>
      </c>
      <c r="N246" s="4">
        <v>231814</v>
      </c>
      <c r="O246">
        <f t="shared" si="3"/>
        <v>6.415520427017039E-3</v>
      </c>
    </row>
    <row r="247" spans="1:15" ht="14.25" customHeight="1" x14ac:dyDescent="0.3">
      <c r="A247" s="2">
        <v>45833</v>
      </c>
      <c r="B247" t="s">
        <v>15</v>
      </c>
      <c r="C247" s="3">
        <v>1966</v>
      </c>
      <c r="D247" s="3">
        <v>1982</v>
      </c>
      <c r="E247" s="3">
        <v>1963.9</v>
      </c>
      <c r="F247" s="3">
        <v>1960.9</v>
      </c>
      <c r="G247" s="3">
        <v>1980</v>
      </c>
      <c r="H247" s="3">
        <v>1980.2</v>
      </c>
      <c r="I247" s="3">
        <v>1977.13</v>
      </c>
      <c r="J247" s="3">
        <v>1996.3</v>
      </c>
      <c r="K247" s="3">
        <v>1588.05</v>
      </c>
      <c r="L247" s="4">
        <v>9202966</v>
      </c>
      <c r="M247" s="3">
        <v>18195446515.700001</v>
      </c>
      <c r="N247" s="4">
        <v>206190</v>
      </c>
      <c r="O247">
        <f t="shared" si="3"/>
        <v>9.8424192972614375E-3</v>
      </c>
    </row>
    <row r="248" spans="1:15" ht="14.25" customHeight="1" x14ac:dyDescent="0.3">
      <c r="A248" s="2">
        <v>45834</v>
      </c>
      <c r="B248" t="s">
        <v>15</v>
      </c>
      <c r="C248" s="3">
        <v>1981.4</v>
      </c>
      <c r="D248" s="3">
        <v>2027.1</v>
      </c>
      <c r="E248" s="3">
        <v>1980</v>
      </c>
      <c r="F248" s="3">
        <v>1980.2</v>
      </c>
      <c r="G248" s="3">
        <v>2017.7</v>
      </c>
      <c r="H248" s="3">
        <v>2021.8</v>
      </c>
      <c r="I248" s="3">
        <v>2011.21</v>
      </c>
      <c r="J248" s="3">
        <v>2027.1</v>
      </c>
      <c r="K248" s="3">
        <v>1588.05</v>
      </c>
      <c r="L248" s="4">
        <v>25042415</v>
      </c>
      <c r="M248" s="3">
        <v>50365656414.5</v>
      </c>
      <c r="N248" s="4">
        <v>343662</v>
      </c>
      <c r="O248">
        <f t="shared" si="3"/>
        <v>2.1007978992020962E-2</v>
      </c>
    </row>
    <row r="249" spans="1:15" ht="14.25" customHeight="1" x14ac:dyDescent="0.3">
      <c r="A249" s="2">
        <v>45835</v>
      </c>
      <c r="B249" t="s">
        <v>15</v>
      </c>
      <c r="C249" s="3">
        <v>2013</v>
      </c>
      <c r="D249" s="3">
        <v>2019.8</v>
      </c>
      <c r="E249" s="3">
        <v>1993.4</v>
      </c>
      <c r="F249" s="3">
        <v>2021.8</v>
      </c>
      <c r="G249" s="3">
        <v>2011.5</v>
      </c>
      <c r="H249" s="3">
        <v>2014.9</v>
      </c>
      <c r="I249" s="3">
        <v>2011.75</v>
      </c>
      <c r="J249" s="3">
        <v>2027.1</v>
      </c>
      <c r="K249" s="3">
        <v>1588.05</v>
      </c>
      <c r="L249" s="4">
        <v>14106692</v>
      </c>
      <c r="M249" s="3">
        <v>28379071385.700001</v>
      </c>
      <c r="N249" s="4">
        <v>226961</v>
      </c>
      <c r="O249">
        <f t="shared" si="3"/>
        <v>-3.4128004748243466E-3</v>
      </c>
    </row>
    <row r="250" spans="1:15" ht="14.25" customHeight="1" x14ac:dyDescent="0.3">
      <c r="A250" s="2">
        <v>45838</v>
      </c>
      <c r="B250" t="s">
        <v>15</v>
      </c>
      <c r="C250" s="3">
        <v>2011.5</v>
      </c>
      <c r="D250" s="3">
        <v>2013.8</v>
      </c>
      <c r="E250" s="3">
        <v>1995.5</v>
      </c>
      <c r="F250" s="3">
        <v>2014.9</v>
      </c>
      <c r="G250" s="3">
        <v>2000</v>
      </c>
      <c r="H250" s="3">
        <v>2001.5</v>
      </c>
      <c r="I250" s="3">
        <v>2001.16</v>
      </c>
      <c r="J250" s="3">
        <v>2027.1</v>
      </c>
      <c r="K250" s="3">
        <v>1588.05</v>
      </c>
      <c r="L250" s="4">
        <v>6824510</v>
      </c>
      <c r="M250" s="3">
        <v>13656939181</v>
      </c>
      <c r="N250" s="4">
        <v>199780</v>
      </c>
      <c r="O250">
        <f t="shared" si="3"/>
        <v>-6.6504541168296641E-3</v>
      </c>
    </row>
    <row r="251" spans="1:15" ht="14.25" customHeight="1" x14ac:dyDescent="0.3">
      <c r="A251" s="2">
        <v>45839</v>
      </c>
      <c r="B251" t="s">
        <v>15</v>
      </c>
      <c r="C251" s="3">
        <v>2005</v>
      </c>
      <c r="D251" s="3">
        <v>2016</v>
      </c>
      <c r="E251" s="3">
        <v>2004</v>
      </c>
      <c r="F251" s="3">
        <v>2001.5</v>
      </c>
      <c r="G251" s="3">
        <v>2011.1</v>
      </c>
      <c r="H251" s="3">
        <v>2012.1</v>
      </c>
      <c r="I251" s="3">
        <v>2010.15</v>
      </c>
      <c r="J251" s="3">
        <v>2027.1</v>
      </c>
      <c r="K251" s="3">
        <v>1588.05</v>
      </c>
      <c r="L251" s="4">
        <v>7194693</v>
      </c>
      <c r="M251" s="3">
        <v>14462421818.6</v>
      </c>
      <c r="N251" s="4">
        <v>169976</v>
      </c>
      <c r="O251">
        <f t="shared" si="3"/>
        <v>5.2960279790156923E-3</v>
      </c>
    </row>
    <row r="252" spans="1:15" ht="14.25" customHeight="1" x14ac:dyDescent="0.3">
      <c r="A252" s="2">
        <v>45840</v>
      </c>
      <c r="B252" t="s">
        <v>15</v>
      </c>
      <c r="C252" s="3">
        <v>2019.9</v>
      </c>
      <c r="D252" s="3">
        <v>2019.9</v>
      </c>
      <c r="E252" s="3">
        <v>1977.9</v>
      </c>
      <c r="F252" s="3">
        <v>2012.1</v>
      </c>
      <c r="G252" s="3">
        <v>1985.5</v>
      </c>
      <c r="H252" s="3">
        <v>1986</v>
      </c>
      <c r="I252" s="3">
        <v>1990.25</v>
      </c>
      <c r="J252" s="3">
        <v>2027.1</v>
      </c>
      <c r="K252" s="3">
        <v>1588.05</v>
      </c>
      <c r="L252" s="4">
        <v>9439125</v>
      </c>
      <c r="M252" s="3">
        <v>18786219250.599998</v>
      </c>
      <c r="N252" s="4">
        <v>268429</v>
      </c>
      <c r="O252">
        <f t="shared" si="3"/>
        <v>-1.2971522290144581E-2</v>
      </c>
    </row>
    <row r="253" spans="1:15" ht="14.25" customHeight="1" x14ac:dyDescent="0.3">
      <c r="A253" s="2">
        <v>45841</v>
      </c>
      <c r="B253" t="s">
        <v>15</v>
      </c>
      <c r="C253" s="3">
        <v>1994.9</v>
      </c>
      <c r="D253" s="3">
        <v>2008</v>
      </c>
      <c r="E253" s="3">
        <v>1984.3</v>
      </c>
      <c r="F253" s="3">
        <v>1986</v>
      </c>
      <c r="G253" s="3">
        <v>1985.9</v>
      </c>
      <c r="H253" s="3">
        <v>1987.1</v>
      </c>
      <c r="I253" s="3">
        <v>1993.22</v>
      </c>
      <c r="J253" s="3">
        <v>2027.1</v>
      </c>
      <c r="K253" s="3">
        <v>1588.05</v>
      </c>
      <c r="L253" s="4">
        <v>8430253</v>
      </c>
      <c r="M253" s="3">
        <v>16803371805.6</v>
      </c>
      <c r="N253" s="4">
        <v>182242</v>
      </c>
      <c r="O253">
        <f t="shared" si="3"/>
        <v>5.5387713997981326E-4</v>
      </c>
    </row>
    <row r="254" spans="1:15" ht="14.25" customHeight="1" x14ac:dyDescent="0.3">
      <c r="A254" s="2">
        <v>45842</v>
      </c>
      <c r="B254" t="s">
        <v>15</v>
      </c>
      <c r="C254" s="3">
        <v>1987.1</v>
      </c>
      <c r="D254" s="3">
        <v>2003.5</v>
      </c>
      <c r="E254" s="3">
        <v>1980</v>
      </c>
      <c r="F254" s="3">
        <v>1987.1</v>
      </c>
      <c r="G254" s="3">
        <v>1992.7</v>
      </c>
      <c r="H254" s="3">
        <v>1989.3</v>
      </c>
      <c r="I254" s="3">
        <v>1987.51</v>
      </c>
      <c r="J254" s="3">
        <v>2027.1</v>
      </c>
      <c r="K254" s="3">
        <v>1588.05</v>
      </c>
      <c r="L254" s="4">
        <v>3931972</v>
      </c>
      <c r="M254" s="3">
        <v>7814832915.6000004</v>
      </c>
      <c r="N254" s="4">
        <v>150676</v>
      </c>
      <c r="O254">
        <f t="shared" si="3"/>
        <v>1.1071410598359648E-3</v>
      </c>
    </row>
    <row r="255" spans="1:15" ht="14.25" customHeight="1" x14ac:dyDescent="0.3">
      <c r="A255" s="2">
        <v>45845</v>
      </c>
      <c r="B255" t="s">
        <v>15</v>
      </c>
      <c r="C255" s="3">
        <v>1989</v>
      </c>
      <c r="D255" s="3">
        <v>1998.4</v>
      </c>
      <c r="E255" s="3">
        <v>1983.8</v>
      </c>
      <c r="F255" s="3">
        <v>1989.3</v>
      </c>
      <c r="G255" s="3">
        <v>1985.5</v>
      </c>
      <c r="H255" s="3">
        <v>1987.4</v>
      </c>
      <c r="I255" s="3">
        <v>1989.37</v>
      </c>
      <c r="J255" s="3">
        <v>2027.1</v>
      </c>
      <c r="K255" s="3">
        <v>1588.05</v>
      </c>
      <c r="L255" s="4">
        <v>5674713</v>
      </c>
      <c r="M255" s="3">
        <v>11289078543</v>
      </c>
      <c r="N255" s="4">
        <v>163393</v>
      </c>
      <c r="O255">
        <f t="shared" si="3"/>
        <v>-9.5510983763125905E-4</v>
      </c>
    </row>
    <row r="256" spans="1:15" ht="14.25" customHeight="1" x14ac:dyDescent="0.3">
      <c r="A256" s="2">
        <v>45846</v>
      </c>
      <c r="B256" t="s">
        <v>15</v>
      </c>
      <c r="C256" s="3">
        <v>1977</v>
      </c>
      <c r="D256" s="3">
        <v>2005</v>
      </c>
      <c r="E256" s="3">
        <v>1977</v>
      </c>
      <c r="F256" s="3">
        <v>1987.4</v>
      </c>
      <c r="G256" s="3">
        <v>1999.4</v>
      </c>
      <c r="H256" s="3">
        <v>2001.4</v>
      </c>
      <c r="I256" s="3">
        <v>1992.88</v>
      </c>
      <c r="J256" s="3">
        <v>2027.1</v>
      </c>
      <c r="K256" s="3">
        <v>1588.05</v>
      </c>
      <c r="L256" s="4">
        <v>7612158</v>
      </c>
      <c r="M256" s="3">
        <v>15170095365.5</v>
      </c>
      <c r="N256" s="4">
        <v>199823</v>
      </c>
      <c r="O256">
        <f t="shared" si="3"/>
        <v>7.0443795914259836E-3</v>
      </c>
    </row>
    <row r="257" spans="1:15" ht="14.25" customHeight="1" x14ac:dyDescent="0.3">
      <c r="A257" s="2">
        <v>45847</v>
      </c>
      <c r="B257" t="s">
        <v>15</v>
      </c>
      <c r="C257" s="3">
        <v>2007</v>
      </c>
      <c r="D257" s="3">
        <v>2013.8</v>
      </c>
      <c r="E257" s="3">
        <v>1998.1</v>
      </c>
      <c r="F257" s="3">
        <v>2001.4</v>
      </c>
      <c r="G257" s="3">
        <v>2008.5</v>
      </c>
      <c r="H257" s="3">
        <v>2011.2</v>
      </c>
      <c r="I257" s="3">
        <v>2007.1</v>
      </c>
      <c r="J257" s="3">
        <v>2027.1</v>
      </c>
      <c r="K257" s="3">
        <v>1588.05</v>
      </c>
      <c r="L257" s="4">
        <v>6930714</v>
      </c>
      <c r="M257" s="3">
        <v>13910645549.4</v>
      </c>
      <c r="N257" s="4">
        <v>151284</v>
      </c>
      <c r="O257">
        <f t="shared" si="3"/>
        <v>4.8965723993204526E-3</v>
      </c>
    </row>
    <row r="258" spans="1:15" ht="14.25" customHeight="1" x14ac:dyDescent="0.3">
      <c r="A258" s="2">
        <v>45848</v>
      </c>
      <c r="B258" t="s">
        <v>15</v>
      </c>
      <c r="C258" s="3">
        <v>2016</v>
      </c>
      <c r="D258" s="3">
        <v>2017</v>
      </c>
      <c r="E258" s="3">
        <v>2000</v>
      </c>
      <c r="F258" s="3">
        <v>2011.2</v>
      </c>
      <c r="G258" s="3">
        <v>2002.8</v>
      </c>
      <c r="H258" s="3">
        <v>2006.2</v>
      </c>
      <c r="I258" s="3">
        <v>2008.54</v>
      </c>
      <c r="J258" s="3">
        <v>2027.1</v>
      </c>
      <c r="K258" s="3">
        <v>1588.05</v>
      </c>
      <c r="L258" s="4">
        <v>8515155</v>
      </c>
      <c r="M258" s="3">
        <v>17103052403.799999</v>
      </c>
      <c r="N258" s="4">
        <v>184619</v>
      </c>
      <c r="O258">
        <f t="shared" si="3"/>
        <v>-2.4860779634049324E-3</v>
      </c>
    </row>
    <row r="259" spans="1:15" ht="14.25" customHeight="1" x14ac:dyDescent="0.3">
      <c r="A259" s="2">
        <v>45849</v>
      </c>
      <c r="B259" t="s">
        <v>15</v>
      </c>
      <c r="C259" s="3">
        <v>1998</v>
      </c>
      <c r="D259" s="3">
        <v>2004.8</v>
      </c>
      <c r="E259" s="3">
        <v>1980.9</v>
      </c>
      <c r="F259" s="3">
        <v>2006.2</v>
      </c>
      <c r="G259" s="3">
        <v>1983</v>
      </c>
      <c r="H259" s="3">
        <v>1983.7</v>
      </c>
      <c r="I259" s="3">
        <v>1987.41</v>
      </c>
      <c r="J259" s="3">
        <v>2027.1</v>
      </c>
      <c r="K259" s="3">
        <v>1588.05</v>
      </c>
      <c r="L259" s="4">
        <v>6258461</v>
      </c>
      <c r="M259" s="3">
        <v>12438153798.200001</v>
      </c>
      <c r="N259" s="4">
        <v>125871</v>
      </c>
      <c r="O259">
        <f t="shared" ref="O259:O322" si="4">(H259-H258)/H258</f>
        <v>-1.1215232778386999E-2</v>
      </c>
    </row>
    <row r="260" spans="1:15" ht="14.25" customHeight="1" x14ac:dyDescent="0.3">
      <c r="A260" s="2">
        <v>45852</v>
      </c>
      <c r="B260" t="s">
        <v>15</v>
      </c>
      <c r="C260" s="3">
        <v>1983</v>
      </c>
      <c r="D260" s="3">
        <v>1988.7</v>
      </c>
      <c r="E260" s="3">
        <v>1970.6</v>
      </c>
      <c r="F260" s="3">
        <v>1983.7</v>
      </c>
      <c r="G260" s="3">
        <v>1982.9</v>
      </c>
      <c r="H260" s="3">
        <v>1983</v>
      </c>
      <c r="I260" s="3">
        <v>1978.8</v>
      </c>
      <c r="J260" s="3">
        <v>2027.1</v>
      </c>
      <c r="K260" s="3">
        <v>1588.05</v>
      </c>
      <c r="L260" s="4">
        <v>6544425</v>
      </c>
      <c r="M260" s="3">
        <v>12950097345.9</v>
      </c>
      <c r="N260" s="4">
        <v>132854</v>
      </c>
      <c r="O260">
        <f t="shared" si="4"/>
        <v>-3.5287593890207463E-4</v>
      </c>
    </row>
    <row r="261" spans="1:15" ht="14.25" customHeight="1" x14ac:dyDescent="0.3">
      <c r="A261" s="2">
        <v>45853</v>
      </c>
      <c r="B261" t="s">
        <v>15</v>
      </c>
      <c r="C261" s="3">
        <v>1973</v>
      </c>
      <c r="D261" s="3">
        <v>2003.6</v>
      </c>
      <c r="E261" s="3">
        <v>1973</v>
      </c>
      <c r="F261" s="3">
        <v>1983</v>
      </c>
      <c r="G261" s="3">
        <v>1998</v>
      </c>
      <c r="H261" s="3">
        <v>1995.5</v>
      </c>
      <c r="I261" s="3">
        <v>1993.02</v>
      </c>
      <c r="J261" s="3">
        <v>2027.1</v>
      </c>
      <c r="K261" s="3">
        <v>1588.05</v>
      </c>
      <c r="L261" s="4">
        <v>7249084</v>
      </c>
      <c r="M261" s="3">
        <v>14447599382.1</v>
      </c>
      <c r="N261" s="4">
        <v>157806</v>
      </c>
      <c r="O261">
        <f t="shared" si="4"/>
        <v>6.3035804336863338E-3</v>
      </c>
    </row>
    <row r="262" spans="1:15" ht="14.25" customHeight="1" x14ac:dyDescent="0.3">
      <c r="A262" s="2">
        <v>45854</v>
      </c>
      <c r="B262" t="s">
        <v>15</v>
      </c>
      <c r="C262" s="3">
        <v>2018</v>
      </c>
      <c r="D262" s="3">
        <v>2022.7</v>
      </c>
      <c r="E262" s="3">
        <v>1992.6</v>
      </c>
      <c r="F262" s="3">
        <v>1995.5</v>
      </c>
      <c r="G262" s="3">
        <v>1996</v>
      </c>
      <c r="H262" s="3">
        <v>1996.3</v>
      </c>
      <c r="I262" s="3">
        <v>2005.54</v>
      </c>
      <c r="J262" s="3">
        <v>2027.1</v>
      </c>
      <c r="K262" s="3">
        <v>1588.05</v>
      </c>
      <c r="L262" s="4">
        <v>8997306</v>
      </c>
      <c r="M262" s="3">
        <v>18044432313.400002</v>
      </c>
      <c r="N262" s="4">
        <v>216845</v>
      </c>
      <c r="O262">
        <f t="shared" si="4"/>
        <v>4.0090202956650188E-4</v>
      </c>
    </row>
    <row r="263" spans="1:15" ht="14.25" customHeight="1" x14ac:dyDescent="0.3">
      <c r="A263" s="2">
        <v>45855</v>
      </c>
      <c r="B263" t="s">
        <v>15</v>
      </c>
      <c r="C263" s="3">
        <v>2004</v>
      </c>
      <c r="D263" s="3">
        <v>2004.8</v>
      </c>
      <c r="E263" s="3">
        <v>1982.7</v>
      </c>
      <c r="F263" s="3">
        <v>1996.3</v>
      </c>
      <c r="G263" s="3">
        <v>1986</v>
      </c>
      <c r="H263" s="3">
        <v>1986.9</v>
      </c>
      <c r="I263" s="3">
        <v>1991.85</v>
      </c>
      <c r="J263" s="3">
        <v>2027.1</v>
      </c>
      <c r="K263" s="3">
        <v>1588.05</v>
      </c>
      <c r="L263" s="4">
        <v>11264579</v>
      </c>
      <c r="M263" s="3">
        <v>22437406105.599998</v>
      </c>
      <c r="N263" s="4">
        <v>256020</v>
      </c>
      <c r="O263">
        <f t="shared" si="4"/>
        <v>-4.7087111155637244E-3</v>
      </c>
    </row>
    <row r="264" spans="1:15" ht="14.25" customHeight="1" x14ac:dyDescent="0.3">
      <c r="A264" s="2">
        <v>45856</v>
      </c>
      <c r="B264" t="s">
        <v>15</v>
      </c>
      <c r="C264" s="3">
        <v>1986.9</v>
      </c>
      <c r="D264" s="3">
        <v>1997</v>
      </c>
      <c r="E264" s="3">
        <v>1953</v>
      </c>
      <c r="F264" s="3">
        <v>1986.9</v>
      </c>
      <c r="G264" s="3">
        <v>1956</v>
      </c>
      <c r="H264" s="3">
        <v>1957.4</v>
      </c>
      <c r="I264" s="3">
        <v>1968.8</v>
      </c>
      <c r="J264" s="3">
        <v>2027.1</v>
      </c>
      <c r="K264" s="3">
        <v>1588.05</v>
      </c>
      <c r="L264" s="4">
        <v>8064723</v>
      </c>
      <c r="M264" s="3">
        <v>15877808287.5</v>
      </c>
      <c r="N264" s="4">
        <v>221823</v>
      </c>
      <c r="O264">
        <f t="shared" si="4"/>
        <v>-1.4847249484120991E-2</v>
      </c>
    </row>
    <row r="265" spans="1:15" ht="14.25" customHeight="1" x14ac:dyDescent="0.3">
      <c r="A265" s="2">
        <v>45859</v>
      </c>
      <c r="B265" t="s">
        <v>15</v>
      </c>
      <c r="C265" s="3">
        <v>1978.2</v>
      </c>
      <c r="D265" s="3">
        <v>2002</v>
      </c>
      <c r="E265" s="3">
        <v>1976.5</v>
      </c>
      <c r="F265" s="3">
        <v>1957.4</v>
      </c>
      <c r="G265" s="3">
        <v>2001.5</v>
      </c>
      <c r="H265" s="3">
        <v>2000.5</v>
      </c>
      <c r="I265" s="3">
        <v>1993.45</v>
      </c>
      <c r="J265" s="3">
        <v>2027.1</v>
      </c>
      <c r="K265" s="3">
        <v>1588.05</v>
      </c>
      <c r="L265" s="4">
        <v>11154539</v>
      </c>
      <c r="M265" s="3">
        <v>22236041336.400002</v>
      </c>
      <c r="N265" s="4">
        <v>275691</v>
      </c>
      <c r="O265">
        <f t="shared" si="4"/>
        <v>2.2019004802288702E-2</v>
      </c>
    </row>
    <row r="266" spans="1:15" ht="14.25" customHeight="1" x14ac:dyDescent="0.3">
      <c r="A266" s="2">
        <v>45860</v>
      </c>
      <c r="B266" t="s">
        <v>15</v>
      </c>
      <c r="C266" s="3">
        <v>2013.1</v>
      </c>
      <c r="D266" s="3">
        <v>2018</v>
      </c>
      <c r="E266" s="3">
        <v>2003</v>
      </c>
      <c r="F266" s="3">
        <v>2000.5</v>
      </c>
      <c r="G266" s="3">
        <v>2005</v>
      </c>
      <c r="H266" s="3">
        <v>2007.1</v>
      </c>
      <c r="I266" s="3">
        <v>2009.05</v>
      </c>
      <c r="J266" s="3">
        <v>2027.1</v>
      </c>
      <c r="K266" s="3">
        <v>1588.05</v>
      </c>
      <c r="L266" s="4">
        <v>7418407</v>
      </c>
      <c r="M266" s="3">
        <v>14903939836.299999</v>
      </c>
      <c r="N266" s="4">
        <v>226727</v>
      </c>
      <c r="O266">
        <f t="shared" si="4"/>
        <v>3.2991752061984048E-3</v>
      </c>
    </row>
    <row r="267" spans="1:15" ht="14.25" customHeight="1" x14ac:dyDescent="0.3">
      <c r="A267" s="2">
        <v>45861</v>
      </c>
      <c r="B267" t="s">
        <v>15</v>
      </c>
      <c r="C267" s="3">
        <v>2011</v>
      </c>
      <c r="D267" s="3">
        <v>2029.8</v>
      </c>
      <c r="E267" s="3">
        <v>2003</v>
      </c>
      <c r="F267" s="3">
        <v>2007.1</v>
      </c>
      <c r="G267" s="3">
        <v>2024.5</v>
      </c>
      <c r="H267" s="3">
        <v>2024.3</v>
      </c>
      <c r="I267" s="3">
        <v>2019.97</v>
      </c>
      <c r="J267" s="3">
        <v>2029.8</v>
      </c>
      <c r="K267" s="3">
        <v>1588.05</v>
      </c>
      <c r="L267" s="4">
        <v>6817458</v>
      </c>
      <c r="M267" s="3">
        <v>13771089884.700001</v>
      </c>
      <c r="N267" s="4">
        <v>191989</v>
      </c>
      <c r="O267">
        <f t="shared" si="4"/>
        <v>8.5695779981067449E-3</v>
      </c>
    </row>
    <row r="268" spans="1:15" ht="14.25" customHeight="1" x14ac:dyDescent="0.3">
      <c r="A268" s="2">
        <v>45862</v>
      </c>
      <c r="B268" t="s">
        <v>15</v>
      </c>
      <c r="C268" s="3">
        <v>2037.7</v>
      </c>
      <c r="D268" s="3">
        <v>2037.7</v>
      </c>
      <c r="E268" s="3">
        <v>2008.4</v>
      </c>
      <c r="F268" s="3">
        <v>2024.3</v>
      </c>
      <c r="G268" s="3">
        <v>2011.7</v>
      </c>
      <c r="H268" s="3">
        <v>2014.2</v>
      </c>
      <c r="I268" s="3">
        <v>2019.12</v>
      </c>
      <c r="J268" s="3">
        <v>2037.7</v>
      </c>
      <c r="K268" s="3">
        <v>1588.05</v>
      </c>
      <c r="L268" s="4">
        <v>9553588</v>
      </c>
      <c r="M268" s="3">
        <v>19289876404.200001</v>
      </c>
      <c r="N268" s="4">
        <v>183573</v>
      </c>
      <c r="O268">
        <f t="shared" si="4"/>
        <v>-4.9893790446079679E-3</v>
      </c>
    </row>
    <row r="269" spans="1:15" ht="14.25" customHeight="1" x14ac:dyDescent="0.3">
      <c r="A269" s="2">
        <v>45863</v>
      </c>
      <c r="B269" t="s">
        <v>15</v>
      </c>
      <c r="C269" s="3">
        <v>2015</v>
      </c>
      <c r="D269" s="3">
        <v>2015</v>
      </c>
      <c r="E269" s="3">
        <v>1999</v>
      </c>
      <c r="F269" s="3">
        <v>2014.2</v>
      </c>
      <c r="G269" s="3">
        <v>2005</v>
      </c>
      <c r="H269" s="3">
        <v>2004.6</v>
      </c>
      <c r="I269" s="3">
        <v>2005.63</v>
      </c>
      <c r="J269" s="3">
        <v>2037.7</v>
      </c>
      <c r="K269" s="3">
        <v>1588.05</v>
      </c>
      <c r="L269" s="4">
        <v>4653299</v>
      </c>
      <c r="M269" s="3">
        <v>9332802398.7999992</v>
      </c>
      <c r="N269" s="4">
        <v>163735</v>
      </c>
      <c r="O269">
        <f t="shared" si="4"/>
        <v>-4.766160262138882E-3</v>
      </c>
    </row>
    <row r="270" spans="1:15" ht="14.25" customHeight="1" x14ac:dyDescent="0.3">
      <c r="A270" s="2">
        <v>45866</v>
      </c>
      <c r="B270" t="s">
        <v>15</v>
      </c>
      <c r="C270" s="3">
        <v>2003</v>
      </c>
      <c r="D270" s="3">
        <v>2021.4</v>
      </c>
      <c r="E270" s="3">
        <v>2000.5</v>
      </c>
      <c r="F270" s="3">
        <v>2004.6</v>
      </c>
      <c r="G270" s="3">
        <v>2009.9</v>
      </c>
      <c r="H270" s="3">
        <v>2008.5</v>
      </c>
      <c r="I270" s="3">
        <v>2011.08</v>
      </c>
      <c r="J270" s="3">
        <v>2037.7</v>
      </c>
      <c r="K270" s="3">
        <v>1593.3</v>
      </c>
      <c r="L270" s="4">
        <v>6029790</v>
      </c>
      <c r="M270" s="3">
        <v>12126412272.799999</v>
      </c>
      <c r="N270" s="4">
        <v>219624</v>
      </c>
      <c r="O270">
        <f t="shared" si="4"/>
        <v>1.9455252918288393E-3</v>
      </c>
    </row>
    <row r="271" spans="1:15" ht="14.25" customHeight="1" x14ac:dyDescent="0.3">
      <c r="A271" s="2">
        <v>45867</v>
      </c>
      <c r="B271" t="s">
        <v>15</v>
      </c>
      <c r="C271" s="3">
        <v>1999.9</v>
      </c>
      <c r="D271" s="3">
        <v>2026.5</v>
      </c>
      <c r="E271" s="3">
        <v>1996.3</v>
      </c>
      <c r="F271" s="3">
        <v>2008.5</v>
      </c>
      <c r="G271" s="3">
        <v>2023</v>
      </c>
      <c r="H271" s="3">
        <v>2021.6</v>
      </c>
      <c r="I271" s="3">
        <v>2015.07</v>
      </c>
      <c r="J271" s="3">
        <v>2037.7</v>
      </c>
      <c r="K271" s="3">
        <v>1593.3</v>
      </c>
      <c r="L271" s="4">
        <v>9947848</v>
      </c>
      <c r="M271" s="3">
        <v>20045635384.900002</v>
      </c>
      <c r="N271" s="4">
        <v>234546</v>
      </c>
      <c r="O271">
        <f t="shared" si="4"/>
        <v>6.5222803086880301E-3</v>
      </c>
    </row>
    <row r="272" spans="1:15" ht="14.25" customHeight="1" x14ac:dyDescent="0.3">
      <c r="A272" s="2">
        <v>45868</v>
      </c>
      <c r="B272" t="s">
        <v>15</v>
      </c>
      <c r="C272" s="3">
        <v>2028</v>
      </c>
      <c r="D272" s="3">
        <v>2032.6</v>
      </c>
      <c r="E272" s="3">
        <v>2017</v>
      </c>
      <c r="F272" s="3">
        <v>2021.6</v>
      </c>
      <c r="G272" s="3">
        <v>2025.9</v>
      </c>
      <c r="H272" s="3">
        <v>2025.8</v>
      </c>
      <c r="I272" s="3">
        <v>2023.94</v>
      </c>
      <c r="J272" s="3">
        <v>2037.7</v>
      </c>
      <c r="K272" s="3">
        <v>1593.3</v>
      </c>
      <c r="L272" s="4">
        <v>7577018</v>
      </c>
      <c r="M272" s="3">
        <v>15335457713.700001</v>
      </c>
      <c r="N272" s="4">
        <v>152763</v>
      </c>
      <c r="O272">
        <f t="shared" si="4"/>
        <v>2.0775623268698288E-3</v>
      </c>
    </row>
    <row r="273" spans="1:15" ht="14.25" customHeight="1" x14ac:dyDescent="0.3">
      <c r="A273" s="2">
        <v>45869</v>
      </c>
      <c r="B273" t="s">
        <v>15</v>
      </c>
      <c r="C273" s="3">
        <v>2014.6</v>
      </c>
      <c r="D273" s="3">
        <v>2031.4</v>
      </c>
      <c r="E273" s="3">
        <v>2008</v>
      </c>
      <c r="F273" s="3">
        <v>2025.8</v>
      </c>
      <c r="G273" s="3">
        <v>2018</v>
      </c>
      <c r="H273" s="3">
        <v>2018.2</v>
      </c>
      <c r="I273" s="3">
        <v>2020.81</v>
      </c>
      <c r="J273" s="3">
        <v>2037.7</v>
      </c>
      <c r="K273" s="3">
        <v>1593.3</v>
      </c>
      <c r="L273" s="4">
        <v>11091516</v>
      </c>
      <c r="M273" s="3">
        <v>22413795872.200001</v>
      </c>
      <c r="N273" s="4">
        <v>199191</v>
      </c>
      <c r="O273">
        <f t="shared" si="4"/>
        <v>-3.7516043044722625E-3</v>
      </c>
    </row>
    <row r="274" spans="1:15" ht="14.25" customHeight="1" x14ac:dyDescent="0.3">
      <c r="A274" s="2">
        <v>45870</v>
      </c>
      <c r="B274" t="s">
        <v>15</v>
      </c>
      <c r="C274" s="3">
        <v>2014</v>
      </c>
      <c r="D274" s="3">
        <v>2028.3</v>
      </c>
      <c r="E274" s="3">
        <v>2009.3</v>
      </c>
      <c r="F274" s="3">
        <v>2018.2</v>
      </c>
      <c r="G274" s="3">
        <v>2016.9</v>
      </c>
      <c r="H274" s="3">
        <v>2012.2</v>
      </c>
      <c r="I274" s="3">
        <v>2015.24</v>
      </c>
      <c r="J274" s="3">
        <v>2037.7</v>
      </c>
      <c r="K274" s="3">
        <v>1593.3</v>
      </c>
      <c r="L274" s="4">
        <v>5658629</v>
      </c>
      <c r="M274" s="3">
        <v>11403473962.299999</v>
      </c>
      <c r="N274" s="4">
        <v>138595</v>
      </c>
      <c r="O274">
        <f t="shared" si="4"/>
        <v>-2.9729461896739668E-3</v>
      </c>
    </row>
    <row r="275" spans="1:15" ht="14.25" customHeight="1" x14ac:dyDescent="0.3">
      <c r="A275" s="2">
        <v>45873</v>
      </c>
      <c r="B275" t="s">
        <v>15</v>
      </c>
      <c r="C275" s="3">
        <v>2010.1</v>
      </c>
      <c r="D275" s="3">
        <v>2018.5</v>
      </c>
      <c r="E275" s="3">
        <v>1988.1</v>
      </c>
      <c r="F275" s="3">
        <v>2012.2</v>
      </c>
      <c r="G275" s="3">
        <v>1994.4</v>
      </c>
      <c r="H275" s="3">
        <v>1992</v>
      </c>
      <c r="I275" s="3">
        <v>1997.96</v>
      </c>
      <c r="J275" s="3">
        <v>2037.7</v>
      </c>
      <c r="K275" s="3">
        <v>1593.3</v>
      </c>
      <c r="L275" s="4">
        <v>6966973</v>
      </c>
      <c r="M275" s="3">
        <v>13919756957.200001</v>
      </c>
      <c r="N275" s="4">
        <v>248150</v>
      </c>
      <c r="O275">
        <f t="shared" si="4"/>
        <v>-1.0038763542391435E-2</v>
      </c>
    </row>
    <row r="276" spans="1:15" ht="14.25" customHeight="1" x14ac:dyDescent="0.3">
      <c r="A276" s="2">
        <v>45874</v>
      </c>
      <c r="B276" t="s">
        <v>15</v>
      </c>
      <c r="C276" s="3">
        <v>1986.5</v>
      </c>
      <c r="D276" s="3">
        <v>1994.4</v>
      </c>
      <c r="E276" s="3">
        <v>1965.5</v>
      </c>
      <c r="F276" s="3">
        <v>1992</v>
      </c>
      <c r="G276" s="3">
        <v>1981</v>
      </c>
      <c r="H276" s="3">
        <v>1977.6</v>
      </c>
      <c r="I276" s="3">
        <v>1975.61</v>
      </c>
      <c r="J276" s="3">
        <v>2037.7</v>
      </c>
      <c r="K276" s="3">
        <v>1593.3</v>
      </c>
      <c r="L276" s="4">
        <v>11989029</v>
      </c>
      <c r="M276" s="3">
        <v>23685633703.599998</v>
      </c>
      <c r="N276" s="4">
        <v>194332</v>
      </c>
      <c r="O276">
        <f t="shared" si="4"/>
        <v>-7.2289156626506477E-3</v>
      </c>
    </row>
    <row r="277" spans="1:15" ht="14.25" customHeight="1" x14ac:dyDescent="0.3">
      <c r="A277" s="2">
        <v>45875</v>
      </c>
      <c r="B277" t="s">
        <v>15</v>
      </c>
      <c r="C277" s="3">
        <v>1971.1</v>
      </c>
      <c r="D277" s="3">
        <v>1988</v>
      </c>
      <c r="E277" s="3">
        <v>1970</v>
      </c>
      <c r="F277" s="3">
        <v>1977.6</v>
      </c>
      <c r="G277" s="3">
        <v>1987</v>
      </c>
      <c r="H277" s="3">
        <v>1985.3</v>
      </c>
      <c r="I277" s="3">
        <v>1978.39</v>
      </c>
      <c r="J277" s="3">
        <v>2037.7</v>
      </c>
      <c r="K277" s="3">
        <v>1593.3</v>
      </c>
      <c r="L277" s="4">
        <v>7040102</v>
      </c>
      <c r="M277" s="3">
        <v>13928074705.9</v>
      </c>
      <c r="N277" s="4">
        <v>211058</v>
      </c>
      <c r="O277">
        <f t="shared" si="4"/>
        <v>3.8936084142395053E-3</v>
      </c>
    </row>
    <row r="278" spans="1:15" ht="14.25" customHeight="1" x14ac:dyDescent="0.3">
      <c r="A278" s="2">
        <v>45876</v>
      </c>
      <c r="B278" t="s">
        <v>15</v>
      </c>
      <c r="C278" s="3">
        <v>1980.1</v>
      </c>
      <c r="D278" s="3">
        <v>2001.6</v>
      </c>
      <c r="E278" s="3">
        <v>1976.8</v>
      </c>
      <c r="F278" s="3">
        <v>1985.3</v>
      </c>
      <c r="G278" s="3">
        <v>1998</v>
      </c>
      <c r="H278" s="3">
        <v>1995.4</v>
      </c>
      <c r="I278" s="3">
        <v>1986.09</v>
      </c>
      <c r="J278" s="3">
        <v>2037.7</v>
      </c>
      <c r="K278" s="3">
        <v>1593.3</v>
      </c>
      <c r="L278" s="4">
        <v>6540593</v>
      </c>
      <c r="M278" s="3">
        <v>12990237207.700001</v>
      </c>
      <c r="N278" s="4">
        <v>223527</v>
      </c>
      <c r="O278">
        <f t="shared" si="4"/>
        <v>5.0873923336524135E-3</v>
      </c>
    </row>
    <row r="279" spans="1:15" ht="14.25" customHeight="1" x14ac:dyDescent="0.3">
      <c r="A279" s="2">
        <v>45877</v>
      </c>
      <c r="B279" t="s">
        <v>15</v>
      </c>
      <c r="C279" s="3">
        <v>1987.1</v>
      </c>
      <c r="D279" s="3">
        <v>1992.8</v>
      </c>
      <c r="E279" s="3">
        <v>1970</v>
      </c>
      <c r="F279" s="3">
        <v>1995.4</v>
      </c>
      <c r="G279" s="3">
        <v>1972</v>
      </c>
      <c r="H279" s="3">
        <v>1973.9</v>
      </c>
      <c r="I279" s="3">
        <v>1978.99</v>
      </c>
      <c r="J279" s="3">
        <v>2037.7</v>
      </c>
      <c r="K279" s="3">
        <v>1593.3</v>
      </c>
      <c r="L279" s="4">
        <v>6947632</v>
      </c>
      <c r="M279" s="3">
        <v>13749288126.4</v>
      </c>
      <c r="N279" s="4">
        <v>178320</v>
      </c>
      <c r="O279">
        <f t="shared" si="4"/>
        <v>-1.0774781998596772E-2</v>
      </c>
    </row>
    <row r="280" spans="1:15" ht="14.25" customHeight="1" x14ac:dyDescent="0.3">
      <c r="A280" s="2">
        <v>45880</v>
      </c>
      <c r="B280" t="s">
        <v>15</v>
      </c>
      <c r="C280" s="3">
        <v>1975.9</v>
      </c>
      <c r="D280" s="3">
        <v>1997.6</v>
      </c>
      <c r="E280" s="3">
        <v>1973.1</v>
      </c>
      <c r="F280" s="3">
        <v>1973.9</v>
      </c>
      <c r="G280" s="3">
        <v>1992</v>
      </c>
      <c r="H280" s="3">
        <v>1995.6</v>
      </c>
      <c r="I280" s="3">
        <v>1986.89</v>
      </c>
      <c r="J280" s="3">
        <v>2037.7</v>
      </c>
      <c r="K280" s="3">
        <v>1601.15</v>
      </c>
      <c r="L280" s="4">
        <v>4552927</v>
      </c>
      <c r="M280" s="3">
        <v>9046155578.7000008</v>
      </c>
      <c r="N280" s="4">
        <v>165998</v>
      </c>
      <c r="O280">
        <f t="shared" si="4"/>
        <v>1.0993464714524453E-2</v>
      </c>
    </row>
    <row r="281" spans="1:15" ht="14.25" customHeight="1" x14ac:dyDescent="0.3">
      <c r="A281" s="2">
        <v>45881</v>
      </c>
      <c r="B281" t="s">
        <v>15</v>
      </c>
      <c r="C281" s="3">
        <v>1991.9</v>
      </c>
      <c r="D281" s="3">
        <v>1996</v>
      </c>
      <c r="E281" s="3">
        <v>1967.5</v>
      </c>
      <c r="F281" s="3">
        <v>1995.6</v>
      </c>
      <c r="G281" s="3">
        <v>1969.7</v>
      </c>
      <c r="H281" s="3">
        <v>1969.9</v>
      </c>
      <c r="I281" s="3">
        <v>1978.54</v>
      </c>
      <c r="J281" s="3">
        <v>2037.7</v>
      </c>
      <c r="K281" s="3">
        <v>1601.15</v>
      </c>
      <c r="L281" s="4">
        <v>6468901</v>
      </c>
      <c r="M281" s="3">
        <v>12798999218.200001</v>
      </c>
      <c r="N281" s="4">
        <v>237925</v>
      </c>
      <c r="O281">
        <f t="shared" si="4"/>
        <v>-1.2878332331128391E-2</v>
      </c>
    </row>
    <row r="282" spans="1:15" ht="14.25" customHeight="1" x14ac:dyDescent="0.3">
      <c r="A282" s="2">
        <v>45882</v>
      </c>
      <c r="B282" t="s">
        <v>15</v>
      </c>
      <c r="C282" s="3">
        <v>1994</v>
      </c>
      <c r="D282" s="3">
        <v>1994</v>
      </c>
      <c r="E282" s="3">
        <v>1969.1</v>
      </c>
      <c r="F282" s="3">
        <v>1969.9</v>
      </c>
      <c r="G282" s="3">
        <v>1979.9</v>
      </c>
      <c r="H282" s="3">
        <v>1980.3</v>
      </c>
      <c r="I282" s="3">
        <v>1977.14</v>
      </c>
      <c r="J282" s="3">
        <v>2037.7</v>
      </c>
      <c r="K282" s="3">
        <v>1601.15</v>
      </c>
      <c r="L282" s="4">
        <v>6788698</v>
      </c>
      <c r="M282" s="3">
        <v>13422176534.1</v>
      </c>
      <c r="N282" s="4">
        <v>177703</v>
      </c>
      <c r="O282">
        <f t="shared" si="4"/>
        <v>5.2794558099395214E-3</v>
      </c>
    </row>
    <row r="283" spans="1:15" ht="14.25" customHeight="1" x14ac:dyDescent="0.3">
      <c r="A283" s="2">
        <v>45883</v>
      </c>
      <c r="B283" t="s">
        <v>15</v>
      </c>
      <c r="C283" s="3">
        <v>1978</v>
      </c>
      <c r="D283" s="3">
        <v>1996</v>
      </c>
      <c r="E283" s="3">
        <v>1971.2</v>
      </c>
      <c r="F283" s="3">
        <v>1980.3</v>
      </c>
      <c r="G283" s="3">
        <v>1989.5</v>
      </c>
      <c r="H283" s="3">
        <v>1991.1</v>
      </c>
      <c r="I283" s="3">
        <v>1990.18</v>
      </c>
      <c r="J283" s="3">
        <v>2037.7</v>
      </c>
      <c r="K283" s="3">
        <v>1601.15</v>
      </c>
      <c r="L283" s="4">
        <v>8755858</v>
      </c>
      <c r="M283" s="3">
        <v>17425742818.700001</v>
      </c>
      <c r="N283" s="4">
        <v>174342</v>
      </c>
      <c r="O283">
        <f t="shared" si="4"/>
        <v>5.4537191334646041E-3</v>
      </c>
    </row>
    <row r="284" spans="1:15" ht="14.25" customHeight="1" x14ac:dyDescent="0.3">
      <c r="A284" s="2">
        <v>45887</v>
      </c>
      <c r="B284" t="s">
        <v>15</v>
      </c>
      <c r="C284" s="3">
        <v>2010</v>
      </c>
      <c r="D284" s="3">
        <v>2026.6</v>
      </c>
      <c r="E284" s="3">
        <v>1995.6</v>
      </c>
      <c r="F284" s="3">
        <v>1991.1</v>
      </c>
      <c r="G284" s="3">
        <v>2005</v>
      </c>
      <c r="H284" s="3">
        <v>2003.6</v>
      </c>
      <c r="I284" s="3">
        <v>2008.73</v>
      </c>
      <c r="J284" s="3">
        <v>2037.7</v>
      </c>
      <c r="K284" s="3">
        <v>1613</v>
      </c>
      <c r="L284" s="4">
        <v>9642398</v>
      </c>
      <c r="M284" s="3">
        <v>19368989917.900002</v>
      </c>
      <c r="N284" s="4">
        <v>220027</v>
      </c>
      <c r="O284">
        <f t="shared" si="4"/>
        <v>6.2779368188438552E-3</v>
      </c>
    </row>
    <row r="285" spans="1:15" ht="14.25" customHeight="1" x14ac:dyDescent="0.3">
      <c r="A285" s="2">
        <v>45888</v>
      </c>
      <c r="B285" t="s">
        <v>15</v>
      </c>
      <c r="C285" s="3">
        <v>1998.3</v>
      </c>
      <c r="D285" s="3">
        <v>2006.1</v>
      </c>
      <c r="E285" s="3">
        <v>1986.7</v>
      </c>
      <c r="F285" s="3">
        <v>2003.6</v>
      </c>
      <c r="G285" s="3">
        <v>1990</v>
      </c>
      <c r="H285" s="3">
        <v>1991.1</v>
      </c>
      <c r="I285" s="3">
        <v>1995.49</v>
      </c>
      <c r="J285" s="3">
        <v>2037.7</v>
      </c>
      <c r="K285" s="3">
        <v>1613</v>
      </c>
      <c r="L285" s="4">
        <v>6176219</v>
      </c>
      <c r="M285" s="3">
        <v>12324574114.9</v>
      </c>
      <c r="N285" s="4">
        <v>170899</v>
      </c>
      <c r="O285">
        <f t="shared" si="4"/>
        <v>-6.2387702136154927E-3</v>
      </c>
    </row>
    <row r="286" spans="1:15" ht="14.25" customHeight="1" x14ac:dyDescent="0.3">
      <c r="A286" s="2">
        <v>45889</v>
      </c>
      <c r="B286" t="s">
        <v>15</v>
      </c>
      <c r="C286" s="3">
        <v>1987</v>
      </c>
      <c r="D286" s="3">
        <v>1992</v>
      </c>
      <c r="E286" s="3">
        <v>1979</v>
      </c>
      <c r="F286" s="3">
        <v>1991.1</v>
      </c>
      <c r="G286" s="3">
        <v>1988.3</v>
      </c>
      <c r="H286" s="3">
        <v>1988.2</v>
      </c>
      <c r="I286" s="3">
        <v>1985.13</v>
      </c>
      <c r="J286" s="3">
        <v>2037.7</v>
      </c>
      <c r="K286" s="3">
        <v>1613</v>
      </c>
      <c r="L286" s="4">
        <v>4975114</v>
      </c>
      <c r="M286" s="3">
        <v>9876263155.2999992</v>
      </c>
      <c r="N286" s="4">
        <v>173424</v>
      </c>
      <c r="O286">
        <f t="shared" si="4"/>
        <v>-1.4564813419717059E-3</v>
      </c>
    </row>
    <row r="287" spans="1:15" ht="14.25" customHeight="1" x14ac:dyDescent="0.3">
      <c r="A287" s="2">
        <v>45890</v>
      </c>
      <c r="B287" t="s">
        <v>15</v>
      </c>
      <c r="C287" s="3">
        <v>1997.5</v>
      </c>
      <c r="D287" s="3">
        <v>1997.5</v>
      </c>
      <c r="E287" s="3">
        <v>1983.2</v>
      </c>
      <c r="F287" s="3">
        <v>1988.2</v>
      </c>
      <c r="G287" s="3">
        <v>1990.5</v>
      </c>
      <c r="H287" s="3">
        <v>1991.2</v>
      </c>
      <c r="I287" s="3">
        <v>1991.62</v>
      </c>
      <c r="J287" s="3">
        <v>2037.7</v>
      </c>
      <c r="K287" s="3">
        <v>1613</v>
      </c>
      <c r="L287" s="4">
        <v>6219925</v>
      </c>
      <c r="M287" s="3">
        <v>12387722464</v>
      </c>
      <c r="N287" s="4">
        <v>160599</v>
      </c>
      <c r="O287">
        <f t="shared" si="4"/>
        <v>1.5089025248968917E-3</v>
      </c>
    </row>
    <row r="288" spans="1:15" ht="14.25" customHeight="1" x14ac:dyDescent="0.3">
      <c r="A288" s="2">
        <v>45891</v>
      </c>
      <c r="B288" t="s">
        <v>15</v>
      </c>
      <c r="C288" s="3">
        <v>1989.9</v>
      </c>
      <c r="D288" s="3">
        <v>1996</v>
      </c>
      <c r="E288" s="3">
        <v>1957.1</v>
      </c>
      <c r="F288" s="3">
        <v>1991.2</v>
      </c>
      <c r="G288" s="3">
        <v>1965.5</v>
      </c>
      <c r="H288" s="3">
        <v>1964.6</v>
      </c>
      <c r="I288" s="3">
        <v>1968.66</v>
      </c>
      <c r="J288" s="3">
        <v>2037.7</v>
      </c>
      <c r="K288" s="3">
        <v>1613</v>
      </c>
      <c r="L288" s="4">
        <v>9916751</v>
      </c>
      <c r="M288" s="3">
        <v>19522714269.099998</v>
      </c>
      <c r="N288" s="4">
        <v>253318</v>
      </c>
      <c r="O288">
        <f t="shared" si="4"/>
        <v>-1.3358778625954266E-2</v>
      </c>
    </row>
    <row r="289" spans="1:15" ht="14.25" customHeight="1" x14ac:dyDescent="0.3">
      <c r="A289" s="2">
        <v>45894</v>
      </c>
      <c r="B289" t="s">
        <v>15</v>
      </c>
      <c r="C289" s="3">
        <v>1960.2</v>
      </c>
      <c r="D289" s="3">
        <v>1977.4</v>
      </c>
      <c r="E289" s="3">
        <v>1957</v>
      </c>
      <c r="F289" s="3">
        <v>1964.6</v>
      </c>
      <c r="G289" s="3">
        <v>1969.2</v>
      </c>
      <c r="H289" s="3">
        <v>1964.1</v>
      </c>
      <c r="I289" s="3">
        <v>1967.27</v>
      </c>
      <c r="J289" s="3">
        <v>2037.7</v>
      </c>
      <c r="K289" s="3">
        <v>1613</v>
      </c>
      <c r="L289" s="4">
        <v>8759022</v>
      </c>
      <c r="M289" s="3">
        <v>17231388424.400002</v>
      </c>
      <c r="N289" s="4">
        <v>217503</v>
      </c>
      <c r="O289">
        <f t="shared" si="4"/>
        <v>-2.5450473378804846E-4</v>
      </c>
    </row>
    <row r="290" spans="1:15" ht="14.25" customHeight="1" x14ac:dyDescent="0.3">
      <c r="A290" s="2">
        <v>45895</v>
      </c>
      <c r="B290" t="s">
        <v>15</v>
      </c>
      <c r="C290">
        <v>979.5</v>
      </c>
      <c r="D290">
        <v>985.7</v>
      </c>
      <c r="E290">
        <v>968</v>
      </c>
      <c r="F290" s="3">
        <v>1964.1</v>
      </c>
      <c r="G290">
        <v>972.3</v>
      </c>
      <c r="H290">
        <v>973.4</v>
      </c>
      <c r="I290">
        <v>973.26</v>
      </c>
      <c r="J290" s="3">
        <v>2037.7</v>
      </c>
      <c r="K290">
        <v>968</v>
      </c>
      <c r="L290" s="4">
        <v>16917731</v>
      </c>
      <c r="M290" s="3">
        <v>16465410030.9</v>
      </c>
      <c r="N290" s="4">
        <v>296302</v>
      </c>
      <c r="O290">
        <f t="shared" si="4"/>
        <v>-0.50440405274680511</v>
      </c>
    </row>
    <row r="291" spans="1:15" ht="14.25" customHeight="1" x14ac:dyDescent="0.3">
      <c r="A291" s="2">
        <v>45897</v>
      </c>
      <c r="B291" t="s">
        <v>15</v>
      </c>
      <c r="C291">
        <v>967</v>
      </c>
      <c r="D291">
        <v>972.2</v>
      </c>
      <c r="E291">
        <v>955</v>
      </c>
      <c r="F291">
        <v>973.4</v>
      </c>
      <c r="G291">
        <v>961.8</v>
      </c>
      <c r="H291">
        <v>957.8</v>
      </c>
      <c r="I291">
        <v>962.09</v>
      </c>
      <c r="J291" s="3">
        <v>2037.7</v>
      </c>
      <c r="K291">
        <v>955</v>
      </c>
      <c r="L291" s="4">
        <v>25438255</v>
      </c>
      <c r="M291" s="3">
        <v>24473886027.799999</v>
      </c>
      <c r="N291" s="4">
        <v>377835</v>
      </c>
      <c r="O291">
        <f t="shared" si="4"/>
        <v>-1.6026299568522726E-2</v>
      </c>
    </row>
    <row r="292" spans="1:15" ht="14.25" customHeight="1" x14ac:dyDescent="0.3">
      <c r="A292" s="2">
        <v>45898</v>
      </c>
      <c r="B292" t="s">
        <v>15</v>
      </c>
      <c r="C292">
        <v>954</v>
      </c>
      <c r="D292">
        <v>963.3</v>
      </c>
      <c r="E292">
        <v>950.1</v>
      </c>
      <c r="F292">
        <v>957.8</v>
      </c>
      <c r="G292">
        <v>953.4</v>
      </c>
      <c r="H292">
        <v>951.6</v>
      </c>
      <c r="I292">
        <v>955.24</v>
      </c>
      <c r="J292" s="3">
        <v>2037.7</v>
      </c>
      <c r="K292">
        <v>950.1</v>
      </c>
      <c r="L292" s="4">
        <v>14823813</v>
      </c>
      <c r="M292" s="3">
        <v>14160314228.1</v>
      </c>
      <c r="N292" s="4">
        <v>260839</v>
      </c>
      <c r="O292">
        <f t="shared" si="4"/>
        <v>-6.4731676759239212E-3</v>
      </c>
    </row>
    <row r="293" spans="1:15" ht="14.25" customHeight="1" x14ac:dyDescent="0.3">
      <c r="A293" s="2">
        <v>45901</v>
      </c>
      <c r="B293" t="s">
        <v>15</v>
      </c>
      <c r="C293">
        <v>949.6</v>
      </c>
      <c r="D293">
        <v>957.45</v>
      </c>
      <c r="E293">
        <v>946.35</v>
      </c>
      <c r="F293">
        <v>951.6</v>
      </c>
      <c r="G293">
        <v>950.8</v>
      </c>
      <c r="H293">
        <v>950.6</v>
      </c>
      <c r="I293">
        <v>950.62</v>
      </c>
      <c r="J293" s="3">
        <v>2037.7</v>
      </c>
      <c r="K293">
        <v>946.35</v>
      </c>
      <c r="L293" s="4">
        <v>20178344</v>
      </c>
      <c r="M293" s="3">
        <v>19181919082.150002</v>
      </c>
      <c r="N293" s="4">
        <v>410933</v>
      </c>
      <c r="O293">
        <f t="shared" si="4"/>
        <v>-1.0508617065994115E-3</v>
      </c>
    </row>
    <row r="294" spans="1:15" ht="14.25" customHeight="1" x14ac:dyDescent="0.3">
      <c r="A294" s="2">
        <v>45902</v>
      </c>
      <c r="B294" t="s">
        <v>15</v>
      </c>
      <c r="C294">
        <v>951</v>
      </c>
      <c r="D294">
        <v>954.8</v>
      </c>
      <c r="E294">
        <v>944</v>
      </c>
      <c r="F294">
        <v>950.6</v>
      </c>
      <c r="G294">
        <v>944.7</v>
      </c>
      <c r="H294">
        <v>944.5</v>
      </c>
      <c r="I294">
        <v>948.8</v>
      </c>
      <c r="J294" s="3">
        <v>2037.7</v>
      </c>
      <c r="K294">
        <v>944</v>
      </c>
      <c r="L294" s="4">
        <v>14196320</v>
      </c>
      <c r="M294" s="3">
        <v>13469417784.700001</v>
      </c>
      <c r="N294" s="4">
        <v>343637</v>
      </c>
      <c r="O294">
        <f t="shared" si="4"/>
        <v>-6.4169997896065881E-3</v>
      </c>
    </row>
    <row r="295" spans="1:15" ht="14.25" customHeight="1" x14ac:dyDescent="0.3">
      <c r="A295" s="2">
        <v>45903</v>
      </c>
      <c r="B295" t="s">
        <v>15</v>
      </c>
      <c r="C295">
        <v>945</v>
      </c>
      <c r="D295">
        <v>956.3</v>
      </c>
      <c r="E295">
        <v>940</v>
      </c>
      <c r="F295">
        <v>944.5</v>
      </c>
      <c r="G295">
        <v>953.95</v>
      </c>
      <c r="H295">
        <v>954.45</v>
      </c>
      <c r="I295">
        <v>947.66</v>
      </c>
      <c r="J295" s="3">
        <v>2037.7</v>
      </c>
      <c r="K295">
        <v>940</v>
      </c>
      <c r="L295" s="4">
        <v>16083481</v>
      </c>
      <c r="M295" s="3">
        <v>15241746460.65</v>
      </c>
      <c r="N295" s="4">
        <v>288240</v>
      </c>
      <c r="O295">
        <f t="shared" si="4"/>
        <v>1.0534674430915877E-2</v>
      </c>
    </row>
    <row r="296" spans="1:15" ht="14.25" customHeight="1" x14ac:dyDescent="0.3">
      <c r="A296" s="2">
        <v>45904</v>
      </c>
      <c r="B296" t="s">
        <v>15</v>
      </c>
      <c r="C296">
        <v>960.2</v>
      </c>
      <c r="D296">
        <v>965.7</v>
      </c>
      <c r="E296">
        <v>956.25</v>
      </c>
      <c r="F296">
        <v>954.45</v>
      </c>
      <c r="G296">
        <v>960.95</v>
      </c>
      <c r="H296">
        <v>961.25</v>
      </c>
      <c r="I296">
        <v>961.34</v>
      </c>
      <c r="J296" s="3">
        <v>2037.7</v>
      </c>
      <c r="K296">
        <v>940</v>
      </c>
      <c r="L296" s="4">
        <v>17597657</v>
      </c>
      <c r="M296" s="3">
        <v>16917300954.6</v>
      </c>
      <c r="N296" s="4">
        <v>212281</v>
      </c>
      <c r="O296">
        <f t="shared" si="4"/>
        <v>7.1245219760070764E-3</v>
      </c>
    </row>
    <row r="297" spans="1:15" ht="14.25" customHeight="1" x14ac:dyDescent="0.3">
      <c r="A297" s="2">
        <v>45905</v>
      </c>
      <c r="B297" t="s">
        <v>15</v>
      </c>
      <c r="C297">
        <v>967.5</v>
      </c>
      <c r="D297">
        <v>967.5</v>
      </c>
      <c r="E297">
        <v>954.05</v>
      </c>
      <c r="F297">
        <v>961.25</v>
      </c>
      <c r="G297">
        <v>962.6</v>
      </c>
      <c r="H297">
        <v>963.4</v>
      </c>
      <c r="I297">
        <v>960.7</v>
      </c>
      <c r="J297" s="3">
        <v>2037.7</v>
      </c>
      <c r="K297">
        <v>940</v>
      </c>
      <c r="L297" s="4">
        <v>11602111</v>
      </c>
      <c r="M297" s="3">
        <v>11146202039.65</v>
      </c>
      <c r="N297" s="4">
        <v>210037</v>
      </c>
      <c r="O297">
        <f t="shared" si="4"/>
        <v>2.2366710013003665E-3</v>
      </c>
    </row>
    <row r="298" spans="1:15" ht="14.25" customHeight="1" x14ac:dyDescent="0.3">
      <c r="A298" s="2">
        <v>45908</v>
      </c>
      <c r="B298" t="s">
        <v>15</v>
      </c>
      <c r="C298">
        <v>969</v>
      </c>
      <c r="D298">
        <v>973.15</v>
      </c>
      <c r="E298">
        <v>960.45</v>
      </c>
      <c r="F298">
        <v>963.4</v>
      </c>
      <c r="G298">
        <v>967.35</v>
      </c>
      <c r="H298">
        <v>966</v>
      </c>
      <c r="I298">
        <v>967.58</v>
      </c>
      <c r="J298" s="3">
        <v>2037.7</v>
      </c>
      <c r="K298">
        <v>940</v>
      </c>
      <c r="L298" s="4">
        <v>11711307</v>
      </c>
      <c r="M298" s="3">
        <v>11331677355.700001</v>
      </c>
      <c r="N298" s="4">
        <v>193535</v>
      </c>
      <c r="O298">
        <f t="shared" si="4"/>
        <v>2.6987751712684478E-3</v>
      </c>
    </row>
    <row r="299" spans="1:15" ht="14.25" customHeight="1" x14ac:dyDescent="0.3">
      <c r="A299" s="2">
        <v>45909</v>
      </c>
      <c r="B299" t="s">
        <v>15</v>
      </c>
      <c r="C299">
        <v>974</v>
      </c>
      <c r="D299">
        <v>974.4</v>
      </c>
      <c r="E299">
        <v>962.7</v>
      </c>
      <c r="F299">
        <v>966</v>
      </c>
      <c r="G299">
        <v>966.45</v>
      </c>
      <c r="H299">
        <v>965.15</v>
      </c>
      <c r="I299">
        <v>967.81</v>
      </c>
      <c r="J299" s="3">
        <v>2037.7</v>
      </c>
      <c r="K299">
        <v>940</v>
      </c>
      <c r="L299" s="4">
        <v>13985539</v>
      </c>
      <c r="M299" s="3">
        <v>13535396477.200001</v>
      </c>
      <c r="N299" s="4">
        <v>181800</v>
      </c>
      <c r="O299">
        <f t="shared" si="4"/>
        <v>-8.7991718426503392E-4</v>
      </c>
    </row>
    <row r="300" spans="1:15" ht="14.25" customHeight="1" x14ac:dyDescent="0.3">
      <c r="A300" s="2">
        <v>45910</v>
      </c>
      <c r="B300" t="s">
        <v>15</v>
      </c>
      <c r="C300">
        <v>973.9</v>
      </c>
      <c r="D300">
        <v>973.9</v>
      </c>
      <c r="E300">
        <v>961.7</v>
      </c>
      <c r="F300">
        <v>965.15</v>
      </c>
      <c r="G300">
        <v>965.5</v>
      </c>
      <c r="H300">
        <v>965.9</v>
      </c>
      <c r="I300">
        <v>966.21</v>
      </c>
      <c r="J300" s="3">
        <v>2037.7</v>
      </c>
      <c r="K300">
        <v>940</v>
      </c>
      <c r="L300" s="4">
        <v>18091100</v>
      </c>
      <c r="M300" s="3">
        <v>17479779505.299999</v>
      </c>
      <c r="N300" s="4">
        <v>218336</v>
      </c>
      <c r="O300">
        <f t="shared" si="4"/>
        <v>7.770812827021707E-4</v>
      </c>
    </row>
    <row r="301" spans="1:15" ht="14.25" customHeight="1" x14ac:dyDescent="0.3">
      <c r="A301" s="2">
        <v>45911</v>
      </c>
      <c r="B301" t="s">
        <v>15</v>
      </c>
      <c r="C301">
        <v>960.3</v>
      </c>
      <c r="D301">
        <v>969.25</v>
      </c>
      <c r="E301">
        <v>959.9</v>
      </c>
      <c r="F301">
        <v>965.9</v>
      </c>
      <c r="G301">
        <v>966.5</v>
      </c>
      <c r="H301">
        <v>967.8</v>
      </c>
      <c r="I301">
        <v>965.95</v>
      </c>
      <c r="J301" s="3">
        <v>2037.7</v>
      </c>
      <c r="K301">
        <v>940</v>
      </c>
      <c r="L301" s="4">
        <v>15113633</v>
      </c>
      <c r="M301" s="3">
        <v>14598945433.15</v>
      </c>
      <c r="N301" s="4">
        <v>220801</v>
      </c>
      <c r="O301">
        <f t="shared" si="4"/>
        <v>1.9670773371984443E-3</v>
      </c>
    </row>
    <row r="302" spans="1:15" ht="14.25" customHeight="1" x14ac:dyDescent="0.3">
      <c r="A302" s="2">
        <v>45912</v>
      </c>
      <c r="B302" t="s">
        <v>15</v>
      </c>
      <c r="C302">
        <v>969.9</v>
      </c>
      <c r="D302">
        <v>970.75</v>
      </c>
      <c r="E302">
        <v>962.25</v>
      </c>
      <c r="F302">
        <v>967.8</v>
      </c>
      <c r="G302">
        <v>966.9</v>
      </c>
      <c r="H302">
        <v>967.3</v>
      </c>
      <c r="I302">
        <v>966.65</v>
      </c>
      <c r="J302" s="3">
        <v>2037.7</v>
      </c>
      <c r="K302">
        <v>940</v>
      </c>
      <c r="L302" s="4">
        <v>14363519</v>
      </c>
      <c r="M302" s="3">
        <v>13884430847.5</v>
      </c>
      <c r="N302" s="4">
        <v>265851</v>
      </c>
      <c r="O302">
        <f t="shared" si="4"/>
        <v>-5.1663566852655507E-4</v>
      </c>
    </row>
    <row r="303" spans="1:15" ht="14.25" customHeight="1" x14ac:dyDescent="0.3">
      <c r="A303" s="2">
        <v>45915</v>
      </c>
      <c r="B303" t="s">
        <v>15</v>
      </c>
      <c r="C303">
        <v>969.6</v>
      </c>
      <c r="D303">
        <v>972.35</v>
      </c>
      <c r="E303">
        <v>965</v>
      </c>
      <c r="F303">
        <v>967.3</v>
      </c>
      <c r="G303">
        <v>966.1</v>
      </c>
      <c r="H303">
        <v>967.05</v>
      </c>
      <c r="I303">
        <v>968.58</v>
      </c>
      <c r="J303" s="3">
        <v>2037.7</v>
      </c>
      <c r="K303">
        <v>940</v>
      </c>
      <c r="L303" s="4">
        <v>14486377</v>
      </c>
      <c r="M303" s="3">
        <v>14031209535.6</v>
      </c>
      <c r="N303" s="4">
        <v>198502</v>
      </c>
      <c r="O303">
        <f t="shared" si="4"/>
        <v>-2.5845135945415073E-4</v>
      </c>
    </row>
    <row r="304" spans="1:15" ht="14.25" customHeight="1" x14ac:dyDescent="0.3">
      <c r="A304" s="2">
        <v>45916</v>
      </c>
      <c r="B304" t="s">
        <v>15</v>
      </c>
      <c r="C304">
        <v>961.2</v>
      </c>
      <c r="D304">
        <v>969.35</v>
      </c>
      <c r="E304">
        <v>961.2</v>
      </c>
      <c r="F304">
        <v>967.05</v>
      </c>
      <c r="G304">
        <v>966.3</v>
      </c>
      <c r="H304">
        <v>966.85</v>
      </c>
      <c r="I304">
        <v>966.32</v>
      </c>
      <c r="J304" s="3">
        <v>2037.7</v>
      </c>
      <c r="K304">
        <v>940</v>
      </c>
      <c r="L304" s="4">
        <v>18661794</v>
      </c>
      <c r="M304" s="3">
        <v>18033279292.75</v>
      </c>
      <c r="N304" s="4">
        <v>201920</v>
      </c>
      <c r="O304">
        <f t="shared" si="4"/>
        <v>-2.0681453906202553E-4</v>
      </c>
    </row>
    <row r="305" spans="1:15" ht="14.25" customHeight="1" x14ac:dyDescent="0.3">
      <c r="A305" s="2">
        <v>45917</v>
      </c>
      <c r="B305" t="s">
        <v>15</v>
      </c>
      <c r="C305">
        <v>965.15</v>
      </c>
      <c r="D305">
        <v>974.4</v>
      </c>
      <c r="E305">
        <v>964.35</v>
      </c>
      <c r="F305">
        <v>966.85</v>
      </c>
      <c r="G305">
        <v>967</v>
      </c>
      <c r="H305">
        <v>966.5</v>
      </c>
      <c r="I305">
        <v>968.39</v>
      </c>
      <c r="J305" s="3">
        <v>2037.7</v>
      </c>
      <c r="K305">
        <v>940</v>
      </c>
      <c r="L305" s="4">
        <v>17361476</v>
      </c>
      <c r="M305" s="3">
        <v>16812655777.9</v>
      </c>
      <c r="N305" s="4">
        <v>269236</v>
      </c>
      <c r="O305">
        <f t="shared" si="4"/>
        <v>-3.6200031028600378E-4</v>
      </c>
    </row>
    <row r="306" spans="1:15" ht="14.25" customHeight="1" x14ac:dyDescent="0.3">
      <c r="A306" s="2">
        <v>45918</v>
      </c>
      <c r="B306" t="s">
        <v>15</v>
      </c>
      <c r="C306">
        <v>973.3</v>
      </c>
      <c r="D306">
        <v>979.65</v>
      </c>
      <c r="E306">
        <v>969.25</v>
      </c>
      <c r="F306">
        <v>966.5</v>
      </c>
      <c r="G306">
        <v>976</v>
      </c>
      <c r="H306">
        <v>976.9</v>
      </c>
      <c r="I306">
        <v>974.66</v>
      </c>
      <c r="J306" s="3">
        <v>2037.7</v>
      </c>
      <c r="K306">
        <v>940</v>
      </c>
      <c r="L306" s="4">
        <v>17791598</v>
      </c>
      <c r="M306" s="3">
        <v>17340847521.599998</v>
      </c>
      <c r="N306" s="4">
        <v>267040</v>
      </c>
      <c r="O306">
        <f t="shared" si="4"/>
        <v>1.0760475944128274E-2</v>
      </c>
    </row>
    <row r="307" spans="1:15" ht="14.25" customHeight="1" x14ac:dyDescent="0.3">
      <c r="A307" s="2">
        <v>45919</v>
      </c>
      <c r="B307" t="s">
        <v>15</v>
      </c>
      <c r="C307">
        <v>974.9</v>
      </c>
      <c r="D307">
        <v>976.7</v>
      </c>
      <c r="E307">
        <v>962.1</v>
      </c>
      <c r="F307">
        <v>976.9</v>
      </c>
      <c r="G307">
        <v>967</v>
      </c>
      <c r="H307">
        <v>966.9</v>
      </c>
      <c r="I307">
        <v>967.22</v>
      </c>
      <c r="J307" s="3">
        <v>2037.7</v>
      </c>
      <c r="K307">
        <v>940</v>
      </c>
      <c r="L307" s="4">
        <v>31243267</v>
      </c>
      <c r="M307" s="3">
        <v>30219230008.150002</v>
      </c>
      <c r="N307" s="4">
        <v>220137</v>
      </c>
      <c r="O307">
        <f t="shared" si="4"/>
        <v>-1.0236462278636503E-2</v>
      </c>
    </row>
    <row r="308" spans="1:15" ht="14.25" customHeight="1" x14ac:dyDescent="0.3">
      <c r="A308" s="2">
        <v>45922</v>
      </c>
      <c r="B308" t="s">
        <v>15</v>
      </c>
      <c r="C308">
        <v>964</v>
      </c>
      <c r="D308">
        <v>971.2</v>
      </c>
      <c r="E308">
        <v>961.95</v>
      </c>
      <c r="F308">
        <v>966.9</v>
      </c>
      <c r="G308">
        <v>965.4</v>
      </c>
      <c r="H308">
        <v>964.2</v>
      </c>
      <c r="I308">
        <v>966.4</v>
      </c>
      <c r="J308" s="3">
        <v>2037.7</v>
      </c>
      <c r="K308">
        <v>940</v>
      </c>
      <c r="L308" s="4">
        <v>10854415</v>
      </c>
      <c r="M308" s="3">
        <v>10489724995.75</v>
      </c>
      <c r="N308" s="4">
        <v>139126</v>
      </c>
      <c r="O308">
        <f t="shared" si="4"/>
        <v>-2.7924294135897526E-3</v>
      </c>
    </row>
    <row r="309" spans="1:15" ht="14.25" customHeight="1" x14ac:dyDescent="0.3">
      <c r="A309" s="2">
        <v>45923</v>
      </c>
      <c r="B309" t="s">
        <v>15</v>
      </c>
      <c r="C309">
        <v>967</v>
      </c>
      <c r="D309">
        <v>968.2</v>
      </c>
      <c r="E309">
        <v>955.5</v>
      </c>
      <c r="F309">
        <v>964.2</v>
      </c>
      <c r="G309">
        <v>958.45</v>
      </c>
      <c r="H309">
        <v>957.2</v>
      </c>
      <c r="I309">
        <v>960.1</v>
      </c>
      <c r="J309" s="3">
        <v>2037.7</v>
      </c>
      <c r="K309">
        <v>940</v>
      </c>
      <c r="L309" s="4">
        <v>21022298</v>
      </c>
      <c r="M309" s="3">
        <v>20183427172.900002</v>
      </c>
      <c r="N309" s="4">
        <v>190721</v>
      </c>
      <c r="O309">
        <f t="shared" si="4"/>
        <v>-7.2599045841111797E-3</v>
      </c>
    </row>
    <row r="310" spans="1:15" ht="14.25" customHeight="1" x14ac:dyDescent="0.3">
      <c r="A310" s="2">
        <v>45924</v>
      </c>
      <c r="B310" t="s">
        <v>15</v>
      </c>
      <c r="C310">
        <v>952.2</v>
      </c>
      <c r="D310">
        <v>956.45</v>
      </c>
      <c r="E310">
        <v>943</v>
      </c>
      <c r="F310">
        <v>957.2</v>
      </c>
      <c r="G310">
        <v>951</v>
      </c>
      <c r="H310">
        <v>951.05</v>
      </c>
      <c r="I310">
        <v>949.21</v>
      </c>
      <c r="J310" s="3">
        <v>2037.7</v>
      </c>
      <c r="K310">
        <v>940</v>
      </c>
      <c r="L310" s="4">
        <v>15117220</v>
      </c>
      <c r="M310" s="3">
        <v>14349411269.75</v>
      </c>
      <c r="N310" s="4">
        <v>248417</v>
      </c>
      <c r="O310">
        <f t="shared" si="4"/>
        <v>-6.4249895528626106E-3</v>
      </c>
    </row>
    <row r="311" spans="1:15" ht="14.25" customHeight="1" x14ac:dyDescent="0.3">
      <c r="A311" s="2">
        <v>45925</v>
      </c>
      <c r="B311" t="s">
        <v>15</v>
      </c>
      <c r="C311">
        <v>952.5</v>
      </c>
      <c r="D311">
        <v>958</v>
      </c>
      <c r="E311">
        <v>947.4</v>
      </c>
      <c r="F311">
        <v>951.05</v>
      </c>
      <c r="G311">
        <v>951.2</v>
      </c>
      <c r="H311">
        <v>949.85</v>
      </c>
      <c r="I311">
        <v>952.03</v>
      </c>
      <c r="J311" s="3">
        <v>2037.7</v>
      </c>
      <c r="K311">
        <v>940</v>
      </c>
      <c r="L311" s="4">
        <v>31413279</v>
      </c>
      <c r="M311" s="3">
        <v>29906381362.700001</v>
      </c>
      <c r="N311" s="4">
        <v>256060</v>
      </c>
      <c r="O311">
        <f t="shared" si="4"/>
        <v>-1.2617633142315671E-3</v>
      </c>
    </row>
    <row r="312" spans="1:15" ht="14.25" customHeight="1" x14ac:dyDescent="0.3">
      <c r="A312" s="2">
        <v>45926</v>
      </c>
      <c r="B312" t="s">
        <v>15</v>
      </c>
      <c r="C312">
        <v>945.1</v>
      </c>
      <c r="D312">
        <v>951.45</v>
      </c>
      <c r="E312">
        <v>941.3</v>
      </c>
      <c r="F312">
        <v>949.85</v>
      </c>
      <c r="G312">
        <v>944.25</v>
      </c>
      <c r="H312">
        <v>945.05</v>
      </c>
      <c r="I312">
        <v>945.96</v>
      </c>
      <c r="J312" s="3">
        <v>2037.7</v>
      </c>
      <c r="K312">
        <v>940</v>
      </c>
      <c r="L312" s="4">
        <v>14874656</v>
      </c>
      <c r="M312" s="3">
        <v>14070786048.15</v>
      </c>
      <c r="N312" s="4">
        <v>209563</v>
      </c>
      <c r="O312">
        <f t="shared" si="4"/>
        <v>-5.0534294888667352E-3</v>
      </c>
    </row>
    <row r="313" spans="1:15" ht="14.25" customHeight="1" x14ac:dyDescent="0.3">
      <c r="A313" s="2">
        <v>45929</v>
      </c>
      <c r="B313" t="s">
        <v>15</v>
      </c>
      <c r="C313">
        <v>946.05</v>
      </c>
      <c r="D313">
        <v>956.8</v>
      </c>
      <c r="E313">
        <v>939.1</v>
      </c>
      <c r="F313">
        <v>945.05</v>
      </c>
      <c r="G313">
        <v>953.4</v>
      </c>
      <c r="H313">
        <v>950.3</v>
      </c>
      <c r="I313">
        <v>950.17</v>
      </c>
      <c r="J313" s="3">
        <v>2037.7</v>
      </c>
      <c r="K313">
        <v>939.1</v>
      </c>
      <c r="L313" s="4">
        <v>32398179</v>
      </c>
      <c r="M313" s="3">
        <v>30783888581.799999</v>
      </c>
      <c r="N313" s="4">
        <v>296694</v>
      </c>
      <c r="O313">
        <f t="shared" si="4"/>
        <v>5.5552616263689755E-3</v>
      </c>
    </row>
    <row r="314" spans="1:15" ht="14.25" customHeight="1" x14ac:dyDescent="0.3">
      <c r="A314" s="2">
        <v>45930</v>
      </c>
      <c r="B314" t="s">
        <v>15</v>
      </c>
      <c r="C314">
        <v>958.05</v>
      </c>
      <c r="D314">
        <v>960</v>
      </c>
      <c r="E314">
        <v>946.3</v>
      </c>
      <c r="F314">
        <v>950.3</v>
      </c>
      <c r="G314">
        <v>952.5</v>
      </c>
      <c r="H314">
        <v>951</v>
      </c>
      <c r="I314">
        <v>951.48</v>
      </c>
      <c r="J314" s="3">
        <v>2037.7</v>
      </c>
      <c r="K314">
        <v>939.1</v>
      </c>
      <c r="L314" s="4">
        <v>28296687</v>
      </c>
      <c r="M314" s="3">
        <v>26923671201.950001</v>
      </c>
      <c r="N314" s="4">
        <v>254597</v>
      </c>
      <c r="O314">
        <f t="shared" si="4"/>
        <v>7.3660949173949856E-4</v>
      </c>
    </row>
    <row r="315" spans="1:15" ht="14.25" customHeight="1" x14ac:dyDescent="0.3">
      <c r="A315" s="2">
        <v>45931</v>
      </c>
      <c r="B315" t="s">
        <v>15</v>
      </c>
      <c r="C315">
        <v>952.7</v>
      </c>
      <c r="D315">
        <v>969.6</v>
      </c>
      <c r="E315">
        <v>946</v>
      </c>
      <c r="F315">
        <v>951</v>
      </c>
      <c r="G315">
        <v>965.8</v>
      </c>
      <c r="H315">
        <v>965.25</v>
      </c>
      <c r="I315">
        <v>961.75</v>
      </c>
      <c r="J315" s="3">
        <v>2037.7</v>
      </c>
      <c r="K315">
        <v>939.1</v>
      </c>
      <c r="L315" s="4">
        <v>25350832</v>
      </c>
      <c r="M315" s="3">
        <v>24381070597.700001</v>
      </c>
      <c r="N315" s="4">
        <v>284713</v>
      </c>
      <c r="O315">
        <f t="shared" si="4"/>
        <v>1.498422712933754E-2</v>
      </c>
    </row>
    <row r="316" spans="1:15" ht="14.25" customHeight="1" x14ac:dyDescent="0.3">
      <c r="A316" s="2">
        <v>45933</v>
      </c>
      <c r="B316" t="s">
        <v>15</v>
      </c>
      <c r="C316">
        <v>952</v>
      </c>
      <c r="D316">
        <v>966.75</v>
      </c>
      <c r="E316">
        <v>952</v>
      </c>
      <c r="F316">
        <v>965.25</v>
      </c>
      <c r="G316">
        <v>963.7</v>
      </c>
      <c r="H316">
        <v>965.15</v>
      </c>
      <c r="I316">
        <v>960.81</v>
      </c>
      <c r="J316" s="3">
        <v>2037.7</v>
      </c>
      <c r="K316">
        <v>939.1</v>
      </c>
      <c r="L316" s="4">
        <v>26658296</v>
      </c>
      <c r="M316" s="3">
        <v>25613477189.5</v>
      </c>
      <c r="N316" s="4">
        <v>262320</v>
      </c>
      <c r="O316">
        <f t="shared" si="4"/>
        <v>-1.0360010360012716E-4</v>
      </c>
    </row>
    <row r="317" spans="1:15" ht="14.25" customHeight="1" x14ac:dyDescent="0.3">
      <c r="A317" s="2">
        <v>45936</v>
      </c>
      <c r="B317" t="s">
        <v>15</v>
      </c>
      <c r="C317">
        <v>971.9</v>
      </c>
      <c r="D317">
        <v>977.4</v>
      </c>
      <c r="E317">
        <v>962</v>
      </c>
      <c r="F317">
        <v>965.15</v>
      </c>
      <c r="G317">
        <v>973.9</v>
      </c>
      <c r="H317">
        <v>973.45</v>
      </c>
      <c r="I317">
        <v>973.33</v>
      </c>
      <c r="J317" s="3">
        <v>2037.7</v>
      </c>
      <c r="K317">
        <v>939.1</v>
      </c>
      <c r="L317" s="4">
        <v>18542683</v>
      </c>
      <c r="M317" s="3">
        <v>18048185820.200001</v>
      </c>
      <c r="N317" s="4">
        <v>242243</v>
      </c>
      <c r="O317">
        <f t="shared" si="4"/>
        <v>8.5996995285707589E-3</v>
      </c>
    </row>
    <row r="318" spans="1:15" ht="14.25" customHeight="1" x14ac:dyDescent="0.3">
      <c r="A318" s="2">
        <v>45937</v>
      </c>
      <c r="B318" t="s">
        <v>15</v>
      </c>
      <c r="C318">
        <v>974</v>
      </c>
      <c r="D318">
        <v>989.85</v>
      </c>
      <c r="E318">
        <v>971</v>
      </c>
      <c r="F318">
        <v>973.45</v>
      </c>
      <c r="G318">
        <v>981.8</v>
      </c>
      <c r="H318">
        <v>982.5</v>
      </c>
      <c r="I318">
        <v>983.54</v>
      </c>
      <c r="J318" s="3">
        <v>2037.7</v>
      </c>
      <c r="K318">
        <v>939.1</v>
      </c>
      <c r="L318" s="4">
        <v>25535736</v>
      </c>
      <c r="M318" s="3">
        <v>25115433186.599998</v>
      </c>
      <c r="N318" s="4">
        <v>246182</v>
      </c>
      <c r="O318">
        <f t="shared" si="4"/>
        <v>9.2968308593147607E-3</v>
      </c>
    </row>
    <row r="319" spans="1:15" ht="14.25" customHeight="1" x14ac:dyDescent="0.3">
      <c r="A319" s="2">
        <v>45938</v>
      </c>
      <c r="B319" t="s">
        <v>15</v>
      </c>
      <c r="C319">
        <v>976</v>
      </c>
      <c r="D319">
        <v>985.9</v>
      </c>
      <c r="E319">
        <v>974.55</v>
      </c>
      <c r="F319">
        <v>982.5</v>
      </c>
      <c r="G319">
        <v>977.2</v>
      </c>
      <c r="H319">
        <v>978.7</v>
      </c>
      <c r="I319">
        <v>979.57</v>
      </c>
      <c r="J319" s="3">
        <v>2037.7</v>
      </c>
      <c r="K319">
        <v>939.1</v>
      </c>
      <c r="L319" s="4">
        <v>15939710</v>
      </c>
      <c r="M319" s="3">
        <v>15613997664.15</v>
      </c>
      <c r="N319" s="4">
        <v>209764</v>
      </c>
      <c r="O319">
        <f t="shared" si="4"/>
        <v>-3.867684478371455E-3</v>
      </c>
    </row>
    <row r="320" spans="1:15" ht="14.25" customHeight="1" x14ac:dyDescent="0.3">
      <c r="A320" s="2">
        <v>45939</v>
      </c>
      <c r="B320" t="s">
        <v>15</v>
      </c>
      <c r="C320">
        <v>974.5</v>
      </c>
      <c r="D320">
        <v>979</v>
      </c>
      <c r="E320">
        <v>970.15</v>
      </c>
      <c r="F320">
        <v>978.7</v>
      </c>
      <c r="G320">
        <v>975</v>
      </c>
      <c r="H320">
        <v>977.1</v>
      </c>
      <c r="I320">
        <v>976</v>
      </c>
      <c r="J320" s="3">
        <v>2037.7</v>
      </c>
      <c r="K320">
        <v>939.1</v>
      </c>
      <c r="L320" s="4">
        <v>15370950</v>
      </c>
      <c r="M320" s="3">
        <v>15001996973.25</v>
      </c>
      <c r="N320" s="4">
        <v>213008</v>
      </c>
      <c r="O320">
        <f t="shared" si="4"/>
        <v>-1.6348217022581206E-3</v>
      </c>
    </row>
    <row r="321" spans="1:15" ht="14.25" customHeight="1" x14ac:dyDescent="0.3">
      <c r="A321" s="2">
        <v>45940</v>
      </c>
      <c r="B321" t="s">
        <v>15</v>
      </c>
      <c r="C321">
        <v>979</v>
      </c>
      <c r="D321">
        <v>986.2</v>
      </c>
      <c r="E321">
        <v>978.1</v>
      </c>
      <c r="F321">
        <v>977.1</v>
      </c>
      <c r="G321">
        <v>981.45</v>
      </c>
      <c r="H321">
        <v>980.9</v>
      </c>
      <c r="I321">
        <v>982.56</v>
      </c>
      <c r="J321" s="3">
        <v>2037.7</v>
      </c>
      <c r="K321">
        <v>939.1</v>
      </c>
      <c r="L321" s="4">
        <v>13757080</v>
      </c>
      <c r="M321" s="3">
        <v>13517176056.049999</v>
      </c>
      <c r="N321" s="4">
        <v>237034</v>
      </c>
      <c r="O321">
        <f t="shared" si="4"/>
        <v>3.8890594616722489E-3</v>
      </c>
    </row>
    <row r="322" spans="1:15" ht="14.25" customHeight="1" x14ac:dyDescent="0.3">
      <c r="A322" s="2">
        <v>45943</v>
      </c>
      <c r="B322" t="s">
        <v>15</v>
      </c>
      <c r="C322">
        <v>974.3</v>
      </c>
      <c r="D322">
        <v>981</v>
      </c>
      <c r="E322">
        <v>972</v>
      </c>
      <c r="F322">
        <v>980.9</v>
      </c>
      <c r="G322">
        <v>977.1</v>
      </c>
      <c r="H322">
        <v>977</v>
      </c>
      <c r="I322">
        <v>977.15</v>
      </c>
      <c r="J322" s="3">
        <v>2037.7</v>
      </c>
      <c r="K322">
        <v>939.1</v>
      </c>
      <c r="L322" s="4">
        <v>18634254</v>
      </c>
      <c r="M322" s="3">
        <v>18208400781.700001</v>
      </c>
      <c r="N322" s="4">
        <v>280003</v>
      </c>
      <c r="O322">
        <f t="shared" si="4"/>
        <v>-3.9759404628402261E-3</v>
      </c>
    </row>
    <row r="323" spans="1:15" ht="14.25" customHeight="1" x14ac:dyDescent="0.3">
      <c r="A323" s="2">
        <v>45944</v>
      </c>
      <c r="B323" t="s">
        <v>15</v>
      </c>
      <c r="C323">
        <v>970</v>
      </c>
      <c r="D323">
        <v>980.45</v>
      </c>
      <c r="E323">
        <v>967</v>
      </c>
      <c r="F323">
        <v>977</v>
      </c>
      <c r="G323">
        <v>976.25</v>
      </c>
      <c r="H323">
        <v>977.15</v>
      </c>
      <c r="I323">
        <v>975.43</v>
      </c>
      <c r="J323" s="3">
        <v>2037.7</v>
      </c>
      <c r="K323">
        <v>939.1</v>
      </c>
      <c r="L323" s="4">
        <v>22934382</v>
      </c>
      <c r="M323" s="3">
        <v>22370980681.75</v>
      </c>
      <c r="N323" s="4">
        <v>217173</v>
      </c>
      <c r="O323">
        <f t="shared" ref="O323:O386" si="5">(H323-H322)/H322</f>
        <v>1.5353121801430631E-4</v>
      </c>
    </row>
    <row r="324" spans="1:15" ht="14.25" customHeight="1" x14ac:dyDescent="0.3">
      <c r="A324" s="2">
        <v>45945</v>
      </c>
      <c r="B324" t="s">
        <v>15</v>
      </c>
      <c r="C324">
        <v>975</v>
      </c>
      <c r="D324">
        <v>984.9</v>
      </c>
      <c r="E324">
        <v>973.35</v>
      </c>
      <c r="F324">
        <v>977.15</v>
      </c>
      <c r="G324">
        <v>978.5</v>
      </c>
      <c r="H324">
        <v>978.25</v>
      </c>
      <c r="I324">
        <v>979.29</v>
      </c>
      <c r="J324" s="3">
        <v>2037.7</v>
      </c>
      <c r="K324">
        <v>939.1</v>
      </c>
      <c r="L324" s="4">
        <v>23310447</v>
      </c>
      <c r="M324" s="3">
        <v>22827742875.950001</v>
      </c>
      <c r="N324" s="4">
        <v>251500</v>
      </c>
      <c r="O324">
        <f t="shared" si="5"/>
        <v>1.1257227651844883E-3</v>
      </c>
    </row>
    <row r="325" spans="1:15" ht="14.25" customHeight="1" x14ac:dyDescent="0.3">
      <c r="A325" s="2">
        <v>45946</v>
      </c>
      <c r="B325" t="s">
        <v>15</v>
      </c>
      <c r="C325">
        <v>982.65</v>
      </c>
      <c r="D325">
        <v>996.6</v>
      </c>
      <c r="E325">
        <v>981.5</v>
      </c>
      <c r="F325">
        <v>978.25</v>
      </c>
      <c r="G325">
        <v>993.6</v>
      </c>
      <c r="H325">
        <v>994.35</v>
      </c>
      <c r="I325">
        <v>989.28</v>
      </c>
      <c r="J325" s="3">
        <v>2037.7</v>
      </c>
      <c r="K325">
        <v>939.1</v>
      </c>
      <c r="L325" s="4">
        <v>22936566</v>
      </c>
      <c r="M325" s="3">
        <v>22690615843.349998</v>
      </c>
      <c r="N325" s="4">
        <v>362882</v>
      </c>
      <c r="O325">
        <f t="shared" si="5"/>
        <v>1.6457960644007178E-2</v>
      </c>
    </row>
    <row r="326" spans="1:15" ht="14.25" customHeight="1" x14ac:dyDescent="0.3">
      <c r="A326" s="2">
        <v>45947</v>
      </c>
      <c r="B326" t="s">
        <v>15</v>
      </c>
      <c r="C326">
        <v>993.95</v>
      </c>
      <c r="D326" s="3">
        <v>1009</v>
      </c>
      <c r="E326">
        <v>986</v>
      </c>
      <c r="F326">
        <v>994.35</v>
      </c>
      <c r="G326" s="3">
        <v>1000.6</v>
      </c>
      <c r="H326" s="3">
        <v>1002.55</v>
      </c>
      <c r="I326" s="3">
        <v>1001.76</v>
      </c>
      <c r="J326" s="3">
        <v>2037.7</v>
      </c>
      <c r="K326">
        <v>939.1</v>
      </c>
      <c r="L326" s="4">
        <v>25210511</v>
      </c>
      <c r="M326" s="3">
        <v>25254761309.799999</v>
      </c>
      <c r="N326" s="4">
        <v>371430</v>
      </c>
      <c r="O326">
        <f t="shared" si="5"/>
        <v>8.2465932518730137E-3</v>
      </c>
    </row>
    <row r="327" spans="1:15" ht="14.25" customHeight="1" x14ac:dyDescent="0.3">
      <c r="A327" s="2">
        <v>45950</v>
      </c>
      <c r="B327" t="s">
        <v>15</v>
      </c>
      <c r="C327">
        <v>997</v>
      </c>
      <c r="D327" s="3">
        <v>1020</v>
      </c>
      <c r="E327">
        <v>997</v>
      </c>
      <c r="F327" s="3">
        <v>1002.55</v>
      </c>
      <c r="G327" s="3">
        <v>1003.6</v>
      </c>
      <c r="H327" s="3">
        <v>1002.95</v>
      </c>
      <c r="I327" s="3">
        <v>1005.08</v>
      </c>
      <c r="J327" s="3">
        <v>2037.7</v>
      </c>
      <c r="K327">
        <v>939.1</v>
      </c>
      <c r="L327" s="4">
        <v>22195202</v>
      </c>
      <c r="M327" s="3">
        <v>22307932790.700001</v>
      </c>
      <c r="N327" s="4">
        <v>416206</v>
      </c>
      <c r="O327">
        <f t="shared" si="5"/>
        <v>3.989825943844107E-4</v>
      </c>
    </row>
    <row r="328" spans="1:15" ht="14.25" customHeight="1" x14ac:dyDescent="0.3">
      <c r="A328" s="2">
        <v>45951</v>
      </c>
      <c r="B328" t="s">
        <v>15</v>
      </c>
      <c r="C328" s="3">
        <v>1006</v>
      </c>
      <c r="D328" s="3">
        <v>1010</v>
      </c>
      <c r="E328" s="3">
        <v>1004</v>
      </c>
      <c r="F328" s="3">
        <v>1002.95</v>
      </c>
      <c r="G328" s="3">
        <v>1004</v>
      </c>
      <c r="H328" s="3">
        <v>1007.7</v>
      </c>
      <c r="I328" s="3">
        <v>1008.15</v>
      </c>
      <c r="J328" s="3">
        <v>2037.7</v>
      </c>
      <c r="K328">
        <v>939.1</v>
      </c>
      <c r="L328" s="4">
        <v>3471600</v>
      </c>
      <c r="M328" s="3">
        <v>3499906215.3499999</v>
      </c>
      <c r="N328" s="4">
        <v>88749</v>
      </c>
      <c r="O328">
        <f t="shared" si="5"/>
        <v>4.7360287152898948E-3</v>
      </c>
    </row>
    <row r="329" spans="1:15" ht="14.25" customHeight="1" x14ac:dyDescent="0.3">
      <c r="A329" s="2">
        <v>45953</v>
      </c>
      <c r="B329" t="s">
        <v>15</v>
      </c>
      <c r="C329" s="3">
        <v>1016</v>
      </c>
      <c r="D329" s="3">
        <v>1020.5</v>
      </c>
      <c r="E329" s="3">
        <v>1006</v>
      </c>
      <c r="F329" s="3">
        <v>1007.7</v>
      </c>
      <c r="G329" s="3">
        <v>1006.6</v>
      </c>
      <c r="H329" s="3">
        <v>1008.8</v>
      </c>
      <c r="I329" s="3">
        <v>1013.19</v>
      </c>
      <c r="J329" s="3">
        <v>2037.7</v>
      </c>
      <c r="K329">
        <v>939.1</v>
      </c>
      <c r="L329" s="4">
        <v>43526526</v>
      </c>
      <c r="M329" s="3">
        <v>44100430667.150002</v>
      </c>
      <c r="N329" s="4">
        <v>518216</v>
      </c>
      <c r="O329">
        <f t="shared" si="5"/>
        <v>1.091594720650897E-3</v>
      </c>
    </row>
    <row r="330" spans="1:15" ht="14.25" customHeight="1" x14ac:dyDescent="0.3">
      <c r="A330" s="2">
        <v>45954</v>
      </c>
      <c r="B330" t="s">
        <v>15</v>
      </c>
      <c r="C330" s="3">
        <v>1011</v>
      </c>
      <c r="D330" s="3">
        <v>1011.95</v>
      </c>
      <c r="E330">
        <v>991.3</v>
      </c>
      <c r="F330" s="3">
        <v>1008.8</v>
      </c>
      <c r="G330">
        <v>995.9</v>
      </c>
      <c r="H330">
        <v>994.75</v>
      </c>
      <c r="I330">
        <v>999.4</v>
      </c>
      <c r="J330" s="3">
        <v>2037.7</v>
      </c>
      <c r="K330">
        <v>939.1</v>
      </c>
      <c r="L330" s="4">
        <v>17707768</v>
      </c>
      <c r="M330" s="3">
        <v>17697089817.299999</v>
      </c>
      <c r="N330" s="4">
        <v>362016</v>
      </c>
      <c r="O330">
        <f t="shared" si="5"/>
        <v>-1.3927438540840558E-2</v>
      </c>
    </row>
    <row r="331" spans="1:15" ht="14.25" customHeight="1" x14ac:dyDescent="0.3">
      <c r="A331" s="2">
        <v>45957</v>
      </c>
      <c r="B331" t="s">
        <v>15</v>
      </c>
      <c r="C331">
        <v>996.5</v>
      </c>
      <c r="D331" s="3">
        <v>1009.05</v>
      </c>
      <c r="E331">
        <v>996.2</v>
      </c>
      <c r="F331">
        <v>994.75</v>
      </c>
      <c r="G331" s="3">
        <v>1003.5</v>
      </c>
      <c r="H331" s="3">
        <v>1002.95</v>
      </c>
      <c r="I331" s="3">
        <v>1003.92</v>
      </c>
      <c r="J331" s="3">
        <v>2037.7</v>
      </c>
      <c r="K331">
        <v>939.1</v>
      </c>
      <c r="L331" s="4">
        <v>15700796</v>
      </c>
      <c r="M331" s="3">
        <v>15762265430.25</v>
      </c>
      <c r="N331" s="4">
        <v>297938</v>
      </c>
      <c r="O331">
        <f t="shared" si="5"/>
        <v>8.243277205328017E-3</v>
      </c>
    </row>
    <row r="332" spans="1:15" ht="14.25" customHeight="1" x14ac:dyDescent="0.3">
      <c r="A332" s="2">
        <v>45958</v>
      </c>
      <c r="B332" t="s">
        <v>15</v>
      </c>
      <c r="C332">
        <v>997.65</v>
      </c>
      <c r="D332" s="3">
        <v>1008</v>
      </c>
      <c r="E332">
        <v>995</v>
      </c>
      <c r="F332" s="3">
        <v>1002.95</v>
      </c>
      <c r="G332" s="3">
        <v>1004.9</v>
      </c>
      <c r="H332" s="3">
        <v>1003.55</v>
      </c>
      <c r="I332" s="3">
        <v>1001.18</v>
      </c>
      <c r="J332" s="3">
        <v>2037.7</v>
      </c>
      <c r="K332">
        <v>939.1</v>
      </c>
      <c r="L332" s="4">
        <v>33904289</v>
      </c>
      <c r="M332" s="3">
        <v>33944177651.400002</v>
      </c>
      <c r="N332" s="4">
        <v>423621</v>
      </c>
      <c r="O332">
        <f t="shared" si="5"/>
        <v>5.9823520614179072E-4</v>
      </c>
    </row>
    <row r="333" spans="1:15" ht="14.25" customHeight="1" x14ac:dyDescent="0.3">
      <c r="A333" s="2">
        <v>45959</v>
      </c>
      <c r="B333" t="s">
        <v>15</v>
      </c>
      <c r="C333" s="3">
        <v>1004.9</v>
      </c>
      <c r="D333" s="3">
        <v>1012.5</v>
      </c>
      <c r="E333" s="3">
        <v>1000</v>
      </c>
      <c r="F333" s="3">
        <v>1003.55</v>
      </c>
      <c r="G333" s="3">
        <v>1008.5</v>
      </c>
      <c r="H333" s="3">
        <v>1007.85</v>
      </c>
      <c r="I333" s="3">
        <v>1007.89</v>
      </c>
      <c r="J333" s="3">
        <v>2037.7</v>
      </c>
      <c r="K333">
        <v>939.1</v>
      </c>
      <c r="L333" s="4">
        <v>17769445</v>
      </c>
      <c r="M333" s="3">
        <v>17909676109.650002</v>
      </c>
      <c r="N333" s="4">
        <v>281715</v>
      </c>
      <c r="O333">
        <f t="shared" si="5"/>
        <v>4.2847889990534288E-3</v>
      </c>
    </row>
    <row r="334" spans="1:15" ht="14.25" customHeight="1" x14ac:dyDescent="0.3">
      <c r="A334" s="2">
        <v>45960</v>
      </c>
      <c r="B334" t="s">
        <v>15</v>
      </c>
      <c r="C334" s="3">
        <v>1000</v>
      </c>
      <c r="D334" s="3">
        <v>1009.5</v>
      </c>
      <c r="E334">
        <v>997.1</v>
      </c>
      <c r="F334" s="3">
        <v>1007.85</v>
      </c>
      <c r="G334">
        <v>999.95</v>
      </c>
      <c r="H334">
        <v>998.15</v>
      </c>
      <c r="I334" s="3">
        <v>1001.53</v>
      </c>
      <c r="J334" s="3">
        <v>2037.7</v>
      </c>
      <c r="K334">
        <v>939.1</v>
      </c>
      <c r="L334" s="4">
        <v>19962917</v>
      </c>
      <c r="M334" s="3">
        <v>19993506579.25</v>
      </c>
      <c r="N334" s="4">
        <v>365104</v>
      </c>
      <c r="O334">
        <f t="shared" si="5"/>
        <v>-9.6244480825520128E-3</v>
      </c>
    </row>
    <row r="335" spans="1:15" ht="14.25" customHeight="1" x14ac:dyDescent="0.3">
      <c r="A335" s="2">
        <v>45961</v>
      </c>
      <c r="B335" t="s">
        <v>15</v>
      </c>
      <c r="C335">
        <v>994</v>
      </c>
      <c r="D335" s="3">
        <v>1004.45</v>
      </c>
      <c r="E335">
        <v>981.15</v>
      </c>
      <c r="F335">
        <v>998.15</v>
      </c>
      <c r="G335">
        <v>987.95</v>
      </c>
      <c r="H335">
        <v>987.3</v>
      </c>
      <c r="I335">
        <v>989.37</v>
      </c>
      <c r="J335" s="3">
        <v>2037.7</v>
      </c>
      <c r="K335">
        <v>939.1</v>
      </c>
      <c r="L335" s="4">
        <v>23221330</v>
      </c>
      <c r="M335" s="3">
        <v>22974558984.150002</v>
      </c>
      <c r="N335" s="4">
        <v>454775</v>
      </c>
      <c r="O335">
        <f t="shared" si="5"/>
        <v>-1.0870109702950482E-2</v>
      </c>
    </row>
    <row r="336" spans="1:15" ht="14.25" customHeight="1" x14ac:dyDescent="0.3">
      <c r="A336" s="2">
        <v>45964</v>
      </c>
      <c r="B336" t="s">
        <v>15</v>
      </c>
      <c r="C336">
        <v>985</v>
      </c>
      <c r="D336">
        <v>994.55</v>
      </c>
      <c r="E336">
        <v>983.3</v>
      </c>
      <c r="F336">
        <v>987.3</v>
      </c>
      <c r="G336">
        <v>993.4</v>
      </c>
      <c r="H336">
        <v>992.65</v>
      </c>
      <c r="I336">
        <v>991.15</v>
      </c>
      <c r="J336" s="3">
        <v>2037.7</v>
      </c>
      <c r="K336">
        <v>939.1</v>
      </c>
      <c r="L336" s="4">
        <v>16607180</v>
      </c>
      <c r="M336" s="3">
        <v>16460236700.549999</v>
      </c>
      <c r="N336" s="4">
        <v>288032</v>
      </c>
      <c r="O336">
        <f t="shared" si="5"/>
        <v>5.4188190013167454E-3</v>
      </c>
    </row>
    <row r="337" spans="1:15" ht="14.25" customHeight="1" x14ac:dyDescent="0.3">
      <c r="A337" s="2">
        <v>45965</v>
      </c>
      <c r="B337" t="s">
        <v>15</v>
      </c>
      <c r="C337">
        <v>987</v>
      </c>
      <c r="D337">
        <v>997</v>
      </c>
      <c r="E337">
        <v>983.7</v>
      </c>
      <c r="F337">
        <v>992.65</v>
      </c>
      <c r="G337">
        <v>985.7</v>
      </c>
      <c r="H337">
        <v>985.25</v>
      </c>
      <c r="I337">
        <v>990.21</v>
      </c>
      <c r="J337" s="3">
        <v>2037.7</v>
      </c>
      <c r="K337">
        <v>939.1</v>
      </c>
      <c r="L337" s="4">
        <v>20024544</v>
      </c>
      <c r="M337" s="3">
        <v>19828527608.75</v>
      </c>
      <c r="N337" s="4">
        <v>302828</v>
      </c>
      <c r="O337">
        <f t="shared" si="5"/>
        <v>-7.4547927265400469E-3</v>
      </c>
    </row>
    <row r="338" spans="1:15" ht="14.25" customHeight="1" x14ac:dyDescent="0.3">
      <c r="A338" s="2">
        <v>45967</v>
      </c>
      <c r="B338" t="s">
        <v>15</v>
      </c>
      <c r="C338">
        <v>981</v>
      </c>
      <c r="D338">
        <v>991.05</v>
      </c>
      <c r="E338">
        <v>974</v>
      </c>
      <c r="F338">
        <v>985.25</v>
      </c>
      <c r="G338">
        <v>987.5</v>
      </c>
      <c r="H338">
        <v>984.65</v>
      </c>
      <c r="I338">
        <v>984.48</v>
      </c>
      <c r="J338" s="3">
        <v>2037.7</v>
      </c>
      <c r="K338">
        <v>939.1</v>
      </c>
      <c r="L338" s="4">
        <v>22279516</v>
      </c>
      <c r="M338" s="3">
        <v>21933818395.900002</v>
      </c>
      <c r="N338" s="4">
        <v>278532</v>
      </c>
      <c r="O338">
        <f t="shared" si="5"/>
        <v>-6.0898249175338518E-4</v>
      </c>
    </row>
    <row r="339" spans="1:15" ht="14.25" customHeight="1" x14ac:dyDescent="0.3">
      <c r="A339" s="2">
        <v>45968</v>
      </c>
      <c r="B339" t="s">
        <v>15</v>
      </c>
      <c r="C339">
        <v>980</v>
      </c>
      <c r="D339">
        <v>984.9</v>
      </c>
      <c r="E339">
        <v>974.75</v>
      </c>
      <c r="F339">
        <v>984.65</v>
      </c>
      <c r="G339">
        <v>984.3</v>
      </c>
      <c r="H339">
        <v>982.3</v>
      </c>
      <c r="I339">
        <v>979.96</v>
      </c>
      <c r="J339" s="3">
        <v>2037.7</v>
      </c>
      <c r="K339">
        <v>939.1</v>
      </c>
      <c r="L339" s="4">
        <v>15004568</v>
      </c>
      <c r="M339" s="3">
        <v>14703832279.799999</v>
      </c>
      <c r="N339" s="4">
        <v>315369</v>
      </c>
      <c r="O339">
        <f t="shared" si="5"/>
        <v>-2.3866348448687582E-3</v>
      </c>
    </row>
    <row r="340" spans="1:15" ht="14.25" customHeight="1" x14ac:dyDescent="0.3">
      <c r="A340" s="2">
        <v>45971</v>
      </c>
      <c r="B340" t="s">
        <v>15</v>
      </c>
      <c r="C340">
        <v>982.3</v>
      </c>
      <c r="D340">
        <v>990.95</v>
      </c>
      <c r="E340">
        <v>980.2</v>
      </c>
      <c r="F340">
        <v>982.3</v>
      </c>
      <c r="G340">
        <v>984.6</v>
      </c>
      <c r="H340">
        <v>984.5</v>
      </c>
      <c r="I340">
        <v>986.19</v>
      </c>
      <c r="J340" s="3">
        <v>2037.7</v>
      </c>
      <c r="K340">
        <v>939.1</v>
      </c>
      <c r="L340" s="4">
        <v>15988262</v>
      </c>
      <c r="M340" s="3">
        <v>15767386584</v>
      </c>
      <c r="N340" s="4">
        <v>373004</v>
      </c>
      <c r="O340">
        <f t="shared" si="5"/>
        <v>2.2396416573348728E-3</v>
      </c>
    </row>
    <row r="341" spans="1:15" ht="14.25" customHeight="1" x14ac:dyDescent="0.3">
      <c r="A341" s="2">
        <v>45972</v>
      </c>
      <c r="B341" t="s">
        <v>15</v>
      </c>
      <c r="C341">
        <v>983.5</v>
      </c>
      <c r="D341">
        <v>993.5</v>
      </c>
      <c r="E341">
        <v>978</v>
      </c>
      <c r="F341">
        <v>984.5</v>
      </c>
      <c r="G341">
        <v>992</v>
      </c>
      <c r="H341">
        <v>991.7</v>
      </c>
      <c r="I341">
        <v>987.26</v>
      </c>
      <c r="J341" s="3">
        <v>2037.7</v>
      </c>
      <c r="K341">
        <v>939.1</v>
      </c>
      <c r="L341" s="4">
        <v>10200530</v>
      </c>
      <c r="M341" s="3">
        <v>10070524484.25</v>
      </c>
      <c r="N341" s="4">
        <v>229810</v>
      </c>
      <c r="O341">
        <f t="shared" si="5"/>
        <v>7.3133570340274713E-3</v>
      </c>
    </row>
    <row r="342" spans="1:15" ht="14.25" customHeight="1" x14ac:dyDescent="0.3">
      <c r="A342" s="2">
        <v>45973</v>
      </c>
      <c r="B342" t="s">
        <v>15</v>
      </c>
      <c r="C342">
        <v>998.8</v>
      </c>
      <c r="D342">
        <v>999</v>
      </c>
      <c r="E342">
        <v>987.7</v>
      </c>
      <c r="F342">
        <v>991.7</v>
      </c>
      <c r="G342">
        <v>990.25</v>
      </c>
      <c r="H342">
        <v>989.5</v>
      </c>
      <c r="I342">
        <v>992.14</v>
      </c>
      <c r="J342" s="3">
        <v>2037.7</v>
      </c>
      <c r="K342">
        <v>939.1</v>
      </c>
      <c r="L342" s="4">
        <v>13137263</v>
      </c>
      <c r="M342" s="3">
        <v>13034039694.950001</v>
      </c>
      <c r="N342" s="4">
        <v>166500</v>
      </c>
      <c r="O342">
        <f t="shared" si="5"/>
        <v>-2.2184128264596606E-3</v>
      </c>
    </row>
    <row r="343" spans="1:15" ht="14.25" customHeight="1" x14ac:dyDescent="0.3">
      <c r="A343" s="2">
        <v>45974</v>
      </c>
      <c r="B343" t="s">
        <v>15</v>
      </c>
      <c r="C343">
        <v>984</v>
      </c>
      <c r="D343">
        <v>990.1</v>
      </c>
      <c r="E343">
        <v>982.6</v>
      </c>
      <c r="F343">
        <v>989.5</v>
      </c>
      <c r="G343">
        <v>985.75</v>
      </c>
      <c r="H343">
        <v>986.65</v>
      </c>
      <c r="I343">
        <v>986.34</v>
      </c>
      <c r="J343" s="3">
        <v>2037.7</v>
      </c>
      <c r="K343">
        <v>939.1</v>
      </c>
      <c r="L343" s="4">
        <v>14124839</v>
      </c>
      <c r="M343" s="3">
        <v>13931855903.950001</v>
      </c>
      <c r="N343" s="4">
        <v>289471</v>
      </c>
      <c r="O343">
        <f t="shared" si="5"/>
        <v>-2.8802425467408009E-3</v>
      </c>
    </row>
    <row r="344" spans="1:15" ht="14.25" customHeight="1" x14ac:dyDescent="0.3">
      <c r="A344" s="2">
        <v>45975</v>
      </c>
      <c r="B344" t="s">
        <v>15</v>
      </c>
      <c r="C344">
        <v>976.05</v>
      </c>
      <c r="D344">
        <v>991.65</v>
      </c>
      <c r="E344">
        <v>976.05</v>
      </c>
      <c r="F344">
        <v>986.65</v>
      </c>
      <c r="G344">
        <v>989</v>
      </c>
      <c r="H344">
        <v>989.6</v>
      </c>
      <c r="I344">
        <v>984.95</v>
      </c>
      <c r="J344" s="3">
        <v>2037.7</v>
      </c>
      <c r="K344">
        <v>939.1</v>
      </c>
      <c r="L344" s="4">
        <v>21386965</v>
      </c>
      <c r="M344" s="3">
        <v>21065033481.450001</v>
      </c>
      <c r="N344" s="4">
        <v>301431</v>
      </c>
      <c r="O344">
        <f t="shared" si="5"/>
        <v>2.9899153701921101E-3</v>
      </c>
    </row>
    <row r="345" spans="1:15" ht="14.25" customHeight="1" x14ac:dyDescent="0.3">
      <c r="A345" s="2">
        <v>45978</v>
      </c>
      <c r="B345" t="s">
        <v>15</v>
      </c>
      <c r="C345">
        <v>991.25</v>
      </c>
      <c r="D345">
        <v>997.95</v>
      </c>
      <c r="E345">
        <v>985.6</v>
      </c>
      <c r="F345">
        <v>989.6</v>
      </c>
      <c r="G345">
        <v>996.45</v>
      </c>
      <c r="H345">
        <v>996.55</v>
      </c>
      <c r="I345">
        <v>993.87</v>
      </c>
      <c r="J345" s="3">
        <v>2037.7</v>
      </c>
      <c r="K345">
        <v>939.1</v>
      </c>
      <c r="L345" s="4">
        <v>18396408</v>
      </c>
      <c r="M345" s="3">
        <v>18283667280.450001</v>
      </c>
      <c r="N345" s="4">
        <v>197155</v>
      </c>
      <c r="O345">
        <f t="shared" si="5"/>
        <v>7.0230396119643611E-3</v>
      </c>
    </row>
    <row r="346" spans="1:15" ht="14.25" customHeight="1" x14ac:dyDescent="0.3">
      <c r="A346" s="2">
        <v>45979</v>
      </c>
      <c r="B346" t="s">
        <v>15</v>
      </c>
      <c r="C346">
        <v>997.65</v>
      </c>
      <c r="D346">
        <v>999</v>
      </c>
      <c r="E346">
        <v>990</v>
      </c>
      <c r="F346">
        <v>996.55</v>
      </c>
      <c r="G346">
        <v>990.85</v>
      </c>
      <c r="H346">
        <v>992.45</v>
      </c>
      <c r="I346">
        <v>994.68</v>
      </c>
      <c r="J346" s="3">
        <v>2037.7</v>
      </c>
      <c r="K346">
        <v>939.1</v>
      </c>
      <c r="L346" s="4">
        <v>20002640</v>
      </c>
      <c r="M346" s="3">
        <v>19896287879.549999</v>
      </c>
      <c r="N346" s="4">
        <v>217914</v>
      </c>
      <c r="O346">
        <f t="shared" si="5"/>
        <v>-4.1141939691936276E-3</v>
      </c>
    </row>
    <row r="347" spans="1:15" ht="14.25" customHeight="1" x14ac:dyDescent="0.3">
      <c r="A347" s="2">
        <v>45980</v>
      </c>
      <c r="B347" t="s">
        <v>15</v>
      </c>
      <c r="C347">
        <v>990</v>
      </c>
      <c r="D347">
        <v>996.55</v>
      </c>
      <c r="E347">
        <v>984</v>
      </c>
      <c r="F347">
        <v>992.45</v>
      </c>
      <c r="G347">
        <v>994.8</v>
      </c>
      <c r="H347">
        <v>994.6</v>
      </c>
      <c r="I347">
        <v>989.67</v>
      </c>
      <c r="J347" s="3">
        <v>2037.7</v>
      </c>
      <c r="K347">
        <v>939.1</v>
      </c>
      <c r="L347" s="4">
        <v>19813847</v>
      </c>
      <c r="M347" s="3">
        <v>19609199278.349998</v>
      </c>
      <c r="N347" s="4">
        <v>201324</v>
      </c>
      <c r="O347">
        <f t="shared" si="5"/>
        <v>2.1663559877071661E-3</v>
      </c>
    </row>
    <row r="348" spans="1:15" ht="14.25" customHeight="1" x14ac:dyDescent="0.3">
      <c r="A348" s="2">
        <v>45981</v>
      </c>
      <c r="B348" t="s">
        <v>15</v>
      </c>
      <c r="C348">
        <v>995.3</v>
      </c>
      <c r="D348" s="3">
        <v>1011.6</v>
      </c>
      <c r="E348">
        <v>992.45</v>
      </c>
      <c r="F348">
        <v>994.6</v>
      </c>
      <c r="G348" s="3">
        <v>1008.6</v>
      </c>
      <c r="H348" s="3">
        <v>1008.85</v>
      </c>
      <c r="I348" s="3">
        <v>1003.81</v>
      </c>
      <c r="J348" s="3">
        <v>2037.7</v>
      </c>
      <c r="K348">
        <v>939.1</v>
      </c>
      <c r="L348" s="4">
        <v>19850865</v>
      </c>
      <c r="M348" s="3">
        <v>19926417239.25</v>
      </c>
      <c r="N348" s="4">
        <v>254686</v>
      </c>
      <c r="O348">
        <f t="shared" si="5"/>
        <v>1.4327367786044641E-2</v>
      </c>
    </row>
    <row r="349" spans="1:15" ht="14.25" customHeight="1" x14ac:dyDescent="0.3">
      <c r="A349" s="2">
        <v>45982</v>
      </c>
      <c r="B349" t="s">
        <v>15</v>
      </c>
      <c r="C349" s="3">
        <v>1003.1</v>
      </c>
      <c r="D349" s="3">
        <v>1008.3</v>
      </c>
      <c r="E349">
        <v>996.55</v>
      </c>
      <c r="F349" s="3">
        <v>1008.85</v>
      </c>
      <c r="G349">
        <v>998</v>
      </c>
      <c r="H349">
        <v>998.05</v>
      </c>
      <c r="I349" s="3">
        <v>1001.07</v>
      </c>
      <c r="J349" s="3">
        <v>2037.7</v>
      </c>
      <c r="K349">
        <v>939.1</v>
      </c>
      <c r="L349" s="4">
        <v>17499897</v>
      </c>
      <c r="M349" s="3">
        <v>17518694760</v>
      </c>
      <c r="N349" s="4">
        <v>271649</v>
      </c>
      <c r="O349">
        <f t="shared" si="5"/>
        <v>-1.0705258462606004E-2</v>
      </c>
    </row>
    <row r="350" spans="1:15" ht="14.25" customHeight="1" x14ac:dyDescent="0.3">
      <c r="A350" s="2">
        <v>45985</v>
      </c>
      <c r="B350" t="s">
        <v>15</v>
      </c>
      <c r="C350" s="3">
        <v>1000</v>
      </c>
      <c r="D350" s="3">
        <v>1011.45</v>
      </c>
      <c r="E350">
        <v>993.6</v>
      </c>
      <c r="F350">
        <v>998.05</v>
      </c>
      <c r="G350">
        <v>997.85</v>
      </c>
      <c r="H350">
        <v>999.15</v>
      </c>
      <c r="I350" s="3">
        <v>1001.79</v>
      </c>
      <c r="J350" s="3">
        <v>2037.7</v>
      </c>
      <c r="K350">
        <v>939.1</v>
      </c>
      <c r="L350" s="4">
        <v>32204053</v>
      </c>
      <c r="M350" s="3">
        <v>32261618761.75</v>
      </c>
      <c r="N350" s="4">
        <v>280226</v>
      </c>
      <c r="O350">
        <f t="shared" si="5"/>
        <v>1.1021491909223213E-3</v>
      </c>
    </row>
    <row r="351" spans="1:15" ht="14.25" customHeight="1" x14ac:dyDescent="0.3">
      <c r="A351" s="2">
        <v>45986</v>
      </c>
      <c r="B351" t="s">
        <v>15</v>
      </c>
      <c r="C351" s="3">
        <v>1004</v>
      </c>
      <c r="D351" s="3">
        <v>1006.1</v>
      </c>
      <c r="E351">
        <v>988.4</v>
      </c>
      <c r="F351">
        <v>999.15</v>
      </c>
      <c r="G351">
        <v>989.45</v>
      </c>
      <c r="H351">
        <v>989.8</v>
      </c>
      <c r="I351">
        <v>995.08</v>
      </c>
      <c r="J351" s="3">
        <v>2037.7</v>
      </c>
      <c r="K351">
        <v>939.1</v>
      </c>
      <c r="L351" s="4">
        <v>24989383</v>
      </c>
      <c r="M351" s="3">
        <v>24866505641.799999</v>
      </c>
      <c r="N351" s="4">
        <v>275451</v>
      </c>
      <c r="O351">
        <f t="shared" si="5"/>
        <v>-9.3579542611219764E-3</v>
      </c>
    </row>
    <row r="352" spans="1:15" ht="14.25" customHeight="1" x14ac:dyDescent="0.3">
      <c r="A352" s="2">
        <v>45987</v>
      </c>
      <c r="B352" t="s">
        <v>15</v>
      </c>
      <c r="C352">
        <v>981.3</v>
      </c>
      <c r="D352" s="3">
        <v>1006.95</v>
      </c>
      <c r="E352">
        <v>981.3</v>
      </c>
      <c r="F352">
        <v>989.8</v>
      </c>
      <c r="G352" s="3">
        <v>1005</v>
      </c>
      <c r="H352" s="3">
        <v>1003.9</v>
      </c>
      <c r="I352">
        <v>999.58</v>
      </c>
      <c r="J352" s="3">
        <v>2037.7</v>
      </c>
      <c r="K352">
        <v>939.1</v>
      </c>
      <c r="L352" s="4">
        <v>19494356</v>
      </c>
      <c r="M352" s="3">
        <v>19486197443.700001</v>
      </c>
      <c r="N352" s="4">
        <v>207998</v>
      </c>
      <c r="O352">
        <f t="shared" si="5"/>
        <v>1.4245302081228555E-2</v>
      </c>
    </row>
    <row r="353" spans="1:15" ht="14.25" customHeight="1" x14ac:dyDescent="0.3">
      <c r="A353" s="2">
        <v>45988</v>
      </c>
      <c r="B353" t="s">
        <v>15</v>
      </c>
      <c r="C353" s="3">
        <v>1002.1</v>
      </c>
      <c r="D353" s="3">
        <v>1016.8</v>
      </c>
      <c r="E353" s="3">
        <v>1001</v>
      </c>
      <c r="F353" s="3">
        <v>1003.9</v>
      </c>
      <c r="G353" s="3">
        <v>1009.05</v>
      </c>
      <c r="H353" s="3">
        <v>1009.5</v>
      </c>
      <c r="I353" s="3">
        <v>1010.95</v>
      </c>
      <c r="J353" s="3">
        <v>2037.7</v>
      </c>
      <c r="K353">
        <v>939.1</v>
      </c>
      <c r="L353" s="4">
        <v>25536848</v>
      </c>
      <c r="M353" s="3">
        <v>25816356116.099998</v>
      </c>
      <c r="N353" s="4">
        <v>313073</v>
      </c>
      <c r="O353">
        <f t="shared" si="5"/>
        <v>5.5782448451041165E-3</v>
      </c>
    </row>
    <row r="354" spans="1:15" ht="14.25" customHeight="1" x14ac:dyDescent="0.3">
      <c r="A354" s="2">
        <v>45989</v>
      </c>
      <c r="B354" t="s">
        <v>15</v>
      </c>
      <c r="C354" s="3">
        <v>1007</v>
      </c>
      <c r="D354" s="3">
        <v>1012.05</v>
      </c>
      <c r="E354" s="3">
        <v>1004.2</v>
      </c>
      <c r="F354" s="3">
        <v>1009.5</v>
      </c>
      <c r="G354" s="3">
        <v>1006.7</v>
      </c>
      <c r="H354" s="3">
        <v>1007.6</v>
      </c>
      <c r="I354" s="3">
        <v>1008.93</v>
      </c>
      <c r="J354" s="3">
        <v>2037.7</v>
      </c>
      <c r="K354">
        <v>939.1</v>
      </c>
      <c r="L354" s="4">
        <v>15988807</v>
      </c>
      <c r="M354" s="3">
        <v>16131518093.4</v>
      </c>
      <c r="N354" s="4">
        <v>178196</v>
      </c>
      <c r="O354">
        <f t="shared" si="5"/>
        <v>-1.8821198613174614E-3</v>
      </c>
    </row>
    <row r="355" spans="1:15" ht="14.25" customHeight="1" x14ac:dyDescent="0.3">
      <c r="A355" s="2">
        <v>45992</v>
      </c>
      <c r="B355" t="s">
        <v>15</v>
      </c>
      <c r="C355" s="3">
        <v>1017.5</v>
      </c>
      <c r="D355" s="3">
        <v>1017.5</v>
      </c>
      <c r="E355">
        <v>999.3</v>
      </c>
      <c r="F355" s="3">
        <v>1007.6</v>
      </c>
      <c r="G355" s="3">
        <v>1002.9</v>
      </c>
      <c r="H355" s="3">
        <v>1002.1</v>
      </c>
      <c r="I355" s="3">
        <v>1005.66</v>
      </c>
      <c r="J355" s="3">
        <v>2037.7</v>
      </c>
      <c r="K355">
        <v>939.1</v>
      </c>
      <c r="L355" s="4">
        <v>16746566</v>
      </c>
      <c r="M355" s="3">
        <v>16841329243.200001</v>
      </c>
      <c r="N355" s="4">
        <v>282719</v>
      </c>
      <c r="O355">
        <f t="shared" si="5"/>
        <v>-5.4585152838427945E-3</v>
      </c>
    </row>
    <row r="356" spans="1:15" ht="14.25" customHeight="1" x14ac:dyDescent="0.3">
      <c r="A356" s="2">
        <v>45993</v>
      </c>
      <c r="B356" t="s">
        <v>15</v>
      </c>
      <c r="C356">
        <v>988</v>
      </c>
      <c r="D356">
        <v>994.4</v>
      </c>
      <c r="E356">
        <v>985</v>
      </c>
      <c r="F356" s="3">
        <v>1002.1</v>
      </c>
      <c r="G356">
        <v>991.4</v>
      </c>
      <c r="H356">
        <v>989.8</v>
      </c>
      <c r="I356">
        <v>990.24</v>
      </c>
      <c r="J356" s="3">
        <v>2037.7</v>
      </c>
      <c r="K356">
        <v>939.1</v>
      </c>
      <c r="L356" s="4">
        <v>27316662</v>
      </c>
      <c r="M356" s="3">
        <v>27050186723.200001</v>
      </c>
      <c r="N356" s="4">
        <v>363303</v>
      </c>
      <c r="O356">
        <f t="shared" si="5"/>
        <v>-1.2274224129328479E-2</v>
      </c>
    </row>
    <row r="357" spans="1:15" ht="14.25" customHeight="1" x14ac:dyDescent="0.3">
      <c r="A357" s="2">
        <v>45994</v>
      </c>
      <c r="B357" t="s">
        <v>15</v>
      </c>
      <c r="C357">
        <v>986</v>
      </c>
      <c r="D357" s="3">
        <v>1002.3</v>
      </c>
      <c r="E357">
        <v>986</v>
      </c>
      <c r="F357">
        <v>989.8</v>
      </c>
      <c r="G357" s="3">
        <v>1000.1</v>
      </c>
      <c r="H357" s="3">
        <v>1000.5</v>
      </c>
      <c r="I357">
        <v>993.84</v>
      </c>
      <c r="J357" s="3">
        <v>2037.7</v>
      </c>
      <c r="K357">
        <v>939.1</v>
      </c>
      <c r="L357" s="4">
        <v>15448777</v>
      </c>
      <c r="M357" s="3">
        <v>15353618863.9</v>
      </c>
      <c r="N357" s="4">
        <v>222651</v>
      </c>
      <c r="O357">
        <f t="shared" si="5"/>
        <v>1.0810264699939428E-2</v>
      </c>
    </row>
    <row r="358" spans="1:15" ht="14.25" customHeight="1" x14ac:dyDescent="0.3">
      <c r="A358" s="2">
        <v>45995</v>
      </c>
      <c r="B358" t="s">
        <v>15</v>
      </c>
      <c r="C358" s="3">
        <v>1000</v>
      </c>
      <c r="D358" s="3">
        <v>1004.7</v>
      </c>
      <c r="E358">
        <v>993</v>
      </c>
      <c r="F358" s="3">
        <v>1000.5</v>
      </c>
      <c r="G358">
        <v>998.5</v>
      </c>
      <c r="H358">
        <v>997.2</v>
      </c>
      <c r="I358">
        <v>998.28</v>
      </c>
      <c r="J358" s="3">
        <v>2037.7</v>
      </c>
      <c r="K358">
        <v>939.1</v>
      </c>
      <c r="L358" s="4">
        <v>14528169</v>
      </c>
      <c r="M358" s="3">
        <v>14503248744</v>
      </c>
      <c r="N358" s="4">
        <v>241847</v>
      </c>
      <c r="O358">
        <f t="shared" si="5"/>
        <v>-3.2983508245876605E-3</v>
      </c>
    </row>
    <row r="359" spans="1:15" ht="14.25" customHeight="1" x14ac:dyDescent="0.3">
      <c r="A359" s="2">
        <v>45996</v>
      </c>
      <c r="B359" t="s">
        <v>15</v>
      </c>
      <c r="C359">
        <v>992</v>
      </c>
      <c r="D359" s="3">
        <v>1008</v>
      </c>
      <c r="E359">
        <v>990.2</v>
      </c>
      <c r="F359">
        <v>997.2</v>
      </c>
      <c r="G359" s="3">
        <v>1001.2</v>
      </c>
      <c r="H359" s="3">
        <v>1003.3</v>
      </c>
      <c r="I359" s="3">
        <v>1000.86</v>
      </c>
      <c r="J359" s="3">
        <v>2037.7</v>
      </c>
      <c r="K359">
        <v>939.1</v>
      </c>
      <c r="L359" s="4">
        <v>12843366</v>
      </c>
      <c r="M359" s="3">
        <v>12854350197.299999</v>
      </c>
      <c r="N359" s="4">
        <v>192024</v>
      </c>
      <c r="O359">
        <f t="shared" si="5"/>
        <v>6.1171279582831013E-3</v>
      </c>
    </row>
    <row r="360" spans="1:15" ht="14.25" customHeight="1" x14ac:dyDescent="0.3">
      <c r="A360" s="2">
        <v>45999</v>
      </c>
      <c r="B360" t="s">
        <v>15</v>
      </c>
      <c r="C360" s="3">
        <v>1000</v>
      </c>
      <c r="D360" s="3">
        <v>1006.5</v>
      </c>
      <c r="E360">
        <v>997.5</v>
      </c>
      <c r="F360" s="3">
        <v>1003.3</v>
      </c>
      <c r="G360" s="3">
        <v>1001.8</v>
      </c>
      <c r="H360" s="3">
        <v>1003.1</v>
      </c>
      <c r="I360" s="3">
        <v>1002.21</v>
      </c>
      <c r="J360" s="3">
        <v>2037.7</v>
      </c>
      <c r="K360">
        <v>939.1</v>
      </c>
      <c r="L360" s="4">
        <v>12901022</v>
      </c>
      <c r="M360" s="3">
        <v>12929480947.9</v>
      </c>
      <c r="N360" s="4">
        <v>219872</v>
      </c>
      <c r="O360">
        <f t="shared" si="5"/>
        <v>-1.9934217083617241E-4</v>
      </c>
    </row>
    <row r="361" spans="1:15" ht="14.25" customHeight="1" x14ac:dyDescent="0.3">
      <c r="A361" s="2">
        <v>46000</v>
      </c>
      <c r="B361" t="s">
        <v>15</v>
      </c>
      <c r="C361">
        <v>994.9</v>
      </c>
      <c r="D361" s="3">
        <v>1002.8</v>
      </c>
      <c r="E361">
        <v>994</v>
      </c>
      <c r="F361" s="3">
        <v>1003.1</v>
      </c>
      <c r="G361">
        <v>997</v>
      </c>
      <c r="H361">
        <v>997.1</v>
      </c>
      <c r="I361">
        <v>998.68</v>
      </c>
      <c r="J361" s="3">
        <v>2037.7</v>
      </c>
      <c r="K361">
        <v>939.1</v>
      </c>
      <c r="L361" s="4">
        <v>15294322</v>
      </c>
      <c r="M361" s="3">
        <v>15274186067.4</v>
      </c>
      <c r="N361" s="4">
        <v>206598</v>
      </c>
      <c r="O361">
        <f t="shared" si="5"/>
        <v>-5.9814574818064003E-3</v>
      </c>
    </row>
    <row r="362" spans="1:15" ht="14.25" customHeight="1" x14ac:dyDescent="0.3">
      <c r="A362" s="2">
        <v>46001</v>
      </c>
      <c r="B362" t="s">
        <v>15</v>
      </c>
      <c r="C362">
        <v>997.5</v>
      </c>
      <c r="D362">
        <v>998.5</v>
      </c>
      <c r="E362">
        <v>985.3</v>
      </c>
      <c r="F362">
        <v>997.1</v>
      </c>
      <c r="G362">
        <v>990.4</v>
      </c>
      <c r="H362">
        <v>989.8</v>
      </c>
      <c r="I362">
        <v>990.9</v>
      </c>
      <c r="J362" s="3">
        <v>2037.7</v>
      </c>
      <c r="K362">
        <v>939.1</v>
      </c>
      <c r="L362" s="4">
        <v>15322830</v>
      </c>
      <c r="M362" s="3">
        <v>15183409188.4</v>
      </c>
      <c r="N362" s="4">
        <v>275347</v>
      </c>
      <c r="O362">
        <f t="shared" si="5"/>
        <v>-7.3212315715575852E-3</v>
      </c>
    </row>
    <row r="363" spans="1:15" ht="14.25" customHeight="1" x14ac:dyDescent="0.3">
      <c r="A363" s="2">
        <v>46002</v>
      </c>
      <c r="B363" t="s">
        <v>15</v>
      </c>
      <c r="C363">
        <v>990</v>
      </c>
      <c r="D363" s="3">
        <v>1002.7</v>
      </c>
      <c r="E363">
        <v>988.5</v>
      </c>
      <c r="F363">
        <v>989.8</v>
      </c>
      <c r="G363">
        <v>999.9</v>
      </c>
      <c r="H363" s="3">
        <v>1000.3</v>
      </c>
      <c r="I363">
        <v>996.96</v>
      </c>
      <c r="J363" s="3">
        <v>2037.7</v>
      </c>
      <c r="K363">
        <v>939.1</v>
      </c>
      <c r="L363" s="4">
        <v>11844809</v>
      </c>
      <c r="M363" s="3">
        <v>11808832354.299999</v>
      </c>
      <c r="N363" s="4">
        <v>177935</v>
      </c>
      <c r="O363">
        <f t="shared" si="5"/>
        <v>1.0608203677510608E-2</v>
      </c>
    </row>
    <row r="364" spans="1:15" ht="14.25" customHeight="1" x14ac:dyDescent="0.3">
      <c r="A364" s="2">
        <v>46003</v>
      </c>
      <c r="B364" t="s">
        <v>15</v>
      </c>
      <c r="C364" s="3">
        <v>1003</v>
      </c>
      <c r="D364" s="3">
        <v>1004.7</v>
      </c>
      <c r="E364">
        <v>998.2</v>
      </c>
      <c r="F364" s="3">
        <v>1000.3</v>
      </c>
      <c r="G364" s="3">
        <v>1002.9</v>
      </c>
      <c r="H364" s="3">
        <v>1001.5</v>
      </c>
      <c r="I364" s="3">
        <v>1001.52</v>
      </c>
      <c r="J364" s="3">
        <v>2037.7</v>
      </c>
      <c r="K364">
        <v>939.1</v>
      </c>
      <c r="L364" s="4">
        <v>11988618</v>
      </c>
      <c r="M364" s="3">
        <v>12006883854.1</v>
      </c>
      <c r="N364" s="4">
        <v>153825</v>
      </c>
      <c r="O364">
        <f t="shared" si="5"/>
        <v>1.1996401079676553E-3</v>
      </c>
    </row>
    <row r="365" spans="1:15" ht="14.25" customHeight="1" x14ac:dyDescent="0.3">
      <c r="A365" s="2">
        <v>46006</v>
      </c>
      <c r="B365" t="s">
        <v>15</v>
      </c>
      <c r="C365">
        <v>992</v>
      </c>
      <c r="D365" s="3">
        <v>1001.8</v>
      </c>
      <c r="E365">
        <v>992</v>
      </c>
      <c r="F365" s="3">
        <v>1001.5</v>
      </c>
      <c r="G365">
        <v>995</v>
      </c>
      <c r="H365">
        <v>996.1</v>
      </c>
      <c r="I365">
        <v>995.95</v>
      </c>
      <c r="J365" s="3">
        <v>2037.7</v>
      </c>
      <c r="K365">
        <v>939.1</v>
      </c>
      <c r="L365" s="4">
        <v>9790060</v>
      </c>
      <c r="M365" s="3">
        <v>9750388373.6000004</v>
      </c>
      <c r="N365" s="4">
        <v>182612</v>
      </c>
      <c r="O365">
        <f t="shared" si="5"/>
        <v>-5.3919121318022735E-3</v>
      </c>
    </row>
    <row r="366" spans="1:15" ht="14.25" customHeight="1" x14ac:dyDescent="0.3">
      <c r="A366" s="2">
        <v>46007</v>
      </c>
      <c r="B366" t="s">
        <v>15</v>
      </c>
      <c r="C366">
        <v>990.1</v>
      </c>
      <c r="D366">
        <v>998.7</v>
      </c>
      <c r="E366">
        <v>990.1</v>
      </c>
      <c r="F366">
        <v>996.1</v>
      </c>
      <c r="G366">
        <v>994.2</v>
      </c>
      <c r="H366">
        <v>994.3</v>
      </c>
      <c r="I366">
        <v>994.74</v>
      </c>
      <c r="J366" s="3">
        <v>2037.7</v>
      </c>
      <c r="K366">
        <v>939.1</v>
      </c>
      <c r="L366" s="4">
        <v>20049088</v>
      </c>
      <c r="M366" s="3">
        <v>19943698733.599998</v>
      </c>
      <c r="N366" s="4">
        <v>307140</v>
      </c>
      <c r="O366">
        <f t="shared" si="5"/>
        <v>-1.8070474851923182E-3</v>
      </c>
    </row>
    <row r="367" spans="1:15" ht="14.25" customHeight="1" x14ac:dyDescent="0.3">
      <c r="A367" s="2">
        <v>46008</v>
      </c>
      <c r="B367" t="s">
        <v>15</v>
      </c>
      <c r="C367">
        <v>996</v>
      </c>
      <c r="D367">
        <v>996</v>
      </c>
      <c r="E367">
        <v>980.8</v>
      </c>
      <c r="F367">
        <v>994.3</v>
      </c>
      <c r="G367">
        <v>985.2</v>
      </c>
      <c r="H367">
        <v>984</v>
      </c>
      <c r="I367">
        <v>985.22</v>
      </c>
      <c r="J367" s="3">
        <v>2037.7</v>
      </c>
      <c r="K367">
        <v>939.1</v>
      </c>
      <c r="L367" s="4">
        <v>19080922</v>
      </c>
      <c r="M367" s="3">
        <v>18798880243.799999</v>
      </c>
      <c r="N367" s="4">
        <v>288605</v>
      </c>
      <c r="O367">
        <f t="shared" si="5"/>
        <v>-1.0359046565422865E-2</v>
      </c>
    </row>
    <row r="368" spans="1:15" ht="14.25" customHeight="1" x14ac:dyDescent="0.3">
      <c r="A368" s="2">
        <v>46009</v>
      </c>
      <c r="B368" t="s">
        <v>15</v>
      </c>
      <c r="C368">
        <v>973.3</v>
      </c>
      <c r="D368">
        <v>987.4</v>
      </c>
      <c r="E368">
        <v>973.3</v>
      </c>
      <c r="F368">
        <v>984</v>
      </c>
      <c r="G368">
        <v>980</v>
      </c>
      <c r="H368">
        <v>979.7</v>
      </c>
      <c r="I368">
        <v>981.48</v>
      </c>
      <c r="J368" s="3">
        <v>2037.7</v>
      </c>
      <c r="K368">
        <v>939.1</v>
      </c>
      <c r="L368" s="4">
        <v>14912404</v>
      </c>
      <c r="M368" s="3">
        <v>14636196743</v>
      </c>
      <c r="N368" s="4">
        <v>412559</v>
      </c>
      <c r="O368">
        <f t="shared" si="5"/>
        <v>-4.3699186991869457E-3</v>
      </c>
    </row>
    <row r="369" spans="1:15" ht="14.25" customHeight="1" x14ac:dyDescent="0.3">
      <c r="A369" s="2">
        <v>46010</v>
      </c>
      <c r="B369" t="s">
        <v>15</v>
      </c>
      <c r="C369">
        <v>987</v>
      </c>
      <c r="D369">
        <v>988</v>
      </c>
      <c r="E369">
        <v>978.7</v>
      </c>
      <c r="F369">
        <v>979.7</v>
      </c>
      <c r="G369">
        <v>985.2</v>
      </c>
      <c r="H369">
        <v>985.5</v>
      </c>
      <c r="I369">
        <v>984.91</v>
      </c>
      <c r="J369" s="3">
        <v>2037.7</v>
      </c>
      <c r="K369">
        <v>939.1</v>
      </c>
      <c r="L369" s="4">
        <v>25952384</v>
      </c>
      <c r="M369" s="3">
        <v>25560667946</v>
      </c>
      <c r="N369" s="4">
        <v>246675</v>
      </c>
      <c r="O369">
        <f t="shared" si="5"/>
        <v>5.9201796468306154E-3</v>
      </c>
    </row>
    <row r="370" spans="1:15" ht="14.25" customHeight="1" x14ac:dyDescent="0.3">
      <c r="A370" s="2">
        <v>46013</v>
      </c>
      <c r="B370" t="s">
        <v>15</v>
      </c>
      <c r="C370">
        <v>988</v>
      </c>
      <c r="D370">
        <v>992.9</v>
      </c>
      <c r="E370">
        <v>983.9</v>
      </c>
      <c r="F370">
        <v>985.5</v>
      </c>
      <c r="G370">
        <v>987.2</v>
      </c>
      <c r="H370">
        <v>987.7</v>
      </c>
      <c r="I370">
        <v>987.63</v>
      </c>
      <c r="J370" s="3">
        <v>2037.7</v>
      </c>
      <c r="K370">
        <v>939.1</v>
      </c>
      <c r="L370" s="4">
        <v>13540411</v>
      </c>
      <c r="M370" s="3">
        <v>13372875582.700001</v>
      </c>
      <c r="N370" s="4">
        <v>253393</v>
      </c>
      <c r="O370">
        <f t="shared" si="5"/>
        <v>2.2323693556570729E-3</v>
      </c>
    </row>
    <row r="371" spans="1:15" ht="14.25" customHeight="1" x14ac:dyDescent="0.3">
      <c r="A371" s="2">
        <v>46014</v>
      </c>
      <c r="B371" t="s">
        <v>15</v>
      </c>
      <c r="C371">
        <v>990.5</v>
      </c>
      <c r="D371">
        <v>998.9</v>
      </c>
      <c r="E371">
        <v>987.7</v>
      </c>
      <c r="F371">
        <v>987.7</v>
      </c>
      <c r="G371">
        <v>997</v>
      </c>
      <c r="H371">
        <v>996.6</v>
      </c>
      <c r="I371">
        <v>994.81</v>
      </c>
      <c r="J371" s="3">
        <v>2037.7</v>
      </c>
      <c r="K371">
        <v>939.1</v>
      </c>
      <c r="L371" s="4">
        <v>17927849</v>
      </c>
      <c r="M371" s="3">
        <v>17834864449.299999</v>
      </c>
      <c r="N371" s="4">
        <v>227121</v>
      </c>
      <c r="O371">
        <f t="shared" si="5"/>
        <v>9.0108332489622113E-3</v>
      </c>
    </row>
    <row r="372" spans="1:15" ht="14.25" customHeight="1" x14ac:dyDescent="0.3">
      <c r="A372" s="2">
        <v>46015</v>
      </c>
      <c r="B372" t="s">
        <v>15</v>
      </c>
      <c r="C372">
        <v>993</v>
      </c>
      <c r="D372">
        <v>999.4</v>
      </c>
      <c r="E372">
        <v>993</v>
      </c>
      <c r="F372">
        <v>996.6</v>
      </c>
      <c r="G372">
        <v>995.3</v>
      </c>
      <c r="H372">
        <v>997.2</v>
      </c>
      <c r="I372">
        <v>996.34</v>
      </c>
      <c r="J372" s="3">
        <v>2037.7</v>
      </c>
      <c r="K372">
        <v>939.1</v>
      </c>
      <c r="L372" s="4">
        <v>13699996</v>
      </c>
      <c r="M372" s="3">
        <v>13649827358.4</v>
      </c>
      <c r="N372" s="4">
        <v>203107</v>
      </c>
      <c r="O372">
        <f t="shared" si="5"/>
        <v>6.0204695966287647E-4</v>
      </c>
    </row>
    <row r="373" spans="1:15" ht="14.25" customHeight="1" x14ac:dyDescent="0.3">
      <c r="A373" s="2">
        <v>46017</v>
      </c>
      <c r="B373" t="s">
        <v>15</v>
      </c>
      <c r="C373">
        <v>996</v>
      </c>
      <c r="D373">
        <v>997.2</v>
      </c>
      <c r="E373">
        <v>987.7</v>
      </c>
      <c r="F373">
        <v>997.2</v>
      </c>
      <c r="G373">
        <v>992</v>
      </c>
      <c r="H373">
        <v>992.1</v>
      </c>
      <c r="I373">
        <v>992.32</v>
      </c>
      <c r="J373" s="3">
        <v>2037.7</v>
      </c>
      <c r="K373">
        <v>939.1</v>
      </c>
      <c r="L373" s="4">
        <v>9360853</v>
      </c>
      <c r="M373" s="3">
        <v>9288952052.7000008</v>
      </c>
      <c r="N373" s="4">
        <v>196688</v>
      </c>
      <c r="O373">
        <f t="shared" si="5"/>
        <v>-5.1143200962695777E-3</v>
      </c>
    </row>
    <row r="374" spans="1:15" ht="14.25" customHeight="1" x14ac:dyDescent="0.3">
      <c r="A374" s="2">
        <v>46020</v>
      </c>
      <c r="B374" t="s">
        <v>15</v>
      </c>
      <c r="C374">
        <v>993.1</v>
      </c>
      <c r="D374">
        <v>997.4</v>
      </c>
      <c r="E374">
        <v>987.2</v>
      </c>
      <c r="F374">
        <v>992.1</v>
      </c>
      <c r="G374">
        <v>992.8</v>
      </c>
      <c r="H374">
        <v>991.7</v>
      </c>
      <c r="I374">
        <v>991.31</v>
      </c>
      <c r="J374" s="3">
        <v>2037.7</v>
      </c>
      <c r="K374">
        <v>939.1</v>
      </c>
      <c r="L374" s="4">
        <v>13545749</v>
      </c>
      <c r="M374" s="3">
        <v>13427999756</v>
      </c>
      <c r="N374" s="4">
        <v>190711</v>
      </c>
      <c r="O374">
        <f t="shared" si="5"/>
        <v>-4.0318516278598654E-4</v>
      </c>
    </row>
    <row r="375" spans="1:15" ht="14.25" customHeight="1" x14ac:dyDescent="0.3">
      <c r="A375" s="2">
        <v>46021</v>
      </c>
      <c r="B375" t="s">
        <v>15</v>
      </c>
      <c r="C375">
        <v>990.2</v>
      </c>
      <c r="D375">
        <v>995</v>
      </c>
      <c r="E375">
        <v>982.2</v>
      </c>
      <c r="F375">
        <v>991.7</v>
      </c>
      <c r="G375">
        <v>995</v>
      </c>
      <c r="H375">
        <v>990.9</v>
      </c>
      <c r="I375">
        <v>989.16</v>
      </c>
      <c r="J375" s="3">
        <v>2037.7</v>
      </c>
      <c r="K375">
        <v>939.1</v>
      </c>
      <c r="L375" s="4">
        <v>33155849</v>
      </c>
      <c r="M375" s="3">
        <v>32796279701.400002</v>
      </c>
      <c r="N375" s="4">
        <v>393869</v>
      </c>
      <c r="O375">
        <f t="shared" si="5"/>
        <v>-8.0669557325811054E-4</v>
      </c>
    </row>
    <row r="376" spans="1:15" ht="14.25" customHeight="1" x14ac:dyDescent="0.3">
      <c r="A376" s="2">
        <v>46022</v>
      </c>
      <c r="B376" t="s">
        <v>15</v>
      </c>
      <c r="C376">
        <v>991</v>
      </c>
      <c r="D376">
        <v>997.6</v>
      </c>
      <c r="E376">
        <v>987.6</v>
      </c>
      <c r="F376">
        <v>990.9</v>
      </c>
      <c r="G376">
        <v>992.9</v>
      </c>
      <c r="H376">
        <v>991.2</v>
      </c>
      <c r="I376">
        <v>992.61</v>
      </c>
      <c r="J376" s="3">
        <v>2037.7</v>
      </c>
      <c r="K376">
        <v>939.1</v>
      </c>
      <c r="L376" s="4">
        <v>10963454</v>
      </c>
      <c r="M376" s="3">
        <v>10882483821.4</v>
      </c>
      <c r="N376" s="4">
        <v>193549</v>
      </c>
      <c r="O376">
        <f t="shared" si="5"/>
        <v>3.0275507114751056E-4</v>
      </c>
    </row>
    <row r="377" spans="1:15" ht="14.25" customHeight="1" x14ac:dyDescent="0.3">
      <c r="A377" s="2">
        <v>46023</v>
      </c>
      <c r="B377" t="s">
        <v>15</v>
      </c>
      <c r="C377">
        <v>993.5</v>
      </c>
      <c r="D377">
        <v>997.55</v>
      </c>
      <c r="E377">
        <v>989.5</v>
      </c>
      <c r="F377">
        <v>991.2</v>
      </c>
      <c r="G377">
        <v>991.15</v>
      </c>
      <c r="H377">
        <v>991.15</v>
      </c>
      <c r="I377">
        <v>991.88</v>
      </c>
      <c r="J377" s="3">
        <v>2037.7</v>
      </c>
      <c r="K377">
        <v>939.1</v>
      </c>
      <c r="L377" s="4">
        <v>7132074</v>
      </c>
      <c r="M377" s="3">
        <v>7074147525.9499998</v>
      </c>
      <c r="N377" s="4">
        <v>126886</v>
      </c>
      <c r="O377">
        <f t="shared" si="5"/>
        <v>-5.0443906376178584E-5</v>
      </c>
    </row>
    <row r="378" spans="1:15" ht="14.25" customHeight="1" x14ac:dyDescent="0.3">
      <c r="A378" s="2">
        <v>46024</v>
      </c>
      <c r="B378" t="s">
        <v>15</v>
      </c>
      <c r="C378">
        <v>991.15</v>
      </c>
      <c r="D378" s="3">
        <v>1003.2</v>
      </c>
      <c r="E378">
        <v>988.8</v>
      </c>
      <c r="F378">
        <v>991.15</v>
      </c>
      <c r="G378" s="3">
        <v>1000.25</v>
      </c>
      <c r="H378" s="3">
        <v>1001.6</v>
      </c>
      <c r="I378">
        <v>998.46</v>
      </c>
      <c r="J378" s="3">
        <v>2037.7</v>
      </c>
      <c r="K378">
        <v>939.1</v>
      </c>
      <c r="L378" s="4">
        <v>11751459</v>
      </c>
      <c r="M378" s="3">
        <v>11733333129.85</v>
      </c>
      <c r="N378" s="4">
        <v>178613</v>
      </c>
      <c r="O378">
        <f t="shared" si="5"/>
        <v>1.0543308278262671E-2</v>
      </c>
    </row>
    <row r="379" spans="1:15" ht="14.25" customHeight="1" x14ac:dyDescent="0.3">
      <c r="A379" s="2">
        <v>46027</v>
      </c>
      <c r="B379" t="s">
        <v>15</v>
      </c>
      <c r="C379" s="3">
        <v>1005.75</v>
      </c>
      <c r="D379" s="3">
        <v>1006.4</v>
      </c>
      <c r="E379">
        <v>976.3</v>
      </c>
      <c r="F379" s="3">
        <v>1001.6</v>
      </c>
      <c r="G379">
        <v>978.5</v>
      </c>
      <c r="H379">
        <v>977.5</v>
      </c>
      <c r="I379">
        <v>984.33</v>
      </c>
      <c r="J379" s="3">
        <v>2037.7</v>
      </c>
      <c r="K379">
        <v>939.1</v>
      </c>
      <c r="L379" s="4">
        <v>27647379</v>
      </c>
      <c r="M379" s="3">
        <v>27214119283.5</v>
      </c>
      <c r="N379" s="4">
        <v>382990</v>
      </c>
      <c r="O379">
        <f t="shared" si="5"/>
        <v>-2.4061501597444111E-2</v>
      </c>
    </row>
    <row r="380" spans="1:15" ht="14.25" customHeight="1" x14ac:dyDescent="0.3">
      <c r="A380" s="2">
        <v>46028</v>
      </c>
      <c r="B380" t="s">
        <v>15</v>
      </c>
      <c r="C380">
        <v>962.7</v>
      </c>
      <c r="D380">
        <v>966.7</v>
      </c>
      <c r="E380">
        <v>956</v>
      </c>
      <c r="F380">
        <v>977.5</v>
      </c>
      <c r="G380">
        <v>962.95</v>
      </c>
      <c r="H380">
        <v>962.2</v>
      </c>
      <c r="I380">
        <v>962.45</v>
      </c>
      <c r="J380" s="3">
        <v>2037.7</v>
      </c>
      <c r="K380">
        <v>939.1</v>
      </c>
      <c r="L380" s="4">
        <v>31988783</v>
      </c>
      <c r="M380" s="3">
        <v>30787569132.700001</v>
      </c>
      <c r="N380" s="4">
        <v>459604</v>
      </c>
      <c r="O380">
        <f t="shared" si="5"/>
        <v>-1.5652173913043431E-2</v>
      </c>
    </row>
    <row r="381" spans="1:15" ht="14.25" customHeight="1" x14ac:dyDescent="0.3">
      <c r="A381" s="2">
        <v>46029</v>
      </c>
      <c r="B381" t="s">
        <v>15</v>
      </c>
      <c r="C381">
        <v>956</v>
      </c>
      <c r="D381">
        <v>956.45</v>
      </c>
      <c r="E381">
        <v>946</v>
      </c>
      <c r="F381">
        <v>962.2</v>
      </c>
      <c r="G381">
        <v>950.25</v>
      </c>
      <c r="H381">
        <v>949.05</v>
      </c>
      <c r="I381">
        <v>950.1</v>
      </c>
      <c r="J381" s="3">
        <v>2037.7</v>
      </c>
      <c r="K381">
        <v>939.1</v>
      </c>
      <c r="L381" s="4">
        <v>52884712</v>
      </c>
      <c r="M381" s="3">
        <v>50245738779.650002</v>
      </c>
      <c r="N381" s="4">
        <v>414168</v>
      </c>
      <c r="O381">
        <f t="shared" si="5"/>
        <v>-1.3666597381001965E-2</v>
      </c>
    </row>
    <row r="382" spans="1:15" ht="14.25" customHeight="1" x14ac:dyDescent="0.3">
      <c r="A382" s="2">
        <v>46030</v>
      </c>
      <c r="B382" t="s">
        <v>15</v>
      </c>
      <c r="C382">
        <v>944.7</v>
      </c>
      <c r="D382">
        <v>953</v>
      </c>
      <c r="E382">
        <v>941.4</v>
      </c>
      <c r="F382">
        <v>949.05</v>
      </c>
      <c r="G382">
        <v>948</v>
      </c>
      <c r="H382">
        <v>946.7</v>
      </c>
      <c r="I382">
        <v>947.59</v>
      </c>
      <c r="J382" s="3">
        <v>2037.7</v>
      </c>
      <c r="K382">
        <v>939.1</v>
      </c>
      <c r="L382" s="4">
        <v>21928849</v>
      </c>
      <c r="M382" s="3">
        <v>20779638865.450001</v>
      </c>
      <c r="N382" s="4">
        <v>316595</v>
      </c>
      <c r="O382">
        <f t="shared" si="5"/>
        <v>-2.4761603708971171E-3</v>
      </c>
    </row>
    <row r="383" spans="1:15" ht="14.25" customHeight="1" x14ac:dyDescent="0.3">
      <c r="A383" s="2">
        <v>46031</v>
      </c>
      <c r="B383" t="s">
        <v>15</v>
      </c>
      <c r="C383">
        <v>945</v>
      </c>
      <c r="D383">
        <v>950.6</v>
      </c>
      <c r="E383">
        <v>933.3</v>
      </c>
      <c r="F383">
        <v>946.7</v>
      </c>
      <c r="G383">
        <v>939</v>
      </c>
      <c r="H383">
        <v>939</v>
      </c>
      <c r="I383">
        <v>940.91</v>
      </c>
      <c r="J383" s="3">
        <v>2037.7</v>
      </c>
      <c r="K383">
        <v>933.3</v>
      </c>
      <c r="L383" s="4">
        <v>38183839</v>
      </c>
      <c r="M383" s="3">
        <v>35927536459.550003</v>
      </c>
      <c r="N383" s="4">
        <v>324301</v>
      </c>
      <c r="O383">
        <f t="shared" si="5"/>
        <v>-8.133516425478023E-3</v>
      </c>
    </row>
    <row r="384" spans="1:15" ht="14.25" customHeight="1" x14ac:dyDescent="0.3">
      <c r="A384" s="2">
        <v>46034</v>
      </c>
      <c r="B384" t="s">
        <v>15</v>
      </c>
      <c r="C384">
        <v>937.5</v>
      </c>
      <c r="D384">
        <v>942</v>
      </c>
      <c r="E384">
        <v>929.6</v>
      </c>
      <c r="F384">
        <v>939</v>
      </c>
      <c r="G384">
        <v>936.4</v>
      </c>
      <c r="H384">
        <v>936.95</v>
      </c>
      <c r="I384">
        <v>936.87</v>
      </c>
      <c r="J384" s="3">
        <v>2037.7</v>
      </c>
      <c r="K384">
        <v>929.6</v>
      </c>
      <c r="L384" s="4">
        <v>21071666</v>
      </c>
      <c r="M384" s="3">
        <v>19741346998.049999</v>
      </c>
      <c r="N384" s="4">
        <v>282222</v>
      </c>
      <c r="O384">
        <f t="shared" si="5"/>
        <v>-2.183173588924339E-3</v>
      </c>
    </row>
    <row r="385" spans="1:15" ht="14.25" customHeight="1" x14ac:dyDescent="0.3">
      <c r="A385" s="2">
        <v>46035</v>
      </c>
      <c r="B385" t="s">
        <v>15</v>
      </c>
      <c r="C385">
        <v>947.7</v>
      </c>
      <c r="D385">
        <v>947.7</v>
      </c>
      <c r="E385">
        <v>932.6</v>
      </c>
      <c r="F385">
        <v>936.95</v>
      </c>
      <c r="G385">
        <v>934.75</v>
      </c>
      <c r="H385">
        <v>937.35</v>
      </c>
      <c r="I385">
        <v>940.27</v>
      </c>
      <c r="J385" s="3">
        <v>2037.7</v>
      </c>
      <c r="K385">
        <v>929.6</v>
      </c>
      <c r="L385" s="4">
        <v>32042827</v>
      </c>
      <c r="M385" s="3">
        <v>30129021006.450001</v>
      </c>
      <c r="N385" s="4">
        <v>348726</v>
      </c>
      <c r="O385">
        <f t="shared" si="5"/>
        <v>4.2691712471314077E-4</v>
      </c>
    </row>
    <row r="386" spans="1:15" ht="14.25" customHeight="1" x14ac:dyDescent="0.3">
      <c r="A386" s="2">
        <v>46036</v>
      </c>
      <c r="B386" t="s">
        <v>15</v>
      </c>
      <c r="C386">
        <v>930</v>
      </c>
      <c r="D386">
        <v>940.05</v>
      </c>
      <c r="E386">
        <v>920.2</v>
      </c>
      <c r="F386">
        <v>937.35</v>
      </c>
      <c r="G386">
        <v>925</v>
      </c>
      <c r="H386">
        <v>925.45</v>
      </c>
      <c r="I386">
        <v>929.85</v>
      </c>
      <c r="J386" s="3">
        <v>2037.7</v>
      </c>
      <c r="K386">
        <v>920.2</v>
      </c>
      <c r="L386" s="4">
        <v>36688248</v>
      </c>
      <c r="M386" s="3">
        <v>34114424012.75</v>
      </c>
      <c r="N386" s="4">
        <v>306076</v>
      </c>
      <c r="O386">
        <f t="shared" si="5"/>
        <v>-1.2695364591667976E-2</v>
      </c>
    </row>
    <row r="387" spans="1:15" ht="14.25" customHeight="1" x14ac:dyDescent="0.3">
      <c r="A387" s="2">
        <v>46038</v>
      </c>
      <c r="B387" t="s">
        <v>15</v>
      </c>
      <c r="C387">
        <v>922</v>
      </c>
      <c r="D387">
        <v>935.95</v>
      </c>
      <c r="E387">
        <v>919.2</v>
      </c>
      <c r="F387">
        <v>925.45</v>
      </c>
      <c r="G387">
        <v>930.55</v>
      </c>
      <c r="H387">
        <v>931.1</v>
      </c>
      <c r="I387">
        <v>929.18</v>
      </c>
      <c r="J387" s="3">
        <v>2037.7</v>
      </c>
      <c r="K387">
        <v>919.2</v>
      </c>
      <c r="L387" s="4">
        <v>37780235</v>
      </c>
      <c r="M387" s="3">
        <v>35104452366.25</v>
      </c>
      <c r="N387" s="4">
        <v>361119</v>
      </c>
      <c r="O387">
        <f t="shared" ref="O387:O450" si="6">(H387-H386)/H386</f>
        <v>6.1051380409530252E-3</v>
      </c>
    </row>
    <row r="388" spans="1:15" ht="14.25" customHeight="1" x14ac:dyDescent="0.3">
      <c r="A388" s="2">
        <v>46041</v>
      </c>
      <c r="B388" t="s">
        <v>15</v>
      </c>
      <c r="C388">
        <v>935.9</v>
      </c>
      <c r="D388">
        <v>936.15</v>
      </c>
      <c r="E388">
        <v>919.5</v>
      </c>
      <c r="F388">
        <v>931.1</v>
      </c>
      <c r="G388">
        <v>925.95</v>
      </c>
      <c r="H388">
        <v>927.9</v>
      </c>
      <c r="I388">
        <v>927.58</v>
      </c>
      <c r="J388" s="3">
        <v>2037.7</v>
      </c>
      <c r="K388">
        <v>919.2</v>
      </c>
      <c r="L388" s="4">
        <v>38191942</v>
      </c>
      <c r="M388" s="3">
        <v>35426072965.650002</v>
      </c>
      <c r="N388" s="4">
        <v>432335</v>
      </c>
      <c r="O388">
        <f t="shared" si="6"/>
        <v>-3.4367951884867851E-3</v>
      </c>
    </row>
    <row r="389" spans="1:15" ht="14.25" customHeight="1" x14ac:dyDescent="0.3">
      <c r="A389" s="2">
        <v>46042</v>
      </c>
      <c r="B389" t="s">
        <v>15</v>
      </c>
      <c r="C389">
        <v>929.3</v>
      </c>
      <c r="D389">
        <v>934.5</v>
      </c>
      <c r="E389">
        <v>919.6</v>
      </c>
      <c r="F389">
        <v>927.9</v>
      </c>
      <c r="G389">
        <v>930.5</v>
      </c>
      <c r="H389">
        <v>931.2</v>
      </c>
      <c r="I389">
        <v>930.12</v>
      </c>
      <c r="J389" s="3">
        <v>2037.7</v>
      </c>
      <c r="K389">
        <v>919.2</v>
      </c>
      <c r="L389" s="4">
        <v>36022727</v>
      </c>
      <c r="M389" s="3">
        <v>33505544795.299999</v>
      </c>
      <c r="N389" s="4">
        <v>357134</v>
      </c>
      <c r="O389">
        <f t="shared" si="6"/>
        <v>3.5564177174265206E-3</v>
      </c>
    </row>
    <row r="390" spans="1:15" ht="14.25" customHeight="1" x14ac:dyDescent="0.3">
      <c r="A390" s="2">
        <v>46043</v>
      </c>
      <c r="B390" t="s">
        <v>15</v>
      </c>
      <c r="C390">
        <v>925</v>
      </c>
      <c r="D390">
        <v>932.15</v>
      </c>
      <c r="E390">
        <v>915.5</v>
      </c>
      <c r="F390">
        <v>931.2</v>
      </c>
      <c r="G390">
        <v>921</v>
      </c>
      <c r="H390">
        <v>920.35</v>
      </c>
      <c r="I390">
        <v>924.64</v>
      </c>
      <c r="J390" s="3">
        <v>2037.7</v>
      </c>
      <c r="K390">
        <v>915.5</v>
      </c>
      <c r="L390" s="4">
        <v>32766854</v>
      </c>
      <c r="M390" s="3">
        <v>30297528335.75</v>
      </c>
      <c r="N390" s="4">
        <v>351406</v>
      </c>
      <c r="O390">
        <f t="shared" si="6"/>
        <v>-1.1651632302405523E-2</v>
      </c>
    </row>
    <row r="391" spans="1:15" ht="14.25" customHeight="1" x14ac:dyDescent="0.3">
      <c r="A391" s="2">
        <v>46044</v>
      </c>
      <c r="B391" t="s">
        <v>15</v>
      </c>
      <c r="C391">
        <v>928</v>
      </c>
      <c r="D391">
        <v>928.3</v>
      </c>
      <c r="E391">
        <v>913.2</v>
      </c>
      <c r="F391">
        <v>920.35</v>
      </c>
      <c r="G391">
        <v>921</v>
      </c>
      <c r="H391">
        <v>918.7</v>
      </c>
      <c r="I391">
        <v>918.56</v>
      </c>
      <c r="J391" s="3">
        <v>2037.7</v>
      </c>
      <c r="K391">
        <v>913.2</v>
      </c>
      <c r="L391" s="4">
        <v>44444755</v>
      </c>
      <c r="M391" s="3">
        <v>40825301054.650002</v>
      </c>
      <c r="N391" s="4">
        <v>572341</v>
      </c>
      <c r="O391">
        <f t="shared" si="6"/>
        <v>-1.7927962188297683E-3</v>
      </c>
    </row>
    <row r="392" spans="1:15" ht="14.25" customHeight="1" x14ac:dyDescent="0.3">
      <c r="A392" s="2">
        <v>46045</v>
      </c>
      <c r="B392" t="s">
        <v>15</v>
      </c>
      <c r="C392">
        <v>920</v>
      </c>
      <c r="D392">
        <v>926.1</v>
      </c>
      <c r="E392">
        <v>909.25</v>
      </c>
      <c r="F392">
        <v>918.7</v>
      </c>
      <c r="G392">
        <v>915.8</v>
      </c>
      <c r="H392">
        <v>916.1</v>
      </c>
      <c r="I392">
        <v>916.45</v>
      </c>
      <c r="J392" s="3">
        <v>2037.7</v>
      </c>
      <c r="K392">
        <v>909.25</v>
      </c>
      <c r="L392" s="4">
        <v>30985247</v>
      </c>
      <c r="M392" s="3">
        <v>28396480018.549999</v>
      </c>
      <c r="N392" s="4">
        <v>335766</v>
      </c>
      <c r="O392">
        <f t="shared" si="6"/>
        <v>-2.8300859910743688E-3</v>
      </c>
    </row>
    <row r="393" spans="1:15" ht="14.25" customHeight="1" x14ac:dyDescent="0.3">
      <c r="A393" s="2">
        <v>46049</v>
      </c>
      <c r="B393" t="s">
        <v>15</v>
      </c>
      <c r="C393">
        <v>906</v>
      </c>
      <c r="D393">
        <v>931.2</v>
      </c>
      <c r="E393">
        <v>905</v>
      </c>
      <c r="F393">
        <v>916.1</v>
      </c>
      <c r="G393">
        <v>928</v>
      </c>
      <c r="H393">
        <v>926.4</v>
      </c>
      <c r="I393">
        <v>917.11</v>
      </c>
      <c r="J393" s="3">
        <v>2037.7</v>
      </c>
      <c r="K393">
        <v>905</v>
      </c>
      <c r="L393" s="4">
        <v>44753093</v>
      </c>
      <c r="M393" s="3">
        <v>41043445636.300003</v>
      </c>
      <c r="N393" s="4">
        <v>483204</v>
      </c>
      <c r="O393">
        <f t="shared" si="6"/>
        <v>1.1243314048684592E-2</v>
      </c>
    </row>
    <row r="394" spans="1:15" ht="14.25" customHeight="1" x14ac:dyDescent="0.3">
      <c r="A394" s="2">
        <v>46050</v>
      </c>
      <c r="B394" t="s">
        <v>15</v>
      </c>
      <c r="C394">
        <v>932.5</v>
      </c>
      <c r="D394">
        <v>941.45</v>
      </c>
      <c r="E394">
        <v>928.4</v>
      </c>
      <c r="F394">
        <v>926.4</v>
      </c>
      <c r="G394">
        <v>932.4</v>
      </c>
      <c r="H394">
        <v>932.7</v>
      </c>
      <c r="I394">
        <v>934.95</v>
      </c>
      <c r="J394" s="3">
        <v>2037.7</v>
      </c>
      <c r="K394">
        <v>905</v>
      </c>
      <c r="L394" s="4">
        <v>35347138</v>
      </c>
      <c r="M394" s="3">
        <v>33047787224.5</v>
      </c>
      <c r="N394" s="4">
        <v>272519</v>
      </c>
      <c r="O394">
        <f t="shared" si="6"/>
        <v>6.8005181347150995E-3</v>
      </c>
    </row>
    <row r="395" spans="1:15" ht="14.25" customHeight="1" x14ac:dyDescent="0.3">
      <c r="A395" s="2">
        <v>46051</v>
      </c>
      <c r="B395" t="s">
        <v>15</v>
      </c>
      <c r="C395">
        <v>930.1</v>
      </c>
      <c r="D395">
        <v>939.3</v>
      </c>
      <c r="E395">
        <v>924.35</v>
      </c>
      <c r="F395">
        <v>932.7</v>
      </c>
      <c r="G395">
        <v>935</v>
      </c>
      <c r="H395">
        <v>935.5</v>
      </c>
      <c r="I395">
        <v>933.24</v>
      </c>
      <c r="J395" s="3">
        <v>2037.7</v>
      </c>
      <c r="K395">
        <v>905</v>
      </c>
      <c r="L395" s="4">
        <v>37175628</v>
      </c>
      <c r="M395" s="3">
        <v>34693741736.199997</v>
      </c>
      <c r="N395" s="4">
        <v>420812</v>
      </c>
      <c r="O395">
        <f t="shared" si="6"/>
        <v>3.0020370966012161E-3</v>
      </c>
    </row>
    <row r="396" spans="1:15" ht="14.25" customHeight="1" x14ac:dyDescent="0.3">
      <c r="A396" s="2">
        <v>46052</v>
      </c>
      <c r="B396" t="s">
        <v>15</v>
      </c>
      <c r="C396">
        <v>930</v>
      </c>
      <c r="D396">
        <v>938.9</v>
      </c>
      <c r="E396">
        <v>927.75</v>
      </c>
      <c r="F396">
        <v>935.5</v>
      </c>
      <c r="G396">
        <v>929</v>
      </c>
      <c r="H396">
        <v>929.25</v>
      </c>
      <c r="I396">
        <v>931.84</v>
      </c>
      <c r="J396" s="3">
        <v>2037.7</v>
      </c>
      <c r="K396">
        <v>905</v>
      </c>
      <c r="L396" s="4">
        <v>29691233</v>
      </c>
      <c r="M396" s="3">
        <v>27667370875.049999</v>
      </c>
      <c r="N396" s="4">
        <v>251637</v>
      </c>
      <c r="O396">
        <f t="shared" si="6"/>
        <v>-6.6809192944949228E-3</v>
      </c>
    </row>
    <row r="397" spans="1:15" ht="14.25" customHeight="1" x14ac:dyDescent="0.3">
      <c r="A397" s="2">
        <v>46054</v>
      </c>
      <c r="B397" t="s">
        <v>15</v>
      </c>
      <c r="C397">
        <v>932</v>
      </c>
      <c r="D397">
        <v>939.65</v>
      </c>
      <c r="E397">
        <v>912.65</v>
      </c>
      <c r="F397">
        <v>929.25</v>
      </c>
      <c r="G397">
        <v>918.05</v>
      </c>
      <c r="H397">
        <v>922.1</v>
      </c>
      <c r="I397">
        <v>929.2</v>
      </c>
      <c r="J397" s="3">
        <v>2037.7</v>
      </c>
      <c r="K397">
        <v>905</v>
      </c>
      <c r="L397" s="4">
        <v>9856486</v>
      </c>
      <c r="M397" s="3">
        <v>9158689990.8999996</v>
      </c>
      <c r="N397" s="4">
        <v>146417</v>
      </c>
      <c r="O397">
        <f t="shared" si="6"/>
        <v>-7.6943771859025855E-3</v>
      </c>
    </row>
    <row r="398" spans="1:15" ht="14.25" customHeight="1" x14ac:dyDescent="0.3">
      <c r="A398" s="2">
        <v>46055</v>
      </c>
      <c r="B398" t="s">
        <v>15</v>
      </c>
      <c r="C398">
        <v>915</v>
      </c>
      <c r="D398">
        <v>929.8</v>
      </c>
      <c r="E398">
        <v>909.3</v>
      </c>
      <c r="F398">
        <v>922.1</v>
      </c>
      <c r="G398">
        <v>928.1</v>
      </c>
      <c r="H398">
        <v>928.1</v>
      </c>
      <c r="I398">
        <v>924.14</v>
      </c>
      <c r="J398" s="3">
        <v>2037.7</v>
      </c>
      <c r="K398">
        <v>905</v>
      </c>
      <c r="L398" s="4">
        <v>28032106</v>
      </c>
      <c r="M398" s="3">
        <v>25905516822.799999</v>
      </c>
      <c r="N398" s="4">
        <v>387552</v>
      </c>
      <c r="O398">
        <f t="shared" si="6"/>
        <v>6.5068864548313635E-3</v>
      </c>
    </row>
    <row r="399" spans="1:15" ht="14.25" customHeight="1" x14ac:dyDescent="0.3">
      <c r="A399" s="2">
        <v>46056</v>
      </c>
      <c r="B399" t="s">
        <v>15</v>
      </c>
      <c r="C399">
        <v>983.75</v>
      </c>
      <c r="D399">
        <v>994</v>
      </c>
      <c r="E399">
        <v>945</v>
      </c>
      <c r="F399">
        <v>928.1</v>
      </c>
      <c r="G399">
        <v>947.65</v>
      </c>
      <c r="H399">
        <v>948.7</v>
      </c>
      <c r="I399">
        <v>954.45</v>
      </c>
      <c r="J399" s="3">
        <v>2037.7</v>
      </c>
      <c r="K399">
        <v>905</v>
      </c>
      <c r="L399" s="4">
        <v>50336968</v>
      </c>
      <c r="M399" s="3">
        <v>48043934757.849998</v>
      </c>
      <c r="N399" s="4">
        <v>490165</v>
      </c>
      <c r="O399">
        <f t="shared" si="6"/>
        <v>2.2195884064217242E-2</v>
      </c>
    </row>
    <row r="400" spans="1:15" ht="14.25" customHeight="1" x14ac:dyDescent="0.3">
      <c r="A400" s="2">
        <v>46057</v>
      </c>
      <c r="B400" t="s">
        <v>15</v>
      </c>
      <c r="C400">
        <v>952.5</v>
      </c>
      <c r="D400">
        <v>957.2</v>
      </c>
      <c r="E400">
        <v>947.95</v>
      </c>
      <c r="F400">
        <v>948.7</v>
      </c>
      <c r="G400">
        <v>949</v>
      </c>
      <c r="H400">
        <v>953.1</v>
      </c>
      <c r="I400">
        <v>952.91</v>
      </c>
      <c r="J400" s="3">
        <v>2037.7</v>
      </c>
      <c r="K400">
        <v>905</v>
      </c>
      <c r="L400" s="4">
        <v>24366770</v>
      </c>
      <c r="M400" s="3">
        <v>23219430282.650002</v>
      </c>
      <c r="N400" s="4">
        <v>251099</v>
      </c>
      <c r="O400">
        <f t="shared" si="6"/>
        <v>4.6379255823758587E-3</v>
      </c>
    </row>
    <row r="401" spans="1:15" ht="14.25" customHeight="1" x14ac:dyDescent="0.3">
      <c r="A401" s="2">
        <v>46058</v>
      </c>
      <c r="B401" t="s">
        <v>15</v>
      </c>
      <c r="C401">
        <v>956</v>
      </c>
      <c r="D401">
        <v>956.05</v>
      </c>
      <c r="E401">
        <v>946.7</v>
      </c>
      <c r="F401">
        <v>953.1</v>
      </c>
      <c r="G401">
        <v>949.7</v>
      </c>
      <c r="H401">
        <v>949.7</v>
      </c>
      <c r="I401">
        <v>950.22</v>
      </c>
      <c r="J401" s="3">
        <v>2037.7</v>
      </c>
      <c r="K401">
        <v>905</v>
      </c>
      <c r="L401" s="4">
        <v>28103169</v>
      </c>
      <c r="M401" s="3">
        <v>26704314508.900002</v>
      </c>
      <c r="N401" s="4">
        <v>372775</v>
      </c>
      <c r="O401">
        <f t="shared" si="6"/>
        <v>-3.5673066834539685E-3</v>
      </c>
    </row>
    <row r="402" spans="1:15" ht="14.25" customHeight="1" x14ac:dyDescent="0.3">
      <c r="A402" s="2">
        <v>46059</v>
      </c>
      <c r="B402" t="s">
        <v>15</v>
      </c>
      <c r="C402">
        <v>945</v>
      </c>
      <c r="D402">
        <v>948.1</v>
      </c>
      <c r="E402">
        <v>937.6</v>
      </c>
      <c r="F402">
        <v>949.7</v>
      </c>
      <c r="G402">
        <v>941</v>
      </c>
      <c r="H402">
        <v>941.1</v>
      </c>
      <c r="I402">
        <v>941.73</v>
      </c>
      <c r="J402" s="3">
        <v>2037.7</v>
      </c>
      <c r="K402">
        <v>905</v>
      </c>
      <c r="L402" s="4">
        <v>18120272</v>
      </c>
      <c r="M402" s="3">
        <v>17064339108.700001</v>
      </c>
      <c r="N402" s="4">
        <v>423858</v>
      </c>
      <c r="O402">
        <f t="shared" si="6"/>
        <v>-9.0554912077498387E-3</v>
      </c>
    </row>
    <row r="403" spans="1:15" ht="14.25" customHeight="1" x14ac:dyDescent="0.3">
      <c r="A403" s="2">
        <v>46062</v>
      </c>
      <c r="B403" t="s">
        <v>15</v>
      </c>
      <c r="C403">
        <v>945</v>
      </c>
      <c r="D403">
        <v>950</v>
      </c>
      <c r="E403">
        <v>935.35</v>
      </c>
      <c r="F403">
        <v>941.1</v>
      </c>
      <c r="G403">
        <v>938.8</v>
      </c>
      <c r="H403">
        <v>937.25</v>
      </c>
      <c r="I403">
        <v>938.27</v>
      </c>
      <c r="J403" s="3">
        <v>2037.7</v>
      </c>
      <c r="K403">
        <v>905</v>
      </c>
      <c r="L403" s="4">
        <v>23947829</v>
      </c>
      <c r="M403" s="3">
        <v>22469573398.450001</v>
      </c>
      <c r="N403" s="4">
        <v>274371</v>
      </c>
      <c r="O403">
        <f t="shared" si="6"/>
        <v>-4.0909573902879852E-3</v>
      </c>
    </row>
    <row r="404" spans="1:15" ht="14.25" customHeight="1" x14ac:dyDescent="0.3">
      <c r="A404" s="2">
        <v>46063</v>
      </c>
      <c r="B404" t="s">
        <v>15</v>
      </c>
      <c r="C404">
        <v>930</v>
      </c>
      <c r="D404">
        <v>940.9</v>
      </c>
      <c r="E404">
        <v>929.95</v>
      </c>
      <c r="F404">
        <v>937.25</v>
      </c>
      <c r="G404">
        <v>932.6</v>
      </c>
      <c r="H404">
        <v>932.4</v>
      </c>
      <c r="I404">
        <v>933.93</v>
      </c>
      <c r="J404" s="3">
        <v>2037.7</v>
      </c>
      <c r="K404">
        <v>905</v>
      </c>
      <c r="L404" s="4">
        <v>31525385</v>
      </c>
      <c r="M404" s="3">
        <v>29442615462.900002</v>
      </c>
      <c r="N404" s="4">
        <v>408707</v>
      </c>
      <c r="O404">
        <f t="shared" si="6"/>
        <v>-5.1747132568685222E-3</v>
      </c>
    </row>
    <row r="405" spans="1:15" ht="14.25" customHeight="1" x14ac:dyDescent="0.3">
      <c r="A405" s="2">
        <v>46064</v>
      </c>
      <c r="B405" t="s">
        <v>15</v>
      </c>
      <c r="C405">
        <v>931.25</v>
      </c>
      <c r="D405">
        <v>936</v>
      </c>
      <c r="E405">
        <v>925.3</v>
      </c>
      <c r="F405">
        <v>932.4</v>
      </c>
      <c r="G405">
        <v>926.8</v>
      </c>
      <c r="H405">
        <v>927.1</v>
      </c>
      <c r="I405">
        <v>928.91</v>
      </c>
      <c r="J405" s="3">
        <v>2037.7</v>
      </c>
      <c r="K405">
        <v>905</v>
      </c>
      <c r="L405" s="4">
        <v>24869804</v>
      </c>
      <c r="M405" s="3">
        <v>23101739084.150002</v>
      </c>
      <c r="N405" s="4">
        <v>368828</v>
      </c>
      <c r="O405">
        <f t="shared" si="6"/>
        <v>-5.6842556842556357E-3</v>
      </c>
    </row>
    <row r="406" spans="1:15" ht="14.25" customHeight="1" x14ac:dyDescent="0.3">
      <c r="A406" s="2">
        <v>46065</v>
      </c>
      <c r="B406" t="s">
        <v>15</v>
      </c>
      <c r="C406">
        <v>927</v>
      </c>
      <c r="D406">
        <v>928.6</v>
      </c>
      <c r="E406">
        <v>918.5</v>
      </c>
      <c r="F406">
        <v>927.1</v>
      </c>
      <c r="G406">
        <v>919.75</v>
      </c>
      <c r="H406">
        <v>920.6</v>
      </c>
      <c r="I406">
        <v>922.37</v>
      </c>
      <c r="J406" s="3">
        <v>2037.7</v>
      </c>
      <c r="K406">
        <v>905</v>
      </c>
      <c r="L406" s="4">
        <v>33872203</v>
      </c>
      <c r="M406" s="3">
        <v>31242614792.650002</v>
      </c>
      <c r="N406" s="4">
        <v>425115</v>
      </c>
      <c r="O406">
        <f t="shared" si="6"/>
        <v>-7.0111099126307841E-3</v>
      </c>
    </row>
    <row r="407" spans="1:15" ht="14.25" customHeight="1" x14ac:dyDescent="0.3">
      <c r="A407" s="2">
        <v>46066</v>
      </c>
      <c r="B407" t="s">
        <v>15</v>
      </c>
      <c r="C407">
        <v>913</v>
      </c>
      <c r="D407">
        <v>928.2</v>
      </c>
      <c r="E407">
        <v>901</v>
      </c>
      <c r="F407">
        <v>920.6</v>
      </c>
      <c r="G407">
        <v>903.9</v>
      </c>
      <c r="H407">
        <v>903.9</v>
      </c>
      <c r="I407">
        <v>912.26</v>
      </c>
      <c r="J407" s="3">
        <v>2037.7</v>
      </c>
      <c r="K407">
        <v>901</v>
      </c>
      <c r="L407" s="4">
        <v>50188359</v>
      </c>
      <c r="M407" s="3">
        <v>45784829506.25</v>
      </c>
      <c r="N407" s="4">
        <v>361977</v>
      </c>
      <c r="O407">
        <f t="shared" si="6"/>
        <v>-1.8140343254399352E-2</v>
      </c>
    </row>
    <row r="408" spans="1:15" ht="14.25" customHeight="1" x14ac:dyDescent="0.3">
      <c r="A408" s="2">
        <v>46069</v>
      </c>
      <c r="B408" t="s">
        <v>15</v>
      </c>
      <c r="C408">
        <v>903.9</v>
      </c>
      <c r="D408">
        <v>929.5</v>
      </c>
      <c r="E408">
        <v>902.1</v>
      </c>
      <c r="F408">
        <v>903.9</v>
      </c>
      <c r="G408">
        <v>925.5</v>
      </c>
      <c r="H408">
        <v>925.8</v>
      </c>
      <c r="I408">
        <v>922.18</v>
      </c>
      <c r="J408" s="3">
        <v>2037.7</v>
      </c>
      <c r="K408">
        <v>901</v>
      </c>
      <c r="L408" s="4">
        <v>18806989</v>
      </c>
      <c r="M408" s="3">
        <v>17343514574.599998</v>
      </c>
      <c r="N408" s="4">
        <v>309517</v>
      </c>
      <c r="O408">
        <f t="shared" si="6"/>
        <v>2.422834384334548E-2</v>
      </c>
    </row>
    <row r="409" spans="1:15" ht="14.25" customHeight="1" x14ac:dyDescent="0.3">
      <c r="A409" s="2">
        <v>46070</v>
      </c>
      <c r="B409" t="s">
        <v>15</v>
      </c>
      <c r="C409">
        <v>923</v>
      </c>
      <c r="D409">
        <v>928.1</v>
      </c>
      <c r="E409">
        <v>918.6</v>
      </c>
      <c r="F409">
        <v>925.8</v>
      </c>
      <c r="G409">
        <v>926.45</v>
      </c>
      <c r="H409">
        <v>925.7</v>
      </c>
      <c r="I409">
        <v>925.32</v>
      </c>
      <c r="J409" s="3">
        <v>2037.7</v>
      </c>
      <c r="K409">
        <v>901</v>
      </c>
      <c r="L409" s="4">
        <v>22599629</v>
      </c>
      <c r="M409" s="3">
        <v>20911878079.599998</v>
      </c>
      <c r="N409" s="4">
        <v>337196</v>
      </c>
      <c r="O409">
        <f t="shared" si="6"/>
        <v>-1.0801468999774148E-4</v>
      </c>
    </row>
    <row r="410" spans="1:15" ht="14.25" customHeight="1" x14ac:dyDescent="0.3">
      <c r="A410" s="2">
        <v>46071</v>
      </c>
      <c r="B410" t="s">
        <v>15</v>
      </c>
      <c r="C410">
        <v>923.2</v>
      </c>
      <c r="D410">
        <v>925.5</v>
      </c>
      <c r="E410">
        <v>919.55</v>
      </c>
      <c r="F410">
        <v>925.7</v>
      </c>
      <c r="G410">
        <v>923.7</v>
      </c>
      <c r="H410">
        <v>924.7</v>
      </c>
      <c r="I410">
        <v>922.79</v>
      </c>
      <c r="J410" s="3">
        <v>2037.7</v>
      </c>
      <c r="K410">
        <v>901</v>
      </c>
      <c r="L410" s="4">
        <v>12738702</v>
      </c>
      <c r="M410" s="3">
        <v>11755117113.450001</v>
      </c>
      <c r="N410" s="4">
        <v>217327</v>
      </c>
      <c r="O410">
        <f t="shared" si="6"/>
        <v>-1.0802635843145728E-3</v>
      </c>
    </row>
    <row r="411" spans="1:15" ht="14.25" customHeight="1" x14ac:dyDescent="0.3">
      <c r="A411" s="2">
        <v>46072</v>
      </c>
      <c r="B411" t="s">
        <v>15</v>
      </c>
      <c r="C411">
        <v>929</v>
      </c>
      <c r="D411">
        <v>929.2</v>
      </c>
      <c r="E411">
        <v>912.45</v>
      </c>
      <c r="F411">
        <v>924.7</v>
      </c>
      <c r="G411">
        <v>914.3</v>
      </c>
      <c r="H411">
        <v>915.6</v>
      </c>
      <c r="I411">
        <v>918.86</v>
      </c>
      <c r="J411" s="3">
        <v>2037.7</v>
      </c>
      <c r="K411">
        <v>901</v>
      </c>
      <c r="L411" s="4">
        <v>21209234</v>
      </c>
      <c r="M411" s="3">
        <v>19488260011.450001</v>
      </c>
      <c r="N411" s="4">
        <v>297364</v>
      </c>
      <c r="O411">
        <f t="shared" si="6"/>
        <v>-9.8410295230885927E-3</v>
      </c>
    </row>
    <row r="412" spans="1:15" ht="14.25" customHeight="1" x14ac:dyDescent="0.3">
      <c r="A412" s="2">
        <v>46073</v>
      </c>
      <c r="B412" t="s">
        <v>15</v>
      </c>
      <c r="C412">
        <v>911</v>
      </c>
      <c r="D412">
        <v>917.85</v>
      </c>
      <c r="E412">
        <v>908.4</v>
      </c>
      <c r="F412">
        <v>915.6</v>
      </c>
      <c r="G412">
        <v>913.15</v>
      </c>
      <c r="H412">
        <v>911.85</v>
      </c>
      <c r="I412">
        <v>913.52</v>
      </c>
      <c r="J412" s="3">
        <v>2037.7</v>
      </c>
      <c r="K412">
        <v>901</v>
      </c>
      <c r="L412" s="4">
        <v>22654907</v>
      </c>
      <c r="M412" s="3">
        <v>20695810498.849998</v>
      </c>
      <c r="N412" s="4">
        <v>295931</v>
      </c>
      <c r="O412">
        <f t="shared" si="6"/>
        <v>-4.0956749672346002E-3</v>
      </c>
    </row>
    <row r="413" spans="1:15" ht="14.25" customHeight="1" x14ac:dyDescent="0.3">
      <c r="A413" s="2">
        <v>46076</v>
      </c>
      <c r="B413" t="s">
        <v>15</v>
      </c>
      <c r="C413">
        <v>916.5</v>
      </c>
      <c r="D413">
        <v>925.65</v>
      </c>
      <c r="E413">
        <v>915.25</v>
      </c>
      <c r="F413">
        <v>911.85</v>
      </c>
      <c r="G413">
        <v>924.1</v>
      </c>
      <c r="H413">
        <v>923.6</v>
      </c>
      <c r="I413">
        <v>921.17</v>
      </c>
      <c r="J413" s="3">
        <v>2037.7</v>
      </c>
      <c r="K413">
        <v>901</v>
      </c>
      <c r="L413" s="4">
        <v>23270122</v>
      </c>
      <c r="M413" s="3">
        <v>21435660334</v>
      </c>
      <c r="N413" s="4">
        <v>228672</v>
      </c>
      <c r="O413">
        <f t="shared" si="6"/>
        <v>1.2885891319844273E-2</v>
      </c>
    </row>
    <row r="414" spans="1:15" ht="14.25" customHeight="1" x14ac:dyDescent="0.3">
      <c r="A414" s="2">
        <v>46077</v>
      </c>
      <c r="B414" t="s">
        <v>15</v>
      </c>
      <c r="C414">
        <v>927.95</v>
      </c>
      <c r="D414">
        <v>927.95</v>
      </c>
      <c r="E414">
        <v>909.15</v>
      </c>
      <c r="F414">
        <v>923.6</v>
      </c>
      <c r="G414">
        <v>911.5</v>
      </c>
      <c r="H414">
        <v>910.5</v>
      </c>
      <c r="I414">
        <v>915.33</v>
      </c>
      <c r="J414" s="3">
        <v>2037.7</v>
      </c>
      <c r="K414">
        <v>901</v>
      </c>
      <c r="L414" s="4">
        <v>31313985</v>
      </c>
      <c r="M414" s="3">
        <v>28662510212.400002</v>
      </c>
      <c r="N414" s="4">
        <v>298283</v>
      </c>
      <c r="O414">
        <f t="shared" si="6"/>
        <v>-1.4183629276743203E-2</v>
      </c>
    </row>
    <row r="415" spans="1:15" ht="14.25" customHeight="1" x14ac:dyDescent="0.3">
      <c r="A415" s="2">
        <v>46078</v>
      </c>
      <c r="B415" t="s">
        <v>15</v>
      </c>
      <c r="C415">
        <v>910.55</v>
      </c>
      <c r="D415">
        <v>916</v>
      </c>
      <c r="E415">
        <v>903.1</v>
      </c>
      <c r="F415">
        <v>910.5</v>
      </c>
      <c r="G415">
        <v>907.4</v>
      </c>
      <c r="H415">
        <v>907.6</v>
      </c>
      <c r="I415">
        <v>909</v>
      </c>
      <c r="J415" s="3">
        <v>2037.7</v>
      </c>
      <c r="K415">
        <v>901</v>
      </c>
      <c r="L415" s="4">
        <v>27884303</v>
      </c>
      <c r="M415" s="3">
        <v>25346943106.450001</v>
      </c>
      <c r="N415" s="4">
        <v>323744</v>
      </c>
      <c r="O415">
        <f t="shared" si="6"/>
        <v>-3.1850631521141981E-3</v>
      </c>
    </row>
    <row r="416" spans="1:15" ht="14.25" customHeight="1" x14ac:dyDescent="0.3">
      <c r="A416" s="2">
        <v>46079</v>
      </c>
      <c r="B416" t="s">
        <v>15</v>
      </c>
      <c r="C416">
        <v>912</v>
      </c>
      <c r="D416">
        <v>912</v>
      </c>
      <c r="E416">
        <v>895</v>
      </c>
      <c r="F416">
        <v>907.6</v>
      </c>
      <c r="G416">
        <v>896</v>
      </c>
      <c r="H416">
        <v>898.6</v>
      </c>
      <c r="I416">
        <v>901.32</v>
      </c>
      <c r="J416" s="3">
        <v>2037.7</v>
      </c>
      <c r="K416">
        <v>895</v>
      </c>
      <c r="L416" s="4">
        <v>41165937</v>
      </c>
      <c r="M416" s="3">
        <v>37103636109.449997</v>
      </c>
      <c r="N416" s="4">
        <v>502649</v>
      </c>
      <c r="O416">
        <f t="shared" si="6"/>
        <v>-9.9162626707800794E-3</v>
      </c>
    </row>
    <row r="417" spans="1:15" ht="14.25" customHeight="1" x14ac:dyDescent="0.3">
      <c r="A417" s="2">
        <v>46080</v>
      </c>
      <c r="B417" t="s">
        <v>15</v>
      </c>
      <c r="C417">
        <v>898.6</v>
      </c>
      <c r="D417">
        <v>898.95</v>
      </c>
      <c r="E417">
        <v>885</v>
      </c>
      <c r="F417">
        <v>898.6</v>
      </c>
      <c r="G417">
        <v>887.45</v>
      </c>
      <c r="H417">
        <v>887.75</v>
      </c>
      <c r="I417">
        <v>889.69</v>
      </c>
      <c r="J417" s="3">
        <v>2037.7</v>
      </c>
      <c r="K417">
        <v>885</v>
      </c>
      <c r="L417" s="4">
        <v>34620755</v>
      </c>
      <c r="M417" s="3">
        <v>30801652275.450001</v>
      </c>
      <c r="N417" s="4">
        <v>411801</v>
      </c>
      <c r="O417">
        <f t="shared" si="6"/>
        <v>-1.2074337858891634E-2</v>
      </c>
    </row>
    <row r="418" spans="1:15" ht="14.25" customHeight="1" x14ac:dyDescent="0.3">
      <c r="A418" s="2">
        <v>46083</v>
      </c>
      <c r="B418" t="s">
        <v>15</v>
      </c>
      <c r="C418">
        <v>876.2</v>
      </c>
      <c r="D418">
        <v>887.75</v>
      </c>
      <c r="E418">
        <v>871.55</v>
      </c>
      <c r="F418">
        <v>887.75</v>
      </c>
      <c r="G418">
        <v>882.1</v>
      </c>
      <c r="H418">
        <v>879.4</v>
      </c>
      <c r="I418">
        <v>879.38</v>
      </c>
      <c r="J418" s="3">
        <v>2037.7</v>
      </c>
      <c r="K418">
        <v>871.55</v>
      </c>
      <c r="L418" s="4">
        <v>38378924</v>
      </c>
      <c r="M418" s="3">
        <v>33749754117.700001</v>
      </c>
      <c r="N418" s="4">
        <v>401981</v>
      </c>
      <c r="O418">
        <f t="shared" si="6"/>
        <v>-9.4058011827654435E-3</v>
      </c>
    </row>
    <row r="419" spans="1:15" ht="14.25" customHeight="1" x14ac:dyDescent="0.3">
      <c r="A419" s="2">
        <v>46085</v>
      </c>
      <c r="B419" t="s">
        <v>15</v>
      </c>
      <c r="C419">
        <v>848</v>
      </c>
      <c r="D419">
        <v>879.3</v>
      </c>
      <c r="E419">
        <v>848</v>
      </c>
      <c r="F419">
        <v>879.4</v>
      </c>
      <c r="G419">
        <v>869</v>
      </c>
      <c r="H419">
        <v>868.65</v>
      </c>
      <c r="I419">
        <v>866</v>
      </c>
      <c r="J419" s="3">
        <v>2037.7</v>
      </c>
      <c r="K419">
        <v>848</v>
      </c>
      <c r="L419" s="4">
        <v>39862322</v>
      </c>
      <c r="M419" s="3">
        <v>34520891227.900002</v>
      </c>
      <c r="N419" s="4">
        <v>456224</v>
      </c>
      <c r="O419">
        <f t="shared" si="6"/>
        <v>-1.2224243802592677E-2</v>
      </c>
    </row>
    <row r="420" spans="1:15" ht="14.25" customHeight="1" x14ac:dyDescent="0.3">
      <c r="A420" s="2">
        <v>46086</v>
      </c>
      <c r="B420" t="s">
        <v>15</v>
      </c>
      <c r="C420">
        <v>873.85</v>
      </c>
      <c r="D420">
        <v>881.4</v>
      </c>
      <c r="E420">
        <v>863.5</v>
      </c>
      <c r="F420">
        <v>868.65</v>
      </c>
      <c r="G420">
        <v>875.1</v>
      </c>
      <c r="H420">
        <v>877.75</v>
      </c>
      <c r="I420">
        <v>873.44</v>
      </c>
      <c r="J420" s="3">
        <v>2037.7</v>
      </c>
      <c r="K420">
        <v>848</v>
      </c>
      <c r="L420" s="4">
        <v>31324582</v>
      </c>
      <c r="M420" s="3">
        <v>27360019475</v>
      </c>
      <c r="N420" s="4">
        <v>281674</v>
      </c>
      <c r="O420">
        <f t="shared" si="6"/>
        <v>1.0476026017383322E-2</v>
      </c>
    </row>
    <row r="421" spans="1:15" ht="14.25" customHeight="1" x14ac:dyDescent="0.3">
      <c r="A421" s="2">
        <v>46087</v>
      </c>
      <c r="B421" t="s">
        <v>15</v>
      </c>
      <c r="C421">
        <v>868.05</v>
      </c>
      <c r="D421">
        <v>871.7</v>
      </c>
      <c r="E421">
        <v>855.1</v>
      </c>
      <c r="F421">
        <v>877.75</v>
      </c>
      <c r="G421">
        <v>857.2</v>
      </c>
      <c r="H421">
        <v>857.05</v>
      </c>
      <c r="I421">
        <v>862.5</v>
      </c>
      <c r="J421" s="3">
        <v>2037.7</v>
      </c>
      <c r="K421">
        <v>848</v>
      </c>
      <c r="L421" s="4">
        <v>34439647</v>
      </c>
      <c r="M421" s="3">
        <v>29704205809.349998</v>
      </c>
      <c r="N421" s="4">
        <v>706964</v>
      </c>
      <c r="O421">
        <f t="shared" si="6"/>
        <v>-2.3583024779265219E-2</v>
      </c>
    </row>
    <row r="422" spans="1:15" ht="14.25" customHeight="1" x14ac:dyDescent="0.3">
      <c r="A422" s="2">
        <v>46090</v>
      </c>
      <c r="B422" t="s">
        <v>15</v>
      </c>
      <c r="C422">
        <v>825</v>
      </c>
      <c r="D422">
        <v>842.45</v>
      </c>
      <c r="E422">
        <v>821.5</v>
      </c>
      <c r="F422">
        <v>857.05</v>
      </c>
      <c r="G422">
        <v>839.1</v>
      </c>
      <c r="H422">
        <v>840.7</v>
      </c>
      <c r="I422">
        <v>833.63</v>
      </c>
      <c r="J422" s="3">
        <v>2037.7</v>
      </c>
      <c r="K422">
        <v>821.5</v>
      </c>
      <c r="L422" s="4">
        <v>35592613</v>
      </c>
      <c r="M422" s="3">
        <v>29670987891.549999</v>
      </c>
      <c r="N422" s="4">
        <v>420429</v>
      </c>
      <c r="O422">
        <f t="shared" si="6"/>
        <v>-1.9077066682223802E-2</v>
      </c>
    </row>
    <row r="423" spans="1:15" ht="14.25" customHeight="1" x14ac:dyDescent="0.3">
      <c r="A423" s="2">
        <v>46091</v>
      </c>
      <c r="B423" t="s">
        <v>15</v>
      </c>
      <c r="C423">
        <v>850.05</v>
      </c>
      <c r="D423">
        <v>856.8</v>
      </c>
      <c r="E423">
        <v>840.6</v>
      </c>
      <c r="F423">
        <v>840.7</v>
      </c>
      <c r="G423">
        <v>849</v>
      </c>
      <c r="H423">
        <v>849.45</v>
      </c>
      <c r="I423">
        <v>849.47</v>
      </c>
      <c r="J423" s="3">
        <v>2037.7</v>
      </c>
      <c r="K423">
        <v>821.5</v>
      </c>
      <c r="L423" s="4">
        <v>52866024</v>
      </c>
      <c r="M423" s="3">
        <v>44907944293.599998</v>
      </c>
      <c r="N423" s="4">
        <v>475796</v>
      </c>
      <c r="O423">
        <f t="shared" si="6"/>
        <v>1.0407993338884262E-2</v>
      </c>
    </row>
    <row r="424" spans="1:15" ht="14.25" customHeight="1" x14ac:dyDescent="0.3">
      <c r="A424" s="2">
        <v>46092</v>
      </c>
      <c r="B424" t="s">
        <v>15</v>
      </c>
      <c r="C424">
        <v>845</v>
      </c>
      <c r="D424">
        <v>848.85</v>
      </c>
      <c r="E424">
        <v>827.6</v>
      </c>
      <c r="F424">
        <v>849.45</v>
      </c>
      <c r="G424">
        <v>834.4</v>
      </c>
      <c r="H424">
        <v>833.95</v>
      </c>
      <c r="I424">
        <v>834.32</v>
      </c>
      <c r="J424" s="3">
        <v>2037.7</v>
      </c>
      <c r="K424">
        <v>821.5</v>
      </c>
      <c r="L424" s="4">
        <v>42261076</v>
      </c>
      <c r="M424" s="3">
        <v>35259318337.5</v>
      </c>
      <c r="N424" s="4">
        <v>580385</v>
      </c>
      <c r="O424">
        <f t="shared" si="6"/>
        <v>-1.8247101065395253E-2</v>
      </c>
    </row>
    <row r="425" spans="1:15" ht="14.25" customHeight="1" x14ac:dyDescent="0.3">
      <c r="A425" s="2">
        <v>46093</v>
      </c>
      <c r="B425" t="s">
        <v>15</v>
      </c>
      <c r="C425">
        <v>820.1</v>
      </c>
      <c r="D425">
        <v>836.4</v>
      </c>
      <c r="E425">
        <v>820.1</v>
      </c>
      <c r="F425">
        <v>833.95</v>
      </c>
      <c r="G425">
        <v>833.3</v>
      </c>
      <c r="H425">
        <v>832.75</v>
      </c>
      <c r="I425">
        <v>831.86</v>
      </c>
      <c r="J425" s="3">
        <v>2037.7</v>
      </c>
      <c r="K425">
        <v>820.1</v>
      </c>
      <c r="L425" s="4">
        <v>46107561</v>
      </c>
      <c r="M425" s="3">
        <v>38354969893</v>
      </c>
      <c r="N425" s="4">
        <v>683178</v>
      </c>
      <c r="O425">
        <f t="shared" si="6"/>
        <v>-1.4389351879609633E-3</v>
      </c>
    </row>
    <row r="426" spans="1:15" ht="14.25" customHeight="1" x14ac:dyDescent="0.3">
      <c r="A426" s="2">
        <v>46094</v>
      </c>
      <c r="B426" t="s">
        <v>15</v>
      </c>
      <c r="C426">
        <v>820</v>
      </c>
      <c r="D426">
        <v>823.8</v>
      </c>
      <c r="E426">
        <v>812</v>
      </c>
      <c r="F426">
        <v>832.75</v>
      </c>
      <c r="G426">
        <v>816.7</v>
      </c>
      <c r="H426">
        <v>817</v>
      </c>
      <c r="I426">
        <v>817.73</v>
      </c>
      <c r="J426" s="3">
        <v>2037.7</v>
      </c>
      <c r="K426">
        <v>812</v>
      </c>
      <c r="L426" s="4">
        <v>41700464</v>
      </c>
      <c r="M426" s="3">
        <v>34099871018.099998</v>
      </c>
      <c r="N426" s="4">
        <v>542628</v>
      </c>
      <c r="O426">
        <f t="shared" si="6"/>
        <v>-1.8913239267487243E-2</v>
      </c>
    </row>
    <row r="427" spans="1:15" ht="14.25" customHeight="1" x14ac:dyDescent="0.3">
      <c r="A427" s="2">
        <v>46097</v>
      </c>
      <c r="B427" t="s">
        <v>15</v>
      </c>
      <c r="C427">
        <v>817</v>
      </c>
      <c r="D427">
        <v>844.5</v>
      </c>
      <c r="E427">
        <v>815.65</v>
      </c>
      <c r="F427">
        <v>817</v>
      </c>
      <c r="G427">
        <v>838.8</v>
      </c>
      <c r="H427">
        <v>840.6</v>
      </c>
      <c r="I427">
        <v>832</v>
      </c>
      <c r="J427" s="3">
        <v>2037.7</v>
      </c>
      <c r="K427">
        <v>812</v>
      </c>
      <c r="L427" s="4">
        <v>52182605</v>
      </c>
      <c r="M427" s="3">
        <v>43415902026.800003</v>
      </c>
      <c r="N427" s="4">
        <v>497371</v>
      </c>
      <c r="O427">
        <f t="shared" si="6"/>
        <v>2.8886168910648744E-2</v>
      </c>
    </row>
    <row r="428" spans="1:15" ht="14.25" customHeight="1" x14ac:dyDescent="0.3">
      <c r="A428" s="2">
        <v>46098</v>
      </c>
      <c r="B428" t="s">
        <v>15</v>
      </c>
      <c r="C428">
        <v>847.7</v>
      </c>
      <c r="D428">
        <v>848.9</v>
      </c>
      <c r="E428">
        <v>835.1</v>
      </c>
      <c r="F428">
        <v>840.6</v>
      </c>
      <c r="G428">
        <v>842.8</v>
      </c>
      <c r="H428">
        <v>845.35</v>
      </c>
      <c r="I428">
        <v>843.42</v>
      </c>
      <c r="J428" s="3">
        <v>2037.7</v>
      </c>
      <c r="K428">
        <v>812</v>
      </c>
      <c r="L428" s="4">
        <v>38826979</v>
      </c>
      <c r="M428" s="3">
        <v>32747578708.049999</v>
      </c>
      <c r="N428" s="4">
        <v>457590</v>
      </c>
      <c r="O428">
        <f t="shared" si="6"/>
        <v>5.6507256721389483E-3</v>
      </c>
    </row>
    <row r="429" spans="1:15" ht="14.25" customHeight="1" x14ac:dyDescent="0.3">
      <c r="A429" s="2">
        <v>46099</v>
      </c>
      <c r="B429" t="s">
        <v>15</v>
      </c>
      <c r="C429">
        <v>845.35</v>
      </c>
      <c r="D429">
        <v>846.8</v>
      </c>
      <c r="E429">
        <v>831.6</v>
      </c>
      <c r="F429">
        <v>845.35</v>
      </c>
      <c r="G429">
        <v>842</v>
      </c>
      <c r="H429">
        <v>843.05</v>
      </c>
      <c r="I429">
        <v>840.38</v>
      </c>
      <c r="J429" s="3">
        <v>2037.7</v>
      </c>
      <c r="K429">
        <v>812</v>
      </c>
      <c r="L429" s="4">
        <v>23507063</v>
      </c>
      <c r="M429" s="3">
        <v>19754916389.349998</v>
      </c>
      <c r="N429" s="4">
        <v>294181</v>
      </c>
      <c r="O429">
        <f t="shared" si="6"/>
        <v>-2.7207665464009795E-3</v>
      </c>
    </row>
    <row r="430" spans="1:15" ht="14.25" customHeight="1" x14ac:dyDescent="0.3">
      <c r="A430" s="2">
        <v>46100</v>
      </c>
      <c r="B430" t="s">
        <v>15</v>
      </c>
      <c r="C430">
        <v>770</v>
      </c>
      <c r="D430">
        <v>815.65</v>
      </c>
      <c r="E430">
        <v>770</v>
      </c>
      <c r="F430">
        <v>843.05</v>
      </c>
      <c r="G430">
        <v>800</v>
      </c>
      <c r="H430">
        <v>798.2</v>
      </c>
      <c r="I430">
        <v>801.78</v>
      </c>
      <c r="J430" s="3">
        <v>2037.7</v>
      </c>
      <c r="K430">
        <v>770</v>
      </c>
      <c r="L430" s="4">
        <v>171637393</v>
      </c>
      <c r="M430" s="3">
        <v>137615084047.35001</v>
      </c>
      <c r="N430" s="4">
        <v>1439390</v>
      </c>
      <c r="O430">
        <f t="shared" si="6"/>
        <v>-5.3199691595990646E-2</v>
      </c>
    </row>
    <row r="431" spans="1:15" ht="14.25" customHeight="1" x14ac:dyDescent="0.3">
      <c r="A431" s="2">
        <v>46101</v>
      </c>
      <c r="B431" t="s">
        <v>15</v>
      </c>
      <c r="C431">
        <v>785</v>
      </c>
      <c r="D431">
        <v>793.75</v>
      </c>
      <c r="E431">
        <v>778.2</v>
      </c>
      <c r="F431">
        <v>798.2</v>
      </c>
      <c r="G431">
        <v>781</v>
      </c>
      <c r="H431">
        <v>780.45</v>
      </c>
      <c r="I431">
        <v>784.12</v>
      </c>
      <c r="J431" s="3">
        <v>2037.7</v>
      </c>
      <c r="K431">
        <v>770</v>
      </c>
      <c r="L431" s="4">
        <v>103129469</v>
      </c>
      <c r="M431" s="3">
        <v>80865860514.300003</v>
      </c>
      <c r="N431" s="4">
        <v>963682</v>
      </c>
      <c r="O431">
        <f t="shared" si="6"/>
        <v>-2.2237534452518165E-2</v>
      </c>
    </row>
    <row r="432" spans="1:15" ht="14.25" customHeight="1" x14ac:dyDescent="0.3">
      <c r="A432" s="2">
        <v>46104</v>
      </c>
      <c r="B432" t="s">
        <v>15</v>
      </c>
      <c r="C432">
        <v>763.15</v>
      </c>
      <c r="D432">
        <v>768.7</v>
      </c>
      <c r="E432">
        <v>741.05</v>
      </c>
      <c r="F432">
        <v>780.45</v>
      </c>
      <c r="G432">
        <v>742.3</v>
      </c>
      <c r="H432">
        <v>744.15</v>
      </c>
      <c r="I432">
        <v>752.37</v>
      </c>
      <c r="J432" s="3">
        <v>2037.7</v>
      </c>
      <c r="K432">
        <v>741.05</v>
      </c>
      <c r="L432" s="4">
        <v>72341738</v>
      </c>
      <c r="M432" s="3">
        <v>54427519734.599998</v>
      </c>
      <c r="N432" s="4">
        <v>872248</v>
      </c>
      <c r="O432">
        <f t="shared" si="6"/>
        <v>-4.6511627906976827E-2</v>
      </c>
    </row>
    <row r="433" spans="1:15" ht="14.25" customHeight="1" x14ac:dyDescent="0.3">
      <c r="A433" s="2">
        <v>46105</v>
      </c>
      <c r="B433" t="s">
        <v>15</v>
      </c>
      <c r="C433">
        <v>755</v>
      </c>
      <c r="D433">
        <v>772.75</v>
      </c>
      <c r="E433">
        <v>747.7</v>
      </c>
      <c r="F433">
        <v>744.15</v>
      </c>
      <c r="G433">
        <v>766.5</v>
      </c>
      <c r="H433">
        <v>764.9</v>
      </c>
      <c r="I433">
        <v>761.63</v>
      </c>
      <c r="J433" s="3">
        <v>2037.7</v>
      </c>
      <c r="K433">
        <v>741.05</v>
      </c>
      <c r="L433" s="4">
        <v>61269986</v>
      </c>
      <c r="M433" s="3">
        <v>46665356241.25</v>
      </c>
      <c r="N433" s="4">
        <v>626314</v>
      </c>
      <c r="O433">
        <f t="shared" si="6"/>
        <v>2.7884163139152054E-2</v>
      </c>
    </row>
    <row r="434" spans="1:15" ht="14.25" customHeight="1" x14ac:dyDescent="0.3">
      <c r="A434" s="2">
        <v>46106</v>
      </c>
      <c r="B434" t="s">
        <v>15</v>
      </c>
      <c r="C434">
        <v>768.2</v>
      </c>
      <c r="D434">
        <v>794.8</v>
      </c>
      <c r="E434">
        <v>768.2</v>
      </c>
      <c r="F434">
        <v>764.9</v>
      </c>
      <c r="G434">
        <v>780.1</v>
      </c>
      <c r="H434">
        <v>782.3</v>
      </c>
      <c r="I434">
        <v>785.22</v>
      </c>
      <c r="J434" s="3">
        <v>2037.7</v>
      </c>
      <c r="K434">
        <v>741.05</v>
      </c>
      <c r="L434" s="4">
        <v>59230640</v>
      </c>
      <c r="M434" s="3">
        <v>46508923123.650002</v>
      </c>
      <c r="N434" s="4">
        <v>628380</v>
      </c>
      <c r="O434">
        <f t="shared" si="6"/>
        <v>2.2748071643352043E-2</v>
      </c>
    </row>
    <row r="435" spans="1:15" ht="14.25" customHeight="1" x14ac:dyDescent="0.3">
      <c r="A435" s="2">
        <v>46108</v>
      </c>
      <c r="B435" t="s">
        <v>15</v>
      </c>
      <c r="C435">
        <v>773.2</v>
      </c>
      <c r="D435">
        <v>774.9</v>
      </c>
      <c r="E435">
        <v>754.55</v>
      </c>
      <c r="F435">
        <v>782.3</v>
      </c>
      <c r="G435">
        <v>757.95</v>
      </c>
      <c r="H435">
        <v>756.2</v>
      </c>
      <c r="I435">
        <v>761.3</v>
      </c>
      <c r="J435" s="3">
        <v>2037.7</v>
      </c>
      <c r="K435">
        <v>741.05</v>
      </c>
      <c r="L435" s="4">
        <v>65485199</v>
      </c>
      <c r="M435" s="3">
        <v>49853660404.550003</v>
      </c>
      <c r="N435" s="4">
        <v>699107</v>
      </c>
      <c r="O435">
        <f t="shared" si="6"/>
        <v>-3.3363159913076708E-2</v>
      </c>
    </row>
    <row r="436" spans="1:15" ht="14.25" customHeight="1" x14ac:dyDescent="0.3">
      <c r="A436" s="2">
        <v>46111</v>
      </c>
      <c r="B436" t="s">
        <v>15</v>
      </c>
      <c r="C436">
        <v>745.2</v>
      </c>
      <c r="D436">
        <v>751</v>
      </c>
      <c r="E436">
        <v>726.65</v>
      </c>
      <c r="F436">
        <v>756.2</v>
      </c>
      <c r="G436">
        <v>735</v>
      </c>
      <c r="H436">
        <v>731.55</v>
      </c>
      <c r="I436">
        <v>737.88</v>
      </c>
      <c r="J436" s="3">
        <v>2037.7</v>
      </c>
      <c r="K436">
        <v>726.65</v>
      </c>
      <c r="L436" s="4">
        <v>103500135</v>
      </c>
      <c r="M436" s="3">
        <v>76370180749.449997</v>
      </c>
      <c r="N436" s="4">
        <v>787374</v>
      </c>
      <c r="O436">
        <f t="shared" si="6"/>
        <v>-3.2597196508860206E-2</v>
      </c>
    </row>
    <row r="437" spans="1:15" ht="14.25" customHeight="1" x14ac:dyDescent="0.3">
      <c r="A437" s="2">
        <v>46113</v>
      </c>
      <c r="B437" t="s">
        <v>15</v>
      </c>
      <c r="C437">
        <v>743</v>
      </c>
      <c r="D437">
        <v>755.9</v>
      </c>
      <c r="E437">
        <v>739.1</v>
      </c>
      <c r="F437">
        <v>731.55</v>
      </c>
      <c r="G437">
        <v>744</v>
      </c>
      <c r="H437">
        <v>742.25</v>
      </c>
      <c r="I437">
        <v>745.52</v>
      </c>
      <c r="J437" s="3">
        <v>2037.7</v>
      </c>
      <c r="K437">
        <v>726.65</v>
      </c>
      <c r="L437" s="4">
        <v>78862761</v>
      </c>
      <c r="M437" s="3">
        <v>58794104725.5</v>
      </c>
      <c r="N437" s="4">
        <v>617196</v>
      </c>
      <c r="O437">
        <f t="shared" si="6"/>
        <v>1.4626478026109009E-2</v>
      </c>
    </row>
    <row r="438" spans="1:15" ht="14.25" customHeight="1" x14ac:dyDescent="0.3">
      <c r="A438" s="2">
        <v>46114</v>
      </c>
      <c r="B438" t="s">
        <v>15</v>
      </c>
      <c r="C438">
        <v>730</v>
      </c>
      <c r="D438">
        <v>755</v>
      </c>
      <c r="E438">
        <v>726.65</v>
      </c>
      <c r="F438">
        <v>742.25</v>
      </c>
      <c r="G438">
        <v>751</v>
      </c>
      <c r="H438">
        <v>750.9</v>
      </c>
      <c r="I438">
        <v>740.56</v>
      </c>
      <c r="J438" s="3">
        <v>2037.7</v>
      </c>
      <c r="K438">
        <v>726.65</v>
      </c>
      <c r="L438" s="4">
        <v>49310300</v>
      </c>
      <c r="M438" s="3">
        <v>36517173048.099998</v>
      </c>
      <c r="N438" s="4">
        <v>618264</v>
      </c>
      <c r="O438">
        <f t="shared" si="6"/>
        <v>1.1653755473223277E-2</v>
      </c>
    </row>
    <row r="439" spans="1:15" ht="14.25" customHeight="1" x14ac:dyDescent="0.3">
      <c r="A439" s="2">
        <v>46118</v>
      </c>
      <c r="B439" t="s">
        <v>15</v>
      </c>
      <c r="C439">
        <v>759</v>
      </c>
      <c r="D439">
        <v>772.75</v>
      </c>
      <c r="E439">
        <v>745</v>
      </c>
      <c r="F439">
        <v>750.9</v>
      </c>
      <c r="G439">
        <v>770.9</v>
      </c>
      <c r="H439">
        <v>771</v>
      </c>
      <c r="I439">
        <v>759.21</v>
      </c>
      <c r="J439" s="3">
        <v>2037.7</v>
      </c>
      <c r="K439">
        <v>726.65</v>
      </c>
      <c r="L439" s="4">
        <v>42976659</v>
      </c>
      <c r="M439" s="3">
        <v>32628140429.950001</v>
      </c>
      <c r="N439" s="4">
        <v>626168</v>
      </c>
      <c r="O439">
        <f t="shared" si="6"/>
        <v>2.6767878545745138E-2</v>
      </c>
    </row>
    <row r="440" spans="1:15" ht="14.25" customHeight="1" x14ac:dyDescent="0.3">
      <c r="A440" s="2">
        <v>46119</v>
      </c>
      <c r="B440" t="s">
        <v>15</v>
      </c>
      <c r="C440">
        <v>766</v>
      </c>
      <c r="D440">
        <v>774</v>
      </c>
      <c r="E440">
        <v>761</v>
      </c>
      <c r="F440">
        <v>771</v>
      </c>
      <c r="G440">
        <v>772.4</v>
      </c>
      <c r="H440">
        <v>772</v>
      </c>
      <c r="I440">
        <v>768.18</v>
      </c>
      <c r="J440" s="3">
        <v>2037.7</v>
      </c>
      <c r="K440">
        <v>726.65</v>
      </c>
      <c r="L440" s="4">
        <v>51309793</v>
      </c>
      <c r="M440" s="3">
        <v>39415068155.949997</v>
      </c>
      <c r="N440" s="4">
        <v>777553</v>
      </c>
      <c r="O440">
        <f t="shared" si="6"/>
        <v>1.2970168612191958E-3</v>
      </c>
    </row>
    <row r="441" spans="1:15" ht="14.25" customHeight="1" x14ac:dyDescent="0.3">
      <c r="A441" s="2">
        <v>46120</v>
      </c>
      <c r="B441" t="s">
        <v>15</v>
      </c>
      <c r="C441">
        <v>800</v>
      </c>
      <c r="D441">
        <v>817.8</v>
      </c>
      <c r="E441">
        <v>796</v>
      </c>
      <c r="F441">
        <v>772</v>
      </c>
      <c r="G441">
        <v>817.5</v>
      </c>
      <c r="H441">
        <v>816.1</v>
      </c>
      <c r="I441">
        <v>809.87</v>
      </c>
      <c r="J441" s="3">
        <v>2037.7</v>
      </c>
      <c r="K441">
        <v>726.65</v>
      </c>
      <c r="L441" s="4">
        <v>70269512</v>
      </c>
      <c r="M441" s="3">
        <v>56909358152.400002</v>
      </c>
      <c r="N441" s="4">
        <v>561769</v>
      </c>
      <c r="O441">
        <f t="shared" si="6"/>
        <v>5.7124352331606246E-2</v>
      </c>
    </row>
    <row r="442" spans="1:15" ht="14.25" customHeight="1" x14ac:dyDescent="0.3">
      <c r="A442" s="2">
        <v>46121</v>
      </c>
      <c r="B442" t="s">
        <v>15</v>
      </c>
      <c r="C442">
        <v>815</v>
      </c>
      <c r="D442">
        <v>819</v>
      </c>
      <c r="E442">
        <v>793.1</v>
      </c>
      <c r="F442">
        <v>816.1</v>
      </c>
      <c r="G442">
        <v>798</v>
      </c>
      <c r="H442">
        <v>797.7</v>
      </c>
      <c r="I442">
        <v>800.68</v>
      </c>
      <c r="J442" s="3">
        <v>2037.7</v>
      </c>
      <c r="K442">
        <v>726.65</v>
      </c>
      <c r="L442" s="4">
        <v>48879392</v>
      </c>
      <c r="M442" s="3">
        <v>39136741055.400002</v>
      </c>
      <c r="N442" s="4">
        <v>532333</v>
      </c>
      <c r="O442">
        <f t="shared" si="6"/>
        <v>-2.2546256586202643E-2</v>
      </c>
    </row>
    <row r="443" spans="1:15" ht="14.25" customHeight="1" x14ac:dyDescent="0.3">
      <c r="A443" s="2">
        <v>46122</v>
      </c>
      <c r="B443" t="s">
        <v>15</v>
      </c>
      <c r="C443">
        <v>804</v>
      </c>
      <c r="D443">
        <v>812.25</v>
      </c>
      <c r="E443">
        <v>801</v>
      </c>
      <c r="F443">
        <v>797.7</v>
      </c>
      <c r="G443">
        <v>810.1</v>
      </c>
      <c r="H443">
        <v>810.3</v>
      </c>
      <c r="I443">
        <v>809.15</v>
      </c>
      <c r="J443" s="3">
        <v>2037.7</v>
      </c>
      <c r="K443">
        <v>726.65</v>
      </c>
      <c r="L443" s="4">
        <v>38156026</v>
      </c>
      <c r="M443" s="3">
        <v>30873943034.349998</v>
      </c>
      <c r="N443" s="4">
        <v>384976</v>
      </c>
      <c r="O443">
        <f t="shared" si="6"/>
        <v>1.5795411808950617E-2</v>
      </c>
    </row>
    <row r="444" spans="1:15" ht="14.25" customHeight="1" x14ac:dyDescent="0.3">
      <c r="A444" s="2">
        <v>46125</v>
      </c>
      <c r="B444" t="s">
        <v>15</v>
      </c>
      <c r="C444">
        <v>791.5</v>
      </c>
      <c r="D444">
        <v>798.5</v>
      </c>
      <c r="E444">
        <v>787.35</v>
      </c>
      <c r="F444">
        <v>810.3</v>
      </c>
      <c r="G444">
        <v>793</v>
      </c>
      <c r="H444">
        <v>794.7</v>
      </c>
      <c r="I444">
        <v>792.47</v>
      </c>
      <c r="J444" s="3">
        <v>2037.7</v>
      </c>
      <c r="K444">
        <v>726.65</v>
      </c>
      <c r="L444" s="4">
        <v>47549328</v>
      </c>
      <c r="M444" s="3">
        <v>37681570377.550003</v>
      </c>
      <c r="N444" s="4">
        <v>428978</v>
      </c>
      <c r="O444">
        <f t="shared" si="6"/>
        <v>-1.9252128841169825E-2</v>
      </c>
    </row>
    <row r="445" spans="1:15" ht="14.25" customHeight="1" x14ac:dyDescent="0.3">
      <c r="A445" s="2">
        <v>46127</v>
      </c>
      <c r="B445" t="s">
        <v>15</v>
      </c>
      <c r="C445">
        <v>804.95</v>
      </c>
      <c r="D445">
        <v>814.8</v>
      </c>
      <c r="E445">
        <v>804</v>
      </c>
      <c r="F445">
        <v>794.7</v>
      </c>
      <c r="G445">
        <v>810</v>
      </c>
      <c r="H445">
        <v>809.9</v>
      </c>
      <c r="I445">
        <v>809.73</v>
      </c>
      <c r="J445" s="3">
        <v>2037.7</v>
      </c>
      <c r="K445">
        <v>726.65</v>
      </c>
      <c r="L445" s="4">
        <v>39769515</v>
      </c>
      <c r="M445" s="3">
        <v>32202517376.599998</v>
      </c>
      <c r="N445" s="4">
        <v>468104</v>
      </c>
      <c r="O445">
        <f t="shared" si="6"/>
        <v>1.9126714483452788E-2</v>
      </c>
    </row>
    <row r="446" spans="1:15" ht="14.25" customHeight="1" x14ac:dyDescent="0.3">
      <c r="A446" s="2">
        <v>46128</v>
      </c>
      <c r="B446" t="s">
        <v>15</v>
      </c>
      <c r="C446">
        <v>818</v>
      </c>
      <c r="D446">
        <v>820.05</v>
      </c>
      <c r="E446">
        <v>792.2</v>
      </c>
      <c r="F446">
        <v>809.9</v>
      </c>
      <c r="G446">
        <v>794</v>
      </c>
      <c r="H446">
        <v>795.45</v>
      </c>
      <c r="I446">
        <v>802.59</v>
      </c>
      <c r="J446" s="3">
        <v>2037.7</v>
      </c>
      <c r="K446">
        <v>726.65</v>
      </c>
      <c r="L446" s="4">
        <v>62861293</v>
      </c>
      <c r="M446" s="3">
        <v>50452084027</v>
      </c>
      <c r="N446" s="4">
        <v>512745</v>
      </c>
      <c r="O446">
        <f t="shared" si="6"/>
        <v>-1.7841708852944723E-2</v>
      </c>
    </row>
    <row r="447" spans="1:15" ht="14.25" customHeight="1" x14ac:dyDescent="0.3">
      <c r="A447" s="2">
        <v>46129</v>
      </c>
      <c r="B447" t="s">
        <v>15</v>
      </c>
      <c r="C447">
        <v>790.1</v>
      </c>
      <c r="D447">
        <v>803.95</v>
      </c>
      <c r="E447">
        <v>788.2</v>
      </c>
      <c r="F447">
        <v>795.45</v>
      </c>
      <c r="G447">
        <v>800</v>
      </c>
      <c r="H447">
        <v>799.9</v>
      </c>
      <c r="I447">
        <v>799.4</v>
      </c>
      <c r="J447" s="3">
        <v>2037.7</v>
      </c>
      <c r="K447">
        <v>726.65</v>
      </c>
      <c r="L447" s="4">
        <v>37282544</v>
      </c>
      <c r="M447" s="3">
        <v>29803842840.25</v>
      </c>
      <c r="N447" s="4">
        <v>329801</v>
      </c>
      <c r="O447">
        <f t="shared" si="6"/>
        <v>5.5943176818152385E-3</v>
      </c>
    </row>
    <row r="448" spans="1:15" ht="14.25" customHeight="1" x14ac:dyDescent="0.3">
      <c r="A448" s="2">
        <v>46132</v>
      </c>
      <c r="B448" t="s">
        <v>15</v>
      </c>
      <c r="C448">
        <v>797.1</v>
      </c>
      <c r="D448">
        <v>809.95</v>
      </c>
      <c r="E448">
        <v>790</v>
      </c>
      <c r="F448">
        <v>799.9</v>
      </c>
      <c r="G448">
        <v>795.2</v>
      </c>
      <c r="H448">
        <v>795.45</v>
      </c>
      <c r="I448">
        <v>796.95</v>
      </c>
      <c r="J448" s="3">
        <v>2037.7</v>
      </c>
      <c r="K448">
        <v>726.65</v>
      </c>
      <c r="L448" s="4">
        <v>52148044</v>
      </c>
      <c r="M448" s="3">
        <v>41559315742.550003</v>
      </c>
      <c r="N448" s="4">
        <v>550200</v>
      </c>
      <c r="O448">
        <f t="shared" si="6"/>
        <v>-5.563195399424843E-3</v>
      </c>
    </row>
    <row r="449" spans="1:15" ht="14.25" customHeight="1" x14ac:dyDescent="0.3">
      <c r="A449" s="2">
        <v>46133</v>
      </c>
      <c r="B449" t="s">
        <v>15</v>
      </c>
      <c r="C449">
        <v>795.2</v>
      </c>
      <c r="D449">
        <v>814.9</v>
      </c>
      <c r="E449">
        <v>795.2</v>
      </c>
      <c r="F449">
        <v>795.45</v>
      </c>
      <c r="G449">
        <v>812</v>
      </c>
      <c r="H449">
        <v>811.75</v>
      </c>
      <c r="I449">
        <v>808.97</v>
      </c>
      <c r="J449" s="3">
        <v>2037.7</v>
      </c>
      <c r="K449">
        <v>726.65</v>
      </c>
      <c r="L449" s="4">
        <v>49135752</v>
      </c>
      <c r="M449" s="3">
        <v>39749281377.25</v>
      </c>
      <c r="N449" s="4">
        <v>386140</v>
      </c>
      <c r="O449">
        <f t="shared" si="6"/>
        <v>2.0491545665975174E-2</v>
      </c>
    </row>
    <row r="450" spans="1:15" ht="14.25" customHeight="1" x14ac:dyDescent="0.3">
      <c r="A450" s="2">
        <v>46134</v>
      </c>
      <c r="B450" t="s">
        <v>15</v>
      </c>
      <c r="C450">
        <v>810</v>
      </c>
      <c r="D450">
        <v>813.05</v>
      </c>
      <c r="E450">
        <v>798</v>
      </c>
      <c r="F450">
        <v>811.75</v>
      </c>
      <c r="G450">
        <v>799.4</v>
      </c>
      <c r="H450">
        <v>799.9</v>
      </c>
      <c r="I450">
        <v>804.11</v>
      </c>
      <c r="J450" s="3">
        <v>2037.7</v>
      </c>
      <c r="K450">
        <v>726.65</v>
      </c>
      <c r="L450" s="4">
        <v>23876412</v>
      </c>
      <c r="M450" s="3">
        <v>19199237337.700001</v>
      </c>
      <c r="N450" s="4">
        <v>278743</v>
      </c>
      <c r="O450">
        <f t="shared" si="6"/>
        <v>-1.4598090545118599E-2</v>
      </c>
    </row>
    <row r="451" spans="1:15" ht="14.25" customHeight="1" x14ac:dyDescent="0.3">
      <c r="A451" s="2">
        <v>46135</v>
      </c>
      <c r="B451" t="s">
        <v>15</v>
      </c>
      <c r="C451">
        <v>792</v>
      </c>
      <c r="D451">
        <v>796.65</v>
      </c>
      <c r="E451">
        <v>782.5</v>
      </c>
      <c r="F451">
        <v>799.9</v>
      </c>
      <c r="G451">
        <v>783.9</v>
      </c>
      <c r="H451">
        <v>784.35</v>
      </c>
      <c r="I451">
        <v>788.13</v>
      </c>
      <c r="J451" s="3">
        <v>2037.7</v>
      </c>
      <c r="K451">
        <v>726.65</v>
      </c>
      <c r="L451" s="4">
        <v>37677616</v>
      </c>
      <c r="M451" s="3">
        <v>29694861381.849998</v>
      </c>
      <c r="N451" s="4">
        <v>490484</v>
      </c>
      <c r="O451">
        <f t="shared" ref="O451:O496" si="7">(H451-H450)/H450</f>
        <v>-1.9439929991248849E-2</v>
      </c>
    </row>
    <row r="452" spans="1:15" ht="14.25" customHeight="1" x14ac:dyDescent="0.3">
      <c r="A452" s="2">
        <v>46136</v>
      </c>
      <c r="B452" t="s">
        <v>15</v>
      </c>
      <c r="C452">
        <v>777.3</v>
      </c>
      <c r="D452">
        <v>787.6</v>
      </c>
      <c r="E452">
        <v>777</v>
      </c>
      <c r="F452">
        <v>784.35</v>
      </c>
      <c r="G452">
        <v>785.15</v>
      </c>
      <c r="H452">
        <v>784.85</v>
      </c>
      <c r="I452">
        <v>782.99</v>
      </c>
      <c r="J452" s="3">
        <v>2037.7</v>
      </c>
      <c r="K452">
        <v>726.65</v>
      </c>
      <c r="L452" s="4">
        <v>27720358</v>
      </c>
      <c r="M452" s="3">
        <v>21704772419.299999</v>
      </c>
      <c r="N452" s="4">
        <v>363338</v>
      </c>
      <c r="O452">
        <f t="shared" si="7"/>
        <v>6.3747051698858921E-4</v>
      </c>
    </row>
    <row r="453" spans="1:15" ht="14.25" customHeight="1" x14ac:dyDescent="0.3">
      <c r="A453" s="2">
        <v>46139</v>
      </c>
      <c r="B453" t="s">
        <v>15</v>
      </c>
      <c r="C453">
        <v>787.5</v>
      </c>
      <c r="D453">
        <v>793</v>
      </c>
      <c r="E453">
        <v>785</v>
      </c>
      <c r="F453">
        <v>784.85</v>
      </c>
      <c r="G453">
        <v>790</v>
      </c>
      <c r="H453">
        <v>789.8</v>
      </c>
      <c r="I453">
        <v>789.16</v>
      </c>
      <c r="J453" s="3">
        <v>2037.7</v>
      </c>
      <c r="K453">
        <v>726.65</v>
      </c>
      <c r="L453" s="4">
        <v>18115375</v>
      </c>
      <c r="M453" s="3">
        <v>14295937140.450001</v>
      </c>
      <c r="N453" s="4">
        <v>278374</v>
      </c>
      <c r="O453">
        <f t="shared" si="7"/>
        <v>6.3069376313944466E-3</v>
      </c>
    </row>
    <row r="454" spans="1:15" ht="14.25" customHeight="1" x14ac:dyDescent="0.3">
      <c r="A454" s="2">
        <v>46140</v>
      </c>
      <c r="B454" t="s">
        <v>15</v>
      </c>
      <c r="C454">
        <v>785</v>
      </c>
      <c r="D454">
        <v>794.5</v>
      </c>
      <c r="E454">
        <v>778.3</v>
      </c>
      <c r="F454">
        <v>789.8</v>
      </c>
      <c r="G454">
        <v>782.35</v>
      </c>
      <c r="H454">
        <v>782.55</v>
      </c>
      <c r="I454">
        <v>786.39</v>
      </c>
      <c r="J454" s="3">
        <v>2037.7</v>
      </c>
      <c r="K454">
        <v>726.65</v>
      </c>
      <c r="L454" s="4">
        <v>35366803</v>
      </c>
      <c r="M454" s="3">
        <v>27812242540.599998</v>
      </c>
      <c r="N454" s="4">
        <v>333592</v>
      </c>
      <c r="O454">
        <f t="shared" si="7"/>
        <v>-9.1795391238288174E-3</v>
      </c>
    </row>
    <row r="455" spans="1:15" ht="14.25" customHeight="1" x14ac:dyDescent="0.3">
      <c r="A455" s="2">
        <v>46141</v>
      </c>
      <c r="B455" t="s">
        <v>15</v>
      </c>
      <c r="C455">
        <v>785.5</v>
      </c>
      <c r="D455">
        <v>790</v>
      </c>
      <c r="E455">
        <v>777.35</v>
      </c>
      <c r="F455">
        <v>782.55</v>
      </c>
      <c r="G455">
        <v>778.3</v>
      </c>
      <c r="H455">
        <v>779</v>
      </c>
      <c r="I455">
        <v>783.9</v>
      </c>
      <c r="J455" s="3">
        <v>2037.7</v>
      </c>
      <c r="K455">
        <v>726.65</v>
      </c>
      <c r="L455" s="4">
        <v>25799963</v>
      </c>
      <c r="M455" s="3">
        <v>20224713818.450001</v>
      </c>
      <c r="N455" s="4">
        <v>468032</v>
      </c>
      <c r="O455">
        <f t="shared" si="7"/>
        <v>-4.5364513449619257E-3</v>
      </c>
    </row>
    <row r="456" spans="1:15" ht="14.25" customHeight="1" x14ac:dyDescent="0.3">
      <c r="A456" s="2">
        <v>46142</v>
      </c>
      <c r="B456" t="s">
        <v>15</v>
      </c>
      <c r="C456">
        <v>770</v>
      </c>
      <c r="D456">
        <v>778.8</v>
      </c>
      <c r="E456">
        <v>762.25</v>
      </c>
      <c r="F456">
        <v>779</v>
      </c>
      <c r="G456">
        <v>774.75</v>
      </c>
      <c r="H456">
        <v>771.7</v>
      </c>
      <c r="I456">
        <v>770.36</v>
      </c>
      <c r="J456" s="3">
        <v>2037.7</v>
      </c>
      <c r="K456">
        <v>726.65</v>
      </c>
      <c r="L456" s="4">
        <v>47998755</v>
      </c>
      <c r="M456" s="3">
        <v>36976352716.849998</v>
      </c>
      <c r="N456" s="4">
        <v>568313</v>
      </c>
      <c r="O456">
        <f t="shared" si="7"/>
        <v>-9.3709884467265137E-3</v>
      </c>
    </row>
    <row r="457" spans="1:15" ht="14.25" customHeight="1" x14ac:dyDescent="0.3">
      <c r="A457" s="2">
        <v>46146</v>
      </c>
      <c r="B457" t="s">
        <v>15</v>
      </c>
      <c r="C457">
        <v>772.6</v>
      </c>
      <c r="D457">
        <v>786.6</v>
      </c>
      <c r="E457">
        <v>772.6</v>
      </c>
      <c r="F457">
        <v>771.7</v>
      </c>
      <c r="G457">
        <v>779.5</v>
      </c>
      <c r="H457">
        <v>779.4</v>
      </c>
      <c r="I457">
        <v>779.72</v>
      </c>
      <c r="J457" s="3">
        <v>2037.7</v>
      </c>
      <c r="K457">
        <v>726.65</v>
      </c>
      <c r="L457" s="4">
        <v>29028060</v>
      </c>
      <c r="M457" s="3">
        <v>22633711388.450001</v>
      </c>
      <c r="N457" s="4">
        <v>382758</v>
      </c>
      <c r="O457">
        <f t="shared" si="7"/>
        <v>9.9779707140079457E-3</v>
      </c>
    </row>
    <row r="458" spans="1:15" ht="14.25" customHeight="1" x14ac:dyDescent="0.3">
      <c r="A458" s="2">
        <v>46147</v>
      </c>
      <c r="B458" t="s">
        <v>15</v>
      </c>
      <c r="C458">
        <v>774.4</v>
      </c>
      <c r="D458">
        <v>776.9</v>
      </c>
      <c r="E458">
        <v>763.7</v>
      </c>
      <c r="F458">
        <v>779.4</v>
      </c>
      <c r="G458">
        <v>773.2</v>
      </c>
      <c r="H458">
        <v>772.3</v>
      </c>
      <c r="I458">
        <v>771.31</v>
      </c>
      <c r="J458" s="3">
        <v>2037.7</v>
      </c>
      <c r="K458">
        <v>726.65</v>
      </c>
      <c r="L458" s="4">
        <v>38887657</v>
      </c>
      <c r="M458" s="3">
        <v>29994377836.650002</v>
      </c>
      <c r="N458" s="4">
        <v>491093</v>
      </c>
      <c r="O458">
        <f t="shared" si="7"/>
        <v>-9.1095714652296936E-3</v>
      </c>
    </row>
    <row r="459" spans="1:15" ht="14.25" customHeight="1" x14ac:dyDescent="0.3">
      <c r="A459" s="2">
        <v>46148</v>
      </c>
      <c r="B459" t="s">
        <v>15</v>
      </c>
      <c r="C459">
        <v>775.15</v>
      </c>
      <c r="D459">
        <v>798.95</v>
      </c>
      <c r="E459">
        <v>773.5</v>
      </c>
      <c r="F459">
        <v>772.3</v>
      </c>
      <c r="G459">
        <v>796</v>
      </c>
      <c r="H459">
        <v>796.55</v>
      </c>
      <c r="I459">
        <v>785.36</v>
      </c>
      <c r="J459" s="3">
        <v>2037.7</v>
      </c>
      <c r="K459">
        <v>726.65</v>
      </c>
      <c r="L459" s="4">
        <v>35530831</v>
      </c>
      <c r="M459" s="3">
        <v>27904417066.5</v>
      </c>
      <c r="N459" s="4">
        <v>402081</v>
      </c>
      <c r="O459">
        <f t="shared" si="7"/>
        <v>3.1399715136604951E-2</v>
      </c>
    </row>
    <row r="460" spans="1:15" ht="14.25" customHeight="1" x14ac:dyDescent="0.3">
      <c r="A460" s="2">
        <v>46149</v>
      </c>
      <c r="B460" t="s">
        <v>15</v>
      </c>
      <c r="C460">
        <v>794</v>
      </c>
      <c r="D460">
        <v>801.55</v>
      </c>
      <c r="E460">
        <v>788.55</v>
      </c>
      <c r="F460">
        <v>796.55</v>
      </c>
      <c r="G460">
        <v>795.55</v>
      </c>
      <c r="H460">
        <v>796.05</v>
      </c>
      <c r="I460">
        <v>795.15</v>
      </c>
      <c r="J460" s="3">
        <v>2037.7</v>
      </c>
      <c r="K460">
        <v>726.65</v>
      </c>
      <c r="L460" s="4">
        <v>46137553</v>
      </c>
      <c r="M460" s="3">
        <v>36686370164.650002</v>
      </c>
      <c r="N460" s="4">
        <v>369255</v>
      </c>
      <c r="O460">
        <f t="shared" si="7"/>
        <v>-6.2770698637875841E-4</v>
      </c>
    </row>
    <row r="461" spans="1:15" ht="14.25" customHeight="1" x14ac:dyDescent="0.3">
      <c r="A461" s="2">
        <v>46150</v>
      </c>
      <c r="B461" t="s">
        <v>15</v>
      </c>
      <c r="C461">
        <v>784</v>
      </c>
      <c r="D461">
        <v>788.75</v>
      </c>
      <c r="E461">
        <v>777.2</v>
      </c>
      <c r="F461">
        <v>796.05</v>
      </c>
      <c r="G461">
        <v>781</v>
      </c>
      <c r="H461">
        <v>780.85</v>
      </c>
      <c r="I461">
        <v>781.63</v>
      </c>
      <c r="J461" s="3">
        <v>2037.7</v>
      </c>
      <c r="K461">
        <v>726.65</v>
      </c>
      <c r="L461" s="4">
        <v>38016841</v>
      </c>
      <c r="M461" s="3">
        <v>29715255302</v>
      </c>
      <c r="N461" s="4">
        <v>386448</v>
      </c>
      <c r="O461">
        <f t="shared" si="7"/>
        <v>-1.9094277997613131E-2</v>
      </c>
    </row>
    <row r="462" spans="1:15" ht="14.25" customHeight="1" x14ac:dyDescent="0.3">
      <c r="A462" s="2">
        <v>46153</v>
      </c>
      <c r="B462" t="s">
        <v>15</v>
      </c>
      <c r="C462">
        <v>771.95</v>
      </c>
      <c r="D462">
        <v>774.85</v>
      </c>
      <c r="E462">
        <v>761.9</v>
      </c>
      <c r="F462">
        <v>780.85</v>
      </c>
      <c r="G462">
        <v>766.25</v>
      </c>
      <c r="H462">
        <v>763.65</v>
      </c>
      <c r="I462">
        <v>769.2</v>
      </c>
      <c r="J462" s="3">
        <v>2037.7</v>
      </c>
      <c r="K462">
        <v>726.65</v>
      </c>
      <c r="L462" s="4">
        <v>41123422</v>
      </c>
      <c r="M462" s="3">
        <v>31632311080.150002</v>
      </c>
      <c r="N462" s="4">
        <v>446831</v>
      </c>
      <c r="O462">
        <f t="shared" si="7"/>
        <v>-2.2027277966318815E-2</v>
      </c>
    </row>
    <row r="463" spans="1:15" ht="14.25" customHeight="1" x14ac:dyDescent="0.3">
      <c r="A463" s="2">
        <v>46154</v>
      </c>
      <c r="B463" t="s">
        <v>15</v>
      </c>
      <c r="C463">
        <v>756.6</v>
      </c>
      <c r="D463">
        <v>759.7</v>
      </c>
      <c r="E463">
        <v>747.8</v>
      </c>
      <c r="F463">
        <v>763.65</v>
      </c>
      <c r="G463">
        <v>755</v>
      </c>
      <c r="H463">
        <v>750.45</v>
      </c>
      <c r="I463">
        <v>753.71</v>
      </c>
      <c r="J463" s="3">
        <v>2037.7</v>
      </c>
      <c r="K463">
        <v>726.65</v>
      </c>
      <c r="L463" s="4">
        <v>43937132</v>
      </c>
      <c r="M463" s="3">
        <v>33115812661</v>
      </c>
      <c r="N463" s="4">
        <v>782428</v>
      </c>
      <c r="O463">
        <f t="shared" si="7"/>
        <v>-1.7285405617756738E-2</v>
      </c>
    </row>
    <row r="464" spans="1:15" ht="14.25" customHeight="1" x14ac:dyDescent="0.3">
      <c r="A464" s="2">
        <v>46155</v>
      </c>
      <c r="B464" t="s">
        <v>15</v>
      </c>
      <c r="C464">
        <v>752</v>
      </c>
      <c r="D464">
        <v>759.95</v>
      </c>
      <c r="E464">
        <v>747.35</v>
      </c>
      <c r="F464">
        <v>750.45</v>
      </c>
      <c r="G464">
        <v>749.15</v>
      </c>
      <c r="H464">
        <v>749.6</v>
      </c>
      <c r="I464">
        <v>752.96</v>
      </c>
      <c r="J464" s="3">
        <v>2037.7</v>
      </c>
      <c r="K464">
        <v>726.65</v>
      </c>
      <c r="L464" s="4">
        <v>28960919</v>
      </c>
      <c r="M464" s="3">
        <v>21806358980.450001</v>
      </c>
      <c r="N464" s="4">
        <v>395816</v>
      </c>
      <c r="O464">
        <f t="shared" si="7"/>
        <v>-1.1326537410887103E-3</v>
      </c>
    </row>
    <row r="465" spans="1:15" ht="14.25" customHeight="1" x14ac:dyDescent="0.3">
      <c r="A465" s="2">
        <v>46156</v>
      </c>
      <c r="B465" t="s">
        <v>15</v>
      </c>
      <c r="C465">
        <v>751</v>
      </c>
      <c r="D465">
        <v>778.3</v>
      </c>
      <c r="E465">
        <v>747</v>
      </c>
      <c r="F465">
        <v>749.6</v>
      </c>
      <c r="G465">
        <v>770.1</v>
      </c>
      <c r="H465">
        <v>769.55</v>
      </c>
      <c r="I465">
        <v>767.26</v>
      </c>
      <c r="J465" s="3">
        <v>2037.7</v>
      </c>
      <c r="K465">
        <v>726.65</v>
      </c>
      <c r="L465" s="4">
        <v>50992358</v>
      </c>
      <c r="M465" s="3">
        <v>39124647345.099998</v>
      </c>
      <c r="N465" s="4">
        <v>521121</v>
      </c>
      <c r="O465">
        <f t="shared" si="7"/>
        <v>2.6614194236926268E-2</v>
      </c>
    </row>
    <row r="466" spans="1:15" ht="14.25" customHeight="1" x14ac:dyDescent="0.3">
      <c r="A466" s="2">
        <v>46157</v>
      </c>
      <c r="B466" t="s">
        <v>15</v>
      </c>
      <c r="C466">
        <v>773</v>
      </c>
      <c r="D466">
        <v>781.9</v>
      </c>
      <c r="E466">
        <v>765.4</v>
      </c>
      <c r="F466">
        <v>769.55</v>
      </c>
      <c r="G466">
        <v>770</v>
      </c>
      <c r="H466">
        <v>767.5</v>
      </c>
      <c r="I466">
        <v>774.13</v>
      </c>
      <c r="J466" s="3">
        <v>2037.7</v>
      </c>
      <c r="K466">
        <v>726.65</v>
      </c>
      <c r="L466" s="4">
        <v>24347873</v>
      </c>
      <c r="M466" s="3">
        <v>18848426198.200001</v>
      </c>
      <c r="N466" s="4">
        <v>268604</v>
      </c>
      <c r="O466">
        <f t="shared" si="7"/>
        <v>-2.6638944837891684E-3</v>
      </c>
    </row>
    <row r="467" spans="1:15" ht="14.25" customHeight="1" x14ac:dyDescent="0.3">
      <c r="A467" s="2">
        <v>46160</v>
      </c>
      <c r="B467" t="s">
        <v>15</v>
      </c>
      <c r="C467">
        <v>759</v>
      </c>
      <c r="D467">
        <v>774.1</v>
      </c>
      <c r="E467">
        <v>751.35</v>
      </c>
      <c r="F467">
        <v>767.5</v>
      </c>
      <c r="G467">
        <v>768.8</v>
      </c>
      <c r="H467">
        <v>768.65</v>
      </c>
      <c r="I467">
        <v>765.63</v>
      </c>
      <c r="J467" s="3">
        <v>2037.7</v>
      </c>
      <c r="K467">
        <v>726.65</v>
      </c>
      <c r="L467" s="4">
        <v>29812079</v>
      </c>
      <c r="M467" s="3">
        <v>22825015390.549999</v>
      </c>
      <c r="N467" s="4">
        <v>396597</v>
      </c>
      <c r="O467">
        <f t="shared" si="7"/>
        <v>1.4983713355048564E-3</v>
      </c>
    </row>
    <row r="468" spans="1:15" ht="14.25" customHeight="1" x14ac:dyDescent="0.3">
      <c r="A468" s="2">
        <v>46161</v>
      </c>
      <c r="B468" t="s">
        <v>15</v>
      </c>
      <c r="C468">
        <v>766.7</v>
      </c>
      <c r="D468">
        <v>770.8</v>
      </c>
      <c r="E468">
        <v>760.25</v>
      </c>
      <c r="F468">
        <v>768.65</v>
      </c>
      <c r="G468">
        <v>762.8</v>
      </c>
      <c r="H468">
        <v>762.45</v>
      </c>
      <c r="I468">
        <v>765.85</v>
      </c>
      <c r="J468" s="3">
        <v>2037.7</v>
      </c>
      <c r="K468">
        <v>726.65</v>
      </c>
      <c r="L468" s="4">
        <v>40307830</v>
      </c>
      <c r="M468" s="3">
        <v>30869653333.950001</v>
      </c>
      <c r="N468" s="4">
        <v>414780</v>
      </c>
      <c r="O468">
        <f t="shared" si="7"/>
        <v>-8.0660898978728059E-3</v>
      </c>
    </row>
    <row r="469" spans="1:15" ht="14.25" customHeight="1" x14ac:dyDescent="0.3">
      <c r="A469" s="2">
        <v>46162</v>
      </c>
      <c r="B469" t="s">
        <v>15</v>
      </c>
      <c r="C469">
        <v>759.6</v>
      </c>
      <c r="D469">
        <v>762.25</v>
      </c>
      <c r="E469">
        <v>755.15</v>
      </c>
      <c r="F469">
        <v>762.45</v>
      </c>
      <c r="G469">
        <v>760.1</v>
      </c>
      <c r="H469">
        <v>759.5</v>
      </c>
      <c r="I469">
        <v>759.21</v>
      </c>
      <c r="J469" s="3">
        <v>2037.7</v>
      </c>
      <c r="K469">
        <v>726.65</v>
      </c>
      <c r="L469" s="4">
        <v>24013451</v>
      </c>
      <c r="M469" s="3">
        <v>18231201059</v>
      </c>
      <c r="N469" s="4">
        <v>334493</v>
      </c>
      <c r="O469">
        <f t="shared" si="7"/>
        <v>-3.8691061708965115E-3</v>
      </c>
    </row>
    <row r="470" spans="1:15" ht="14.25" customHeight="1" x14ac:dyDescent="0.3">
      <c r="A470" s="2">
        <v>46163</v>
      </c>
      <c r="B470" t="s">
        <v>15</v>
      </c>
      <c r="C470">
        <v>767</v>
      </c>
      <c r="D470">
        <v>768.25</v>
      </c>
      <c r="E470">
        <v>755.15</v>
      </c>
      <c r="F470">
        <v>759.5</v>
      </c>
      <c r="G470">
        <v>758.8</v>
      </c>
      <c r="H470">
        <v>759.15</v>
      </c>
      <c r="I470">
        <v>760.54</v>
      </c>
      <c r="J470" s="3">
        <v>2037.7</v>
      </c>
      <c r="K470">
        <v>726.65</v>
      </c>
      <c r="L470" s="4">
        <v>34664725</v>
      </c>
      <c r="M470" s="3">
        <v>26363966148.400002</v>
      </c>
      <c r="N470" s="4">
        <v>300382</v>
      </c>
      <c r="O470">
        <f t="shared" si="7"/>
        <v>-4.6082949308758753E-4</v>
      </c>
    </row>
    <row r="471" spans="1:15" ht="14.25" customHeight="1" x14ac:dyDescent="0.3">
      <c r="A471" s="2">
        <v>46164</v>
      </c>
      <c r="B471" t="s">
        <v>15</v>
      </c>
      <c r="C471">
        <v>759.15</v>
      </c>
      <c r="D471">
        <v>775</v>
      </c>
      <c r="E471">
        <v>759.15</v>
      </c>
      <c r="F471">
        <v>759.15</v>
      </c>
      <c r="G471">
        <v>769</v>
      </c>
      <c r="H471">
        <v>766.8</v>
      </c>
      <c r="I471">
        <v>768.46</v>
      </c>
      <c r="J471" s="3">
        <v>2037.7</v>
      </c>
      <c r="K471">
        <v>726.65</v>
      </c>
      <c r="L471" s="4">
        <v>25604071</v>
      </c>
      <c r="M471" s="3">
        <v>19675629937.400002</v>
      </c>
      <c r="N471" s="4">
        <v>254373</v>
      </c>
      <c r="O471">
        <f t="shared" si="7"/>
        <v>1.0077059869590961E-2</v>
      </c>
    </row>
    <row r="472" spans="1:15" ht="14.25" customHeight="1" x14ac:dyDescent="0.3">
      <c r="A472" s="2">
        <v>46167</v>
      </c>
      <c r="B472" t="s">
        <v>15</v>
      </c>
      <c r="C472">
        <v>776</v>
      </c>
      <c r="D472">
        <v>787.85</v>
      </c>
      <c r="E472">
        <v>775.2</v>
      </c>
      <c r="F472">
        <v>766.8</v>
      </c>
      <c r="G472">
        <v>787.45</v>
      </c>
      <c r="H472">
        <v>786.85</v>
      </c>
      <c r="I472">
        <v>783.84</v>
      </c>
      <c r="J472" s="3">
        <v>2037.7</v>
      </c>
      <c r="K472">
        <v>726.65</v>
      </c>
      <c r="L472" s="4">
        <v>26043952</v>
      </c>
      <c r="M472" s="3">
        <v>20414323481.900002</v>
      </c>
      <c r="N472" s="4">
        <v>340237</v>
      </c>
      <c r="O472">
        <f t="shared" si="7"/>
        <v>2.6147626499739268E-2</v>
      </c>
    </row>
    <row r="473" spans="1:15" ht="14.25" customHeight="1" x14ac:dyDescent="0.3">
      <c r="A473" s="2">
        <v>46168</v>
      </c>
      <c r="B473" t="s">
        <v>15</v>
      </c>
      <c r="C473">
        <v>784.05</v>
      </c>
      <c r="D473">
        <v>790.85</v>
      </c>
      <c r="E473">
        <v>776.75</v>
      </c>
      <c r="F473">
        <v>786.85</v>
      </c>
      <c r="G473">
        <v>780.25</v>
      </c>
      <c r="H473">
        <v>778.9</v>
      </c>
      <c r="I473">
        <v>783.86</v>
      </c>
      <c r="J473" s="3">
        <v>2037.7</v>
      </c>
      <c r="K473">
        <v>726.65</v>
      </c>
      <c r="L473" s="4">
        <v>31528062</v>
      </c>
      <c r="M473" s="3">
        <v>24713457734.450001</v>
      </c>
      <c r="N473" s="4">
        <v>268365</v>
      </c>
      <c r="O473">
        <f t="shared" si="7"/>
        <v>-1.0103577556078091E-2</v>
      </c>
    </row>
    <row r="474" spans="1:15" ht="14.25" customHeight="1" x14ac:dyDescent="0.3">
      <c r="A474" s="2">
        <v>46169</v>
      </c>
      <c r="B474" t="s">
        <v>15</v>
      </c>
      <c r="C474">
        <v>769.5</v>
      </c>
      <c r="D474">
        <v>773.9</v>
      </c>
      <c r="E474">
        <v>756.9</v>
      </c>
      <c r="F474">
        <v>778.9</v>
      </c>
      <c r="G474">
        <v>759.15</v>
      </c>
      <c r="H474">
        <v>758.65</v>
      </c>
      <c r="I474">
        <v>762.18</v>
      </c>
      <c r="J474" s="3">
        <v>2037.7</v>
      </c>
      <c r="K474">
        <v>726.65</v>
      </c>
      <c r="L474" s="4">
        <v>63680153</v>
      </c>
      <c r="M474" s="3">
        <v>48535704652.800003</v>
      </c>
      <c r="N474" s="4">
        <v>603423</v>
      </c>
      <c r="O474">
        <f t="shared" si="7"/>
        <v>-2.5998202593400951E-2</v>
      </c>
    </row>
    <row r="475" spans="1:15" ht="14.25" customHeight="1" x14ac:dyDescent="0.3">
      <c r="A475" s="2">
        <v>46171</v>
      </c>
      <c r="B475" t="s">
        <v>15</v>
      </c>
      <c r="C475">
        <v>746.05</v>
      </c>
      <c r="D475">
        <v>760.5</v>
      </c>
      <c r="E475">
        <v>737.75</v>
      </c>
      <c r="F475">
        <v>758.65</v>
      </c>
      <c r="G475">
        <v>747.25</v>
      </c>
      <c r="H475">
        <v>744.55</v>
      </c>
      <c r="I475">
        <v>747.79</v>
      </c>
      <c r="J475" s="3">
        <v>2037.7</v>
      </c>
      <c r="K475">
        <v>726.65</v>
      </c>
      <c r="L475" s="4">
        <v>101299431</v>
      </c>
      <c r="M475" s="3">
        <v>75750325248.25</v>
      </c>
      <c r="N475" s="4">
        <v>582913</v>
      </c>
      <c r="O475">
        <f t="shared" si="7"/>
        <v>-1.8585645554603604E-2</v>
      </c>
    </row>
    <row r="476" spans="1:15" ht="14.25" customHeight="1" x14ac:dyDescent="0.3">
      <c r="A476" s="2">
        <v>46174</v>
      </c>
      <c r="B476" t="s">
        <v>15</v>
      </c>
      <c r="C476">
        <v>749</v>
      </c>
      <c r="D476">
        <v>752.35</v>
      </c>
      <c r="E476">
        <v>739.2</v>
      </c>
      <c r="F476">
        <v>744.55</v>
      </c>
      <c r="G476">
        <v>742.5</v>
      </c>
      <c r="H476">
        <v>742.7</v>
      </c>
      <c r="I476">
        <v>743.7</v>
      </c>
      <c r="J476" s="3">
        <v>2037.7</v>
      </c>
      <c r="K476">
        <v>726.65</v>
      </c>
      <c r="L476" s="4">
        <v>47996441</v>
      </c>
      <c r="M476" s="3">
        <v>35695084062.849998</v>
      </c>
      <c r="N476" s="4">
        <v>364744</v>
      </c>
      <c r="O476">
        <f t="shared" si="7"/>
        <v>-2.4847223154924572E-3</v>
      </c>
    </row>
    <row r="477" spans="1:15" ht="14.25" customHeight="1" x14ac:dyDescent="0.3">
      <c r="A477" s="2">
        <v>46175</v>
      </c>
      <c r="B477" t="s">
        <v>15</v>
      </c>
      <c r="C477">
        <v>737</v>
      </c>
      <c r="D477">
        <v>753.6</v>
      </c>
      <c r="E477">
        <v>733.15</v>
      </c>
      <c r="F477">
        <v>742.7</v>
      </c>
      <c r="G477">
        <v>749.15</v>
      </c>
      <c r="H477">
        <v>748.25</v>
      </c>
      <c r="I477">
        <v>745.07</v>
      </c>
      <c r="J477" s="3">
        <v>2037.7</v>
      </c>
      <c r="K477">
        <v>726.65</v>
      </c>
      <c r="L477" s="4">
        <v>47314447</v>
      </c>
      <c r="M477" s="3">
        <v>35252489656.400002</v>
      </c>
      <c r="N477" s="4">
        <v>423085</v>
      </c>
      <c r="O477">
        <f t="shared" si="7"/>
        <v>7.4727346169381368E-3</v>
      </c>
    </row>
    <row r="478" spans="1:15" ht="14.25" customHeight="1" x14ac:dyDescent="0.3">
      <c r="A478" s="2">
        <v>46176</v>
      </c>
      <c r="B478" t="s">
        <v>15</v>
      </c>
      <c r="C478">
        <v>744.45</v>
      </c>
      <c r="D478">
        <v>756.9</v>
      </c>
      <c r="E478">
        <v>742.6</v>
      </c>
      <c r="F478">
        <v>748.25</v>
      </c>
      <c r="G478">
        <v>753</v>
      </c>
      <c r="H478">
        <v>753.65</v>
      </c>
      <c r="I478">
        <v>748.83</v>
      </c>
      <c r="J478" s="3">
        <v>2037.7</v>
      </c>
      <c r="K478">
        <v>726.65</v>
      </c>
      <c r="L478" s="4">
        <v>36109480</v>
      </c>
      <c r="M478" s="3">
        <v>27039736378.549999</v>
      </c>
      <c r="N478" s="4">
        <v>555057</v>
      </c>
      <c r="O478">
        <f t="shared" si="7"/>
        <v>7.2168392916805574E-3</v>
      </c>
    </row>
    <row r="479" spans="1:15" ht="14.25" customHeight="1" x14ac:dyDescent="0.3">
      <c r="A479" s="2">
        <v>46177</v>
      </c>
      <c r="B479" t="s">
        <v>15</v>
      </c>
      <c r="C479">
        <v>749.15</v>
      </c>
      <c r="D479">
        <v>757.3</v>
      </c>
      <c r="E479">
        <v>745</v>
      </c>
      <c r="F479">
        <v>753.65</v>
      </c>
      <c r="G479">
        <v>753.25</v>
      </c>
      <c r="H479">
        <v>754.2</v>
      </c>
      <c r="I479">
        <v>751.95</v>
      </c>
      <c r="J479" s="3">
        <v>2037.7</v>
      </c>
      <c r="K479">
        <v>726.65</v>
      </c>
      <c r="L479" s="4">
        <v>42673538</v>
      </c>
      <c r="M479" s="3">
        <v>32088355961.349998</v>
      </c>
      <c r="N479" s="4">
        <v>385239</v>
      </c>
      <c r="O479">
        <f t="shared" si="7"/>
        <v>7.297817289193501E-4</v>
      </c>
    </row>
    <row r="480" spans="1:15" ht="14.25" customHeight="1" x14ac:dyDescent="0.3">
      <c r="A480" s="2">
        <v>46178</v>
      </c>
      <c r="B480" t="s">
        <v>15</v>
      </c>
      <c r="C480">
        <v>753.95</v>
      </c>
      <c r="D480">
        <v>758.7</v>
      </c>
      <c r="E480">
        <v>744.65</v>
      </c>
      <c r="F480">
        <v>754.2</v>
      </c>
      <c r="G480">
        <v>748.2</v>
      </c>
      <c r="H480">
        <v>747.05</v>
      </c>
      <c r="I480">
        <v>750.42</v>
      </c>
      <c r="J480" s="3">
        <v>2037.7</v>
      </c>
      <c r="K480">
        <v>726.65</v>
      </c>
      <c r="L480" s="4">
        <v>22116568</v>
      </c>
      <c r="M480" s="3">
        <v>16596636748.9</v>
      </c>
      <c r="N480" s="4">
        <v>214858</v>
      </c>
      <c r="O480">
        <f t="shared" si="7"/>
        <v>-9.4802439671175954E-3</v>
      </c>
    </row>
    <row r="481" spans="1:15" ht="14.25" customHeight="1" x14ac:dyDescent="0.3">
      <c r="A481" s="2">
        <v>46181</v>
      </c>
      <c r="B481" t="s">
        <v>15</v>
      </c>
      <c r="C481">
        <v>738</v>
      </c>
      <c r="D481">
        <v>741.5</v>
      </c>
      <c r="E481">
        <v>734.5</v>
      </c>
      <c r="F481">
        <v>747.05</v>
      </c>
      <c r="G481">
        <v>738</v>
      </c>
      <c r="H481">
        <v>738.65</v>
      </c>
      <c r="I481">
        <v>738.38</v>
      </c>
      <c r="J481" s="3">
        <v>2037.7</v>
      </c>
      <c r="K481">
        <v>726.65</v>
      </c>
      <c r="L481" s="4">
        <v>21550700</v>
      </c>
      <c r="M481" s="3">
        <v>15912698807.25</v>
      </c>
      <c r="N481" s="4">
        <v>307762</v>
      </c>
      <c r="O481">
        <f t="shared" si="7"/>
        <v>-1.1244227294023128E-2</v>
      </c>
    </row>
    <row r="482" spans="1:15" ht="14.25" customHeight="1" x14ac:dyDescent="0.3">
      <c r="A482" s="2">
        <v>46182</v>
      </c>
      <c r="B482" t="s">
        <v>15</v>
      </c>
      <c r="C482">
        <v>739.45</v>
      </c>
      <c r="D482">
        <v>743.95</v>
      </c>
      <c r="E482">
        <v>732.3</v>
      </c>
      <c r="F482">
        <v>738.65</v>
      </c>
      <c r="G482">
        <v>739.7</v>
      </c>
      <c r="H482">
        <v>738.35</v>
      </c>
      <c r="I482">
        <v>738.36</v>
      </c>
      <c r="J482" s="3">
        <v>2037.7</v>
      </c>
      <c r="K482">
        <v>726.65</v>
      </c>
      <c r="L482" s="4">
        <v>38539563</v>
      </c>
      <c r="M482" s="3">
        <v>28456251128.799999</v>
      </c>
      <c r="N482" s="4">
        <v>346855</v>
      </c>
      <c r="O482">
        <f t="shared" si="7"/>
        <v>-4.0614634806735876E-4</v>
      </c>
    </row>
    <row r="483" spans="1:15" ht="14.25" customHeight="1" x14ac:dyDescent="0.3">
      <c r="A483" s="2">
        <v>46183</v>
      </c>
      <c r="B483" t="s">
        <v>15</v>
      </c>
      <c r="C483">
        <v>736.5</v>
      </c>
      <c r="D483">
        <v>755.95</v>
      </c>
      <c r="E483">
        <v>736.4</v>
      </c>
      <c r="F483">
        <v>738.35</v>
      </c>
      <c r="G483">
        <v>747.8</v>
      </c>
      <c r="H483">
        <v>746.85</v>
      </c>
      <c r="I483">
        <v>744.98</v>
      </c>
      <c r="J483" s="3">
        <v>2037.7</v>
      </c>
      <c r="K483">
        <v>726.65</v>
      </c>
      <c r="L483" s="4">
        <v>44458159</v>
      </c>
      <c r="M483" s="3">
        <v>33120648229.849998</v>
      </c>
      <c r="N483" s="4">
        <v>323114</v>
      </c>
      <c r="O483">
        <f t="shared" si="7"/>
        <v>1.1512155481817566E-2</v>
      </c>
    </row>
    <row r="484" spans="1:15" ht="14.25" customHeight="1" x14ac:dyDescent="0.3">
      <c r="A484" s="2">
        <v>46184</v>
      </c>
      <c r="B484" t="s">
        <v>15</v>
      </c>
      <c r="C484">
        <v>743</v>
      </c>
      <c r="D484">
        <v>756</v>
      </c>
      <c r="E484">
        <v>740.1</v>
      </c>
      <c r="F484">
        <v>746.85</v>
      </c>
      <c r="G484">
        <v>745.3</v>
      </c>
      <c r="H484">
        <v>744.6</v>
      </c>
      <c r="I484">
        <v>746.84</v>
      </c>
      <c r="J484" s="3">
        <v>2037.7</v>
      </c>
      <c r="K484">
        <v>726.65</v>
      </c>
      <c r="L484" s="4">
        <v>32632007</v>
      </c>
      <c r="M484" s="3">
        <v>24370845118.650002</v>
      </c>
      <c r="N484" s="4">
        <v>262963</v>
      </c>
      <c r="O484">
        <f t="shared" si="7"/>
        <v>-3.012653143201446E-3</v>
      </c>
    </row>
    <row r="485" spans="1:15" ht="14.25" customHeight="1" x14ac:dyDescent="0.3">
      <c r="A485" s="2">
        <v>46185</v>
      </c>
      <c r="B485" t="s">
        <v>15</v>
      </c>
      <c r="C485">
        <v>754.7</v>
      </c>
      <c r="D485">
        <v>774.45</v>
      </c>
      <c r="E485">
        <v>753.1</v>
      </c>
      <c r="F485">
        <v>744.6</v>
      </c>
      <c r="G485">
        <v>771.95</v>
      </c>
      <c r="H485">
        <v>772.45</v>
      </c>
      <c r="I485">
        <v>764.47</v>
      </c>
      <c r="J485" s="3">
        <v>2037.7</v>
      </c>
      <c r="K485">
        <v>726.65</v>
      </c>
      <c r="L485" s="4">
        <v>36088159</v>
      </c>
      <c r="M485" s="3">
        <v>27588217228.099998</v>
      </c>
      <c r="N485" s="4">
        <v>424418</v>
      </c>
      <c r="O485">
        <f t="shared" si="7"/>
        <v>3.7402632285791056E-2</v>
      </c>
    </row>
    <row r="486" spans="1:15" ht="14.25" customHeight="1" x14ac:dyDescent="0.3">
      <c r="A486" s="2">
        <v>46188</v>
      </c>
      <c r="B486" t="s">
        <v>15</v>
      </c>
      <c r="C486">
        <v>790</v>
      </c>
      <c r="D486">
        <v>793.5</v>
      </c>
      <c r="E486">
        <v>775.6</v>
      </c>
      <c r="F486">
        <v>772.45</v>
      </c>
      <c r="G486">
        <v>777.45</v>
      </c>
      <c r="H486">
        <v>777.35</v>
      </c>
      <c r="I486">
        <v>783.75</v>
      </c>
      <c r="J486" s="3">
        <v>2037.7</v>
      </c>
      <c r="K486">
        <v>726.65</v>
      </c>
      <c r="L486" s="4">
        <v>39990334</v>
      </c>
      <c r="M486" s="3">
        <v>31342600344.400002</v>
      </c>
      <c r="N486" s="4">
        <v>410968</v>
      </c>
      <c r="O486">
        <f t="shared" si="7"/>
        <v>6.3434526506569704E-3</v>
      </c>
    </row>
    <row r="487" spans="1:15" ht="14.25" customHeight="1" x14ac:dyDescent="0.3">
      <c r="A487" s="2">
        <v>46189</v>
      </c>
      <c r="B487" t="s">
        <v>15</v>
      </c>
      <c r="C487">
        <v>780.5</v>
      </c>
      <c r="D487">
        <v>787.7</v>
      </c>
      <c r="E487">
        <v>779.45</v>
      </c>
      <c r="F487">
        <v>777.35</v>
      </c>
      <c r="G487">
        <v>784.75</v>
      </c>
      <c r="H487">
        <v>784.9</v>
      </c>
      <c r="I487">
        <v>784.34</v>
      </c>
      <c r="J487" s="3">
        <v>2037.7</v>
      </c>
      <c r="K487">
        <v>726.65</v>
      </c>
      <c r="L487" s="4">
        <v>27820970</v>
      </c>
      <c r="M487" s="3">
        <v>21821164302.200001</v>
      </c>
      <c r="N487" s="4">
        <v>334802</v>
      </c>
      <c r="O487">
        <f t="shared" si="7"/>
        <v>9.7124847237408558E-3</v>
      </c>
    </row>
    <row r="488" spans="1:15" ht="14.25" customHeight="1" x14ac:dyDescent="0.3">
      <c r="A488" s="2">
        <v>46190</v>
      </c>
      <c r="B488" t="s">
        <v>15</v>
      </c>
      <c r="C488">
        <v>787.65</v>
      </c>
      <c r="D488">
        <v>794.3</v>
      </c>
      <c r="E488">
        <v>783.1</v>
      </c>
      <c r="F488">
        <v>784.9</v>
      </c>
      <c r="G488">
        <v>787</v>
      </c>
      <c r="H488">
        <v>787.1</v>
      </c>
      <c r="I488">
        <v>788.39</v>
      </c>
      <c r="J488" s="3">
        <v>2037.7</v>
      </c>
      <c r="K488">
        <v>726.65</v>
      </c>
      <c r="L488" s="4">
        <v>32405604</v>
      </c>
      <c r="M488" s="3">
        <v>25548397540.450001</v>
      </c>
      <c r="N488" s="4">
        <v>466023</v>
      </c>
      <c r="O488">
        <f t="shared" si="7"/>
        <v>2.8029048286406493E-3</v>
      </c>
    </row>
    <row r="489" spans="1:15" ht="14.25" customHeight="1" x14ac:dyDescent="0.3">
      <c r="A489" s="2">
        <v>46191</v>
      </c>
      <c r="B489" t="s">
        <v>15</v>
      </c>
      <c r="C489">
        <v>786.5</v>
      </c>
      <c r="D489">
        <v>802.95</v>
      </c>
      <c r="E489">
        <v>786.2</v>
      </c>
      <c r="F489">
        <v>787.1</v>
      </c>
      <c r="G489">
        <v>800.8</v>
      </c>
      <c r="H489">
        <v>799</v>
      </c>
      <c r="I489">
        <v>797.21</v>
      </c>
      <c r="J489" s="3">
        <v>2037.7</v>
      </c>
      <c r="K489">
        <v>726.65</v>
      </c>
      <c r="L489" s="4">
        <v>41492071</v>
      </c>
      <c r="M489" s="3">
        <v>33077950871</v>
      </c>
      <c r="N489" s="4">
        <v>386510</v>
      </c>
      <c r="O489">
        <f t="shared" si="7"/>
        <v>1.511879049676023E-2</v>
      </c>
    </row>
    <row r="490" spans="1:15" ht="14.25" customHeight="1" x14ac:dyDescent="0.3">
      <c r="A490" s="2">
        <v>46192</v>
      </c>
      <c r="B490" t="s">
        <v>15</v>
      </c>
      <c r="C490">
        <v>788.7</v>
      </c>
      <c r="D490">
        <v>789.05</v>
      </c>
      <c r="E490">
        <v>776.2</v>
      </c>
      <c r="F490">
        <v>799</v>
      </c>
      <c r="G490">
        <v>781</v>
      </c>
      <c r="H490">
        <v>779.8</v>
      </c>
      <c r="I490">
        <v>780.8</v>
      </c>
      <c r="J490" s="3">
        <v>2037.7</v>
      </c>
      <c r="K490">
        <v>726.65</v>
      </c>
      <c r="L490" s="4">
        <v>33798761</v>
      </c>
      <c r="M490" s="3">
        <v>26389948086.299999</v>
      </c>
      <c r="N490" s="4">
        <v>342920</v>
      </c>
      <c r="O490">
        <f t="shared" si="7"/>
        <v>-2.4030037546933725E-2</v>
      </c>
    </row>
    <row r="491" spans="1:15" ht="14.25" customHeight="1" x14ac:dyDescent="0.3">
      <c r="A491" s="2">
        <v>46195</v>
      </c>
      <c r="B491" t="s">
        <v>15</v>
      </c>
      <c r="C491">
        <v>789.9</v>
      </c>
      <c r="D491">
        <v>789.9</v>
      </c>
      <c r="E491">
        <v>783.1</v>
      </c>
      <c r="F491">
        <v>779.8</v>
      </c>
      <c r="G491">
        <v>785.6</v>
      </c>
      <c r="H491">
        <v>786.4</v>
      </c>
      <c r="I491">
        <v>786.71</v>
      </c>
      <c r="J491" s="3">
        <v>2037.7</v>
      </c>
      <c r="K491">
        <v>726.65</v>
      </c>
      <c r="L491" s="4">
        <v>25194765</v>
      </c>
      <c r="M491" s="3">
        <v>19820893965.299999</v>
      </c>
      <c r="N491" s="4">
        <v>257091</v>
      </c>
      <c r="O491">
        <f t="shared" si="7"/>
        <v>8.4637086432418872E-3</v>
      </c>
    </row>
    <row r="492" spans="1:15" ht="14.25" customHeight="1" x14ac:dyDescent="0.3">
      <c r="A492" s="2">
        <v>46196</v>
      </c>
      <c r="B492" t="s">
        <v>15</v>
      </c>
      <c r="C492">
        <v>783.05</v>
      </c>
      <c r="D492">
        <v>790.9</v>
      </c>
      <c r="E492">
        <v>772.55</v>
      </c>
      <c r="F492">
        <v>786.4</v>
      </c>
      <c r="G492">
        <v>772.6</v>
      </c>
      <c r="H492">
        <v>774.65</v>
      </c>
      <c r="I492">
        <v>781.94</v>
      </c>
      <c r="J492" s="3">
        <v>2037.7</v>
      </c>
      <c r="K492">
        <v>726.65</v>
      </c>
      <c r="L492" s="4">
        <v>28289062</v>
      </c>
      <c r="M492" s="3">
        <v>22120296631.599998</v>
      </c>
      <c r="N492" s="4">
        <v>273325</v>
      </c>
      <c r="O492">
        <f t="shared" si="7"/>
        <v>-1.4941505595116989E-2</v>
      </c>
    </row>
    <row r="493" spans="1:15" ht="14.25" customHeight="1" x14ac:dyDescent="0.3">
      <c r="A493" s="2">
        <v>46197</v>
      </c>
      <c r="B493" t="s">
        <v>15</v>
      </c>
      <c r="C493">
        <v>773</v>
      </c>
      <c r="D493">
        <v>794.9</v>
      </c>
      <c r="E493">
        <v>772.65</v>
      </c>
      <c r="F493">
        <v>774.65</v>
      </c>
      <c r="G493">
        <v>792.8</v>
      </c>
      <c r="H493">
        <v>793.2</v>
      </c>
      <c r="I493">
        <v>788.6</v>
      </c>
      <c r="J493" s="3">
        <v>2037.7</v>
      </c>
      <c r="K493">
        <v>726.65</v>
      </c>
      <c r="L493" s="4">
        <v>34701292</v>
      </c>
      <c r="M493" s="3">
        <v>27365290725.099998</v>
      </c>
      <c r="N493" s="4">
        <v>320163</v>
      </c>
      <c r="O493">
        <f t="shared" si="7"/>
        <v>2.3946298328277375E-2</v>
      </c>
    </row>
    <row r="494" spans="1:15" ht="14.25" customHeight="1" x14ac:dyDescent="0.3">
      <c r="A494" s="2">
        <v>46198</v>
      </c>
      <c r="B494" t="s">
        <v>15</v>
      </c>
      <c r="C494">
        <v>798.5</v>
      </c>
      <c r="D494">
        <v>804.45</v>
      </c>
      <c r="E494">
        <v>794.75</v>
      </c>
      <c r="F494">
        <v>793.2</v>
      </c>
      <c r="G494">
        <v>796</v>
      </c>
      <c r="H494">
        <v>796.3</v>
      </c>
      <c r="I494">
        <v>799.35</v>
      </c>
      <c r="J494" s="3">
        <v>2037.7</v>
      </c>
      <c r="K494">
        <v>726.65</v>
      </c>
      <c r="L494" s="4">
        <v>46707966</v>
      </c>
      <c r="M494" s="3">
        <v>37336168879.300003</v>
      </c>
      <c r="N494" s="4">
        <v>467329</v>
      </c>
      <c r="O494">
        <f t="shared" si="7"/>
        <v>3.9082198688854125E-3</v>
      </c>
    </row>
    <row r="495" spans="1:15" ht="14.25" customHeight="1" x14ac:dyDescent="0.3">
      <c r="A495" s="2">
        <v>46202</v>
      </c>
      <c r="B495" t="s">
        <v>15</v>
      </c>
      <c r="C495">
        <v>800</v>
      </c>
      <c r="D495">
        <v>805.9</v>
      </c>
      <c r="E495">
        <v>793.3</v>
      </c>
      <c r="F495">
        <v>796.3</v>
      </c>
      <c r="G495">
        <v>797.05</v>
      </c>
      <c r="H495">
        <v>798.9</v>
      </c>
      <c r="I495">
        <v>799.29</v>
      </c>
      <c r="J495" s="3">
        <v>2037.7</v>
      </c>
      <c r="K495">
        <v>726.65</v>
      </c>
      <c r="L495" s="4">
        <v>46695977</v>
      </c>
      <c r="M495" s="3">
        <v>37323637057.699997</v>
      </c>
      <c r="N495" s="4">
        <v>421982</v>
      </c>
      <c r="O495">
        <f t="shared" si="7"/>
        <v>3.2651010925530866E-3</v>
      </c>
    </row>
    <row r="496" spans="1:15" ht="14.25" customHeight="1" x14ac:dyDescent="0.3">
      <c r="A496" s="2">
        <v>46203</v>
      </c>
      <c r="B496" t="s">
        <v>15</v>
      </c>
      <c r="C496">
        <v>806.1</v>
      </c>
      <c r="D496">
        <v>806.1</v>
      </c>
      <c r="E496">
        <v>792.75</v>
      </c>
      <c r="F496">
        <v>798.9</v>
      </c>
      <c r="G496">
        <v>800.45</v>
      </c>
      <c r="H496">
        <v>797.95</v>
      </c>
      <c r="I496">
        <v>798.65</v>
      </c>
      <c r="J496" s="3">
        <v>2037.7</v>
      </c>
      <c r="K496">
        <v>726.65</v>
      </c>
      <c r="L496" s="4">
        <v>45778356</v>
      </c>
      <c r="M496" s="3">
        <v>36561096124.849998</v>
      </c>
      <c r="N496" s="4">
        <v>507833</v>
      </c>
      <c r="O496">
        <f t="shared" si="7"/>
        <v>-1.1891350607083889E-3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96"/>
  <sheetViews>
    <sheetView zoomScaleNormal="100" workbookViewId="0">
      <selection sqref="A1:XFD1"/>
    </sheetView>
  </sheetViews>
  <sheetFormatPr defaultColWidth="8.6640625" defaultRowHeight="14.4" x14ac:dyDescent="0.3"/>
  <cols>
    <col min="1" max="1" width="9.88671875" customWidth="1"/>
    <col min="2" max="2" width="6.44140625" customWidth="1"/>
    <col min="3" max="5" width="9" customWidth="1"/>
    <col min="6" max="6" width="11.44140625" customWidth="1"/>
    <col min="7" max="11" width="9" customWidth="1"/>
    <col min="12" max="12" width="8.88671875" bestFit="1" customWidth="1"/>
    <col min="13" max="13" width="16.44140625" customWidth="1"/>
    <col min="14" max="14" width="14.21875" customWidth="1"/>
    <col min="15" max="15" width="12.6640625" bestFit="1" customWidth="1"/>
  </cols>
  <sheetData>
    <row r="1" spans="1:15" s="10" customFormat="1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 ht="14.25" customHeight="1" x14ac:dyDescent="0.3">
      <c r="A2" s="2">
        <v>45474</v>
      </c>
      <c r="B2" t="s">
        <v>15</v>
      </c>
      <c r="C2" s="3">
        <v>12045</v>
      </c>
      <c r="D2" s="3">
        <v>12260</v>
      </c>
      <c r="E2" s="3">
        <v>12005.55</v>
      </c>
      <c r="F2" s="3">
        <v>12033.85</v>
      </c>
      <c r="G2" s="3">
        <v>12100</v>
      </c>
      <c r="H2" s="3">
        <v>12108.65</v>
      </c>
      <c r="I2" s="3">
        <v>12124.61</v>
      </c>
      <c r="J2" s="3">
        <v>13073.95</v>
      </c>
      <c r="K2" s="3">
        <v>9254.15</v>
      </c>
      <c r="L2" s="4">
        <v>1134926</v>
      </c>
      <c r="M2" s="3">
        <v>13760539308.15</v>
      </c>
      <c r="N2" s="4">
        <v>122841</v>
      </c>
    </row>
    <row r="3" spans="1:15" ht="14.25" customHeight="1" x14ac:dyDescent="0.3">
      <c r="A3" s="2">
        <v>45475</v>
      </c>
      <c r="B3" t="s">
        <v>15</v>
      </c>
      <c r="C3" s="3">
        <v>12149.95</v>
      </c>
      <c r="D3" s="3">
        <v>12149.95</v>
      </c>
      <c r="E3" s="3">
        <v>11995</v>
      </c>
      <c r="F3" s="3">
        <v>12108.65</v>
      </c>
      <c r="G3" s="3">
        <v>12029.9</v>
      </c>
      <c r="H3" s="3">
        <v>12042.6</v>
      </c>
      <c r="I3" s="3">
        <v>12051.14</v>
      </c>
      <c r="J3" s="3">
        <v>13073.95</v>
      </c>
      <c r="K3" s="3">
        <v>9254.15</v>
      </c>
      <c r="L3" s="4">
        <v>687181</v>
      </c>
      <c r="M3" s="3">
        <v>8281311644.75</v>
      </c>
      <c r="N3" s="4">
        <v>67854</v>
      </c>
      <c r="O3">
        <f t="shared" ref="O3:O66" si="0">(H3-H2)/H2</f>
        <v>-5.454778195752563E-3</v>
      </c>
    </row>
    <row r="4" spans="1:15" ht="14.25" customHeight="1" x14ac:dyDescent="0.3">
      <c r="A4" s="2">
        <v>45476</v>
      </c>
      <c r="B4" t="s">
        <v>15</v>
      </c>
      <c r="C4" s="3">
        <v>12115</v>
      </c>
      <c r="D4" s="3">
        <v>12150</v>
      </c>
      <c r="E4" s="3">
        <v>11960</v>
      </c>
      <c r="F4" s="3">
        <v>12042.6</v>
      </c>
      <c r="G4" s="3">
        <v>12134</v>
      </c>
      <c r="H4" s="3">
        <v>12123.65</v>
      </c>
      <c r="I4" s="3">
        <v>12065.45</v>
      </c>
      <c r="J4" s="3">
        <v>13073.95</v>
      </c>
      <c r="K4" s="3">
        <v>9254.15</v>
      </c>
      <c r="L4" s="4">
        <v>467532</v>
      </c>
      <c r="M4" s="3">
        <v>5640983697.5</v>
      </c>
      <c r="N4" s="4">
        <v>53158</v>
      </c>
      <c r="O4">
        <f t="shared" si="0"/>
        <v>6.7302741932804598E-3</v>
      </c>
    </row>
    <row r="5" spans="1:15" ht="14.25" customHeight="1" x14ac:dyDescent="0.3">
      <c r="A5" s="2">
        <v>45477</v>
      </c>
      <c r="B5" t="s">
        <v>15</v>
      </c>
      <c r="C5" s="3">
        <v>12135</v>
      </c>
      <c r="D5" s="3">
        <v>12210</v>
      </c>
      <c r="E5" s="3">
        <v>12071.8</v>
      </c>
      <c r="F5" s="3">
        <v>12123.65</v>
      </c>
      <c r="G5" s="3">
        <v>12080</v>
      </c>
      <c r="H5" s="3">
        <v>12089.6</v>
      </c>
      <c r="I5" s="3">
        <v>12118.11</v>
      </c>
      <c r="J5" s="3">
        <v>13073.95</v>
      </c>
      <c r="K5" s="3">
        <v>9254.15</v>
      </c>
      <c r="L5" s="4">
        <v>299684</v>
      </c>
      <c r="M5" s="3">
        <v>3631603542.5</v>
      </c>
      <c r="N5" s="4">
        <v>46273</v>
      </c>
      <c r="O5">
        <f t="shared" si="0"/>
        <v>-2.8085601283441269E-3</v>
      </c>
    </row>
    <row r="6" spans="1:15" ht="14.25" customHeight="1" x14ac:dyDescent="0.3">
      <c r="A6" s="2">
        <v>45478</v>
      </c>
      <c r="B6" t="s">
        <v>15</v>
      </c>
      <c r="C6" s="3">
        <v>12069.15</v>
      </c>
      <c r="D6" s="3">
        <v>12137.45</v>
      </c>
      <c r="E6" s="3">
        <v>12021.9</v>
      </c>
      <c r="F6" s="3">
        <v>12089.6</v>
      </c>
      <c r="G6" s="3">
        <v>12100</v>
      </c>
      <c r="H6" s="3">
        <v>12104.05</v>
      </c>
      <c r="I6" s="3">
        <v>12084.74</v>
      </c>
      <c r="J6" s="3">
        <v>13073.95</v>
      </c>
      <c r="K6" s="3">
        <v>9254.15</v>
      </c>
      <c r="L6" s="4">
        <v>406926</v>
      </c>
      <c r="M6" s="3">
        <v>4917596374.6000004</v>
      </c>
      <c r="N6" s="4">
        <v>75811</v>
      </c>
      <c r="O6">
        <f t="shared" si="0"/>
        <v>1.1952421916356958E-3</v>
      </c>
    </row>
    <row r="7" spans="1:15" ht="14.25" customHeight="1" x14ac:dyDescent="0.3">
      <c r="A7" s="2">
        <v>45481</v>
      </c>
      <c r="B7" t="s">
        <v>15</v>
      </c>
      <c r="C7" s="3">
        <v>12104</v>
      </c>
      <c r="D7" s="3">
        <v>12112</v>
      </c>
      <c r="E7" s="3">
        <v>11966</v>
      </c>
      <c r="F7" s="3">
        <v>12104.05</v>
      </c>
      <c r="G7" s="3">
        <v>12045</v>
      </c>
      <c r="H7" s="3">
        <v>12023.6</v>
      </c>
      <c r="I7" s="3">
        <v>12023.51</v>
      </c>
      <c r="J7" s="3">
        <v>13073.95</v>
      </c>
      <c r="K7" s="3">
        <v>9254.15</v>
      </c>
      <c r="L7" s="4">
        <v>496933</v>
      </c>
      <c r="M7" s="3">
        <v>5974877989.6499996</v>
      </c>
      <c r="N7" s="4">
        <v>65581</v>
      </c>
      <c r="O7">
        <f t="shared" si="0"/>
        <v>-6.6465356636827271E-3</v>
      </c>
    </row>
    <row r="8" spans="1:15" ht="14.25" customHeight="1" x14ac:dyDescent="0.3">
      <c r="A8" s="2">
        <v>45482</v>
      </c>
      <c r="B8" t="s">
        <v>15</v>
      </c>
      <c r="C8" s="3">
        <v>12325</v>
      </c>
      <c r="D8" s="3">
        <v>12959.95</v>
      </c>
      <c r="E8" s="3">
        <v>12264.05</v>
      </c>
      <c r="F8" s="3">
        <v>12023.6</v>
      </c>
      <c r="G8" s="3">
        <v>12807</v>
      </c>
      <c r="H8" s="3">
        <v>12827.7</v>
      </c>
      <c r="I8" s="3">
        <v>12709.23</v>
      </c>
      <c r="J8" s="3">
        <v>13073.95</v>
      </c>
      <c r="K8" s="3">
        <v>9254.15</v>
      </c>
      <c r="L8" s="4">
        <v>2114130</v>
      </c>
      <c r="M8" s="3">
        <v>26868956638.950001</v>
      </c>
      <c r="N8" s="4">
        <v>244903</v>
      </c>
      <c r="O8">
        <f t="shared" si="0"/>
        <v>6.6876808942413282E-2</v>
      </c>
    </row>
    <row r="9" spans="1:15" ht="14.25" customHeight="1" x14ac:dyDescent="0.3">
      <c r="A9" s="2">
        <v>45483</v>
      </c>
      <c r="B9" t="s">
        <v>15</v>
      </c>
      <c r="C9" s="3">
        <v>12950.05</v>
      </c>
      <c r="D9" s="3">
        <v>13300</v>
      </c>
      <c r="E9" s="3">
        <v>12732.65</v>
      </c>
      <c r="F9" s="3">
        <v>12827.7</v>
      </c>
      <c r="G9" s="3">
        <v>12780.25</v>
      </c>
      <c r="H9" s="3">
        <v>12772.8</v>
      </c>
      <c r="I9" s="3">
        <v>13027.14</v>
      </c>
      <c r="J9" s="3">
        <v>13300</v>
      </c>
      <c r="K9" s="3">
        <v>9254.15</v>
      </c>
      <c r="L9" s="4">
        <v>2070520</v>
      </c>
      <c r="M9" s="3">
        <v>26972955419.450001</v>
      </c>
      <c r="N9" s="4">
        <v>252066</v>
      </c>
      <c r="O9">
        <f t="shared" si="0"/>
        <v>-4.279800743703193E-3</v>
      </c>
    </row>
    <row r="10" spans="1:15" ht="14.25" customHeight="1" x14ac:dyDescent="0.3">
      <c r="A10" s="2">
        <v>45484</v>
      </c>
      <c r="B10" t="s">
        <v>15</v>
      </c>
      <c r="C10" s="3">
        <v>12800</v>
      </c>
      <c r="D10" s="3">
        <v>12923.8</v>
      </c>
      <c r="E10" s="3">
        <v>12695.05</v>
      </c>
      <c r="F10" s="3">
        <v>12772.8</v>
      </c>
      <c r="G10" s="3">
        <v>12730.25</v>
      </c>
      <c r="H10" s="3">
        <v>12715.2</v>
      </c>
      <c r="I10" s="3">
        <v>12800.23</v>
      </c>
      <c r="J10" s="3">
        <v>13300</v>
      </c>
      <c r="K10" s="3">
        <v>9254.15</v>
      </c>
      <c r="L10" s="4">
        <v>608983</v>
      </c>
      <c r="M10" s="3">
        <v>7795119866.75</v>
      </c>
      <c r="N10" s="4">
        <v>100891</v>
      </c>
      <c r="O10">
        <f t="shared" si="0"/>
        <v>-4.5095828635850045E-3</v>
      </c>
    </row>
    <row r="11" spans="1:15" ht="14.25" customHeight="1" x14ac:dyDescent="0.3">
      <c r="A11" s="2">
        <v>45485</v>
      </c>
      <c r="B11" t="s">
        <v>15</v>
      </c>
      <c r="C11" s="3">
        <v>12620</v>
      </c>
      <c r="D11" s="3">
        <v>12669.9</v>
      </c>
      <c r="E11" s="3">
        <v>12475</v>
      </c>
      <c r="F11" s="3">
        <v>12715.2</v>
      </c>
      <c r="G11" s="3">
        <v>12599</v>
      </c>
      <c r="H11" s="3">
        <v>12562.5</v>
      </c>
      <c r="I11" s="3">
        <v>12578.58</v>
      </c>
      <c r="J11" s="3">
        <v>13300</v>
      </c>
      <c r="K11" s="3">
        <v>9254.15</v>
      </c>
      <c r="L11" s="4">
        <v>674746</v>
      </c>
      <c r="M11" s="3">
        <v>8487349609.5</v>
      </c>
      <c r="N11" s="4">
        <v>93175</v>
      </c>
      <c r="O11">
        <f t="shared" si="0"/>
        <v>-1.200924877312199E-2</v>
      </c>
    </row>
    <row r="12" spans="1:15" ht="14.25" customHeight="1" x14ac:dyDescent="0.3">
      <c r="A12" s="2">
        <v>45488</v>
      </c>
      <c r="B12" t="s">
        <v>15</v>
      </c>
      <c r="C12" s="3">
        <v>12600</v>
      </c>
      <c r="D12" s="3">
        <v>12768.5</v>
      </c>
      <c r="E12" s="3">
        <v>12590</v>
      </c>
      <c r="F12" s="3">
        <v>12562.5</v>
      </c>
      <c r="G12" s="3">
        <v>12645</v>
      </c>
      <c r="H12" s="3">
        <v>12643.95</v>
      </c>
      <c r="I12" s="3">
        <v>12673.77</v>
      </c>
      <c r="J12" s="3">
        <v>13300</v>
      </c>
      <c r="K12" s="3">
        <v>9254.15</v>
      </c>
      <c r="L12" s="4">
        <v>697192</v>
      </c>
      <c r="M12" s="3">
        <v>8836054040.8500004</v>
      </c>
      <c r="N12" s="4">
        <v>79937</v>
      </c>
      <c r="O12">
        <f t="shared" si="0"/>
        <v>6.4835820895522969E-3</v>
      </c>
    </row>
    <row r="13" spans="1:15" ht="14.25" customHeight="1" x14ac:dyDescent="0.3">
      <c r="A13" s="2">
        <v>45489</v>
      </c>
      <c r="B13" t="s">
        <v>15</v>
      </c>
      <c r="C13" s="3">
        <v>12643</v>
      </c>
      <c r="D13" s="3">
        <v>12798</v>
      </c>
      <c r="E13" s="3">
        <v>12581.75</v>
      </c>
      <c r="F13" s="3">
        <v>12643.95</v>
      </c>
      <c r="G13" s="3">
        <v>12640</v>
      </c>
      <c r="H13" s="3">
        <v>12639.55</v>
      </c>
      <c r="I13" s="3">
        <v>12667.6</v>
      </c>
      <c r="J13" s="3">
        <v>13300</v>
      </c>
      <c r="K13" s="3">
        <v>9254.15</v>
      </c>
      <c r="L13" s="4">
        <v>347810</v>
      </c>
      <c r="M13" s="3">
        <v>4405919034.5500002</v>
      </c>
      <c r="N13" s="4">
        <v>50006</v>
      </c>
      <c r="O13">
        <f t="shared" si="0"/>
        <v>-3.4799251816097462E-4</v>
      </c>
    </row>
    <row r="14" spans="1:15" ht="14.25" customHeight="1" x14ac:dyDescent="0.3">
      <c r="A14" s="2">
        <v>45491</v>
      </c>
      <c r="B14" t="s">
        <v>15</v>
      </c>
      <c r="C14" s="3">
        <v>12633</v>
      </c>
      <c r="D14" s="3">
        <v>12680</v>
      </c>
      <c r="E14" s="3">
        <v>12463</v>
      </c>
      <c r="F14" s="3">
        <v>12639.55</v>
      </c>
      <c r="G14" s="3">
        <v>12651.45</v>
      </c>
      <c r="H14" s="3">
        <v>12644.05</v>
      </c>
      <c r="I14" s="3">
        <v>12593.75</v>
      </c>
      <c r="J14" s="3">
        <v>13300</v>
      </c>
      <c r="K14" s="3">
        <v>9254.15</v>
      </c>
      <c r="L14" s="4">
        <v>391216</v>
      </c>
      <c r="M14" s="3">
        <v>4926876858.5</v>
      </c>
      <c r="N14" s="4">
        <v>80921</v>
      </c>
      <c r="O14">
        <f t="shared" si="0"/>
        <v>3.5602533318037434E-4</v>
      </c>
    </row>
    <row r="15" spans="1:15" ht="14.25" customHeight="1" x14ac:dyDescent="0.3">
      <c r="A15" s="2">
        <v>45492</v>
      </c>
      <c r="B15" t="s">
        <v>15</v>
      </c>
      <c r="C15" s="3">
        <v>12650</v>
      </c>
      <c r="D15" s="3">
        <v>12710</v>
      </c>
      <c r="E15" s="3">
        <v>12496.45</v>
      </c>
      <c r="F15" s="3">
        <v>12644.05</v>
      </c>
      <c r="G15" s="3">
        <v>12535</v>
      </c>
      <c r="H15" s="3">
        <v>12524.3</v>
      </c>
      <c r="I15" s="3">
        <v>12568.68</v>
      </c>
      <c r="J15" s="3">
        <v>13300</v>
      </c>
      <c r="K15" s="3">
        <v>9254.15</v>
      </c>
      <c r="L15" s="4">
        <v>351955</v>
      </c>
      <c r="M15" s="3">
        <v>4423609908.9499998</v>
      </c>
      <c r="N15" s="4">
        <v>55345</v>
      </c>
      <c r="O15">
        <f t="shared" si="0"/>
        <v>-9.470857834317328E-3</v>
      </c>
    </row>
    <row r="16" spans="1:15" ht="14.25" customHeight="1" x14ac:dyDescent="0.3">
      <c r="A16" s="2">
        <v>45495</v>
      </c>
      <c r="B16" t="s">
        <v>15</v>
      </c>
      <c r="C16" s="3">
        <v>12500</v>
      </c>
      <c r="D16" s="3">
        <v>12658.95</v>
      </c>
      <c r="E16" s="3">
        <v>12400.05</v>
      </c>
      <c r="F16" s="3">
        <v>12524.3</v>
      </c>
      <c r="G16" s="3">
        <v>12627</v>
      </c>
      <c r="H16" s="3">
        <v>12641.25</v>
      </c>
      <c r="I16" s="3">
        <v>12586.14</v>
      </c>
      <c r="J16" s="3">
        <v>13300</v>
      </c>
      <c r="K16" s="3">
        <v>9254.15</v>
      </c>
      <c r="L16" s="4">
        <v>249631</v>
      </c>
      <c r="M16" s="3">
        <v>3141891581.9499998</v>
      </c>
      <c r="N16" s="4">
        <v>38556</v>
      </c>
      <c r="O16">
        <f t="shared" si="0"/>
        <v>9.3378472249946685E-3</v>
      </c>
    </row>
    <row r="17" spans="1:15" ht="14.25" customHeight="1" x14ac:dyDescent="0.3">
      <c r="A17" s="2">
        <v>45496</v>
      </c>
      <c r="B17" t="s">
        <v>15</v>
      </c>
      <c r="C17" s="3">
        <v>12720</v>
      </c>
      <c r="D17" s="3">
        <v>12734.95</v>
      </c>
      <c r="E17" s="3">
        <v>12360</v>
      </c>
      <c r="F17" s="3">
        <v>12641.25</v>
      </c>
      <c r="G17" s="3">
        <v>12625.4</v>
      </c>
      <c r="H17" s="3">
        <v>12629.05</v>
      </c>
      <c r="I17" s="3">
        <v>12617.22</v>
      </c>
      <c r="J17" s="3">
        <v>13300</v>
      </c>
      <c r="K17" s="3">
        <v>9254.15</v>
      </c>
      <c r="L17" s="4">
        <v>332258</v>
      </c>
      <c r="M17" s="3">
        <v>4192172299.6500001</v>
      </c>
      <c r="N17" s="4">
        <v>55901</v>
      </c>
      <c r="O17">
        <f t="shared" si="0"/>
        <v>-9.6509443290819562E-4</v>
      </c>
    </row>
    <row r="18" spans="1:15" ht="14.25" customHeight="1" x14ac:dyDescent="0.3">
      <c r="A18" s="2">
        <v>45497</v>
      </c>
      <c r="B18" t="s">
        <v>15</v>
      </c>
      <c r="C18" s="3">
        <v>12634</v>
      </c>
      <c r="D18" s="3">
        <v>12663.2</v>
      </c>
      <c r="E18" s="3">
        <v>12458.2</v>
      </c>
      <c r="F18" s="3">
        <v>12629.05</v>
      </c>
      <c r="G18" s="3">
        <v>12495.8</v>
      </c>
      <c r="H18" s="3">
        <v>12487.25</v>
      </c>
      <c r="I18" s="3">
        <v>12530.38</v>
      </c>
      <c r="J18" s="3">
        <v>13300</v>
      </c>
      <c r="K18" s="3">
        <v>9254.15</v>
      </c>
      <c r="L18" s="4">
        <v>285860</v>
      </c>
      <c r="M18" s="3">
        <v>3581934400.9499998</v>
      </c>
      <c r="N18" s="4">
        <v>46134</v>
      </c>
      <c r="O18">
        <f t="shared" si="0"/>
        <v>-1.1228081288774634E-2</v>
      </c>
    </row>
    <row r="19" spans="1:15" ht="14.25" customHeight="1" x14ac:dyDescent="0.3">
      <c r="A19" s="2">
        <v>45498</v>
      </c>
      <c r="B19" t="s">
        <v>15</v>
      </c>
      <c r="C19" s="3">
        <v>12388.05</v>
      </c>
      <c r="D19" s="3">
        <v>12525</v>
      </c>
      <c r="E19" s="3">
        <v>12388.05</v>
      </c>
      <c r="F19" s="3">
        <v>12487.25</v>
      </c>
      <c r="G19" s="3">
        <v>12490</v>
      </c>
      <c r="H19" s="3">
        <v>12509.2</v>
      </c>
      <c r="I19" s="3">
        <v>12464.52</v>
      </c>
      <c r="J19" s="3">
        <v>13300</v>
      </c>
      <c r="K19" s="3">
        <v>9254.15</v>
      </c>
      <c r="L19" s="4">
        <v>396789</v>
      </c>
      <c r="M19" s="3">
        <v>4945782606.8999996</v>
      </c>
      <c r="N19" s="4">
        <v>51259</v>
      </c>
      <c r="O19">
        <f t="shared" si="0"/>
        <v>1.7577929488078422E-3</v>
      </c>
    </row>
    <row r="20" spans="1:15" ht="14.25" customHeight="1" x14ac:dyDescent="0.3">
      <c r="A20" s="2">
        <v>45499</v>
      </c>
      <c r="B20" t="s">
        <v>15</v>
      </c>
      <c r="C20" s="3">
        <v>12470</v>
      </c>
      <c r="D20" s="3">
        <v>12743.1</v>
      </c>
      <c r="E20" s="3">
        <v>12389.2</v>
      </c>
      <c r="F20" s="3">
        <v>12509.2</v>
      </c>
      <c r="G20" s="3">
        <v>12670</v>
      </c>
      <c r="H20" s="3">
        <v>12663.7</v>
      </c>
      <c r="I20" s="3">
        <v>12601.17</v>
      </c>
      <c r="J20" s="3">
        <v>13300</v>
      </c>
      <c r="K20" s="3">
        <v>9254.15</v>
      </c>
      <c r="L20" s="4">
        <v>537693</v>
      </c>
      <c r="M20" s="3">
        <v>6775562946</v>
      </c>
      <c r="N20" s="4">
        <v>85479</v>
      </c>
      <c r="O20">
        <f t="shared" si="0"/>
        <v>1.2350909730438397E-2</v>
      </c>
    </row>
    <row r="21" spans="1:15" ht="14.25" customHeight="1" x14ac:dyDescent="0.3">
      <c r="A21" s="2">
        <v>45502</v>
      </c>
      <c r="B21" t="s">
        <v>15</v>
      </c>
      <c r="C21" s="3">
        <v>12709</v>
      </c>
      <c r="D21" s="3">
        <v>12773.7</v>
      </c>
      <c r="E21" s="3">
        <v>12603</v>
      </c>
      <c r="F21" s="3">
        <v>12663.7</v>
      </c>
      <c r="G21" s="3">
        <v>12755</v>
      </c>
      <c r="H21" s="3">
        <v>12751.55</v>
      </c>
      <c r="I21" s="3">
        <v>12721.15</v>
      </c>
      <c r="J21" s="3">
        <v>13300</v>
      </c>
      <c r="K21" s="3">
        <v>9254.15</v>
      </c>
      <c r="L21" s="4">
        <v>388263</v>
      </c>
      <c r="M21" s="3">
        <v>4939152362.4499998</v>
      </c>
      <c r="N21" s="4">
        <v>61322</v>
      </c>
      <c r="O21">
        <f t="shared" si="0"/>
        <v>6.9371510695925001E-3</v>
      </c>
    </row>
    <row r="22" spans="1:15" ht="14.25" customHeight="1" x14ac:dyDescent="0.3">
      <c r="A22" s="2">
        <v>45503</v>
      </c>
      <c r="B22" t="s">
        <v>15</v>
      </c>
      <c r="C22" s="3">
        <v>12760</v>
      </c>
      <c r="D22" s="3">
        <v>12968.8</v>
      </c>
      <c r="E22" s="3">
        <v>12709.9</v>
      </c>
      <c r="F22" s="3">
        <v>12751.55</v>
      </c>
      <c r="G22" s="3">
        <v>12890</v>
      </c>
      <c r="H22" s="3">
        <v>12873.65</v>
      </c>
      <c r="I22" s="3">
        <v>12859.85</v>
      </c>
      <c r="J22" s="3">
        <v>13300</v>
      </c>
      <c r="K22" s="3">
        <v>9254.15</v>
      </c>
      <c r="L22" s="4">
        <v>526539</v>
      </c>
      <c r="M22" s="3">
        <v>6771212940.3500004</v>
      </c>
      <c r="N22" s="4">
        <v>65332</v>
      </c>
      <c r="O22">
        <f t="shared" si="0"/>
        <v>9.575306531362883E-3</v>
      </c>
    </row>
    <row r="23" spans="1:15" ht="14.25" customHeight="1" x14ac:dyDescent="0.3">
      <c r="A23" s="2">
        <v>45504</v>
      </c>
      <c r="B23" t="s">
        <v>15</v>
      </c>
      <c r="C23" s="3">
        <v>12980</v>
      </c>
      <c r="D23" s="3">
        <v>13375</v>
      </c>
      <c r="E23" s="3">
        <v>12895.15</v>
      </c>
      <c r="F23" s="3">
        <v>12873.65</v>
      </c>
      <c r="G23" s="3">
        <v>13375</v>
      </c>
      <c r="H23" s="3">
        <v>13115.8</v>
      </c>
      <c r="I23" s="3">
        <v>13029.53</v>
      </c>
      <c r="J23" s="3">
        <v>13375</v>
      </c>
      <c r="K23" s="3">
        <v>9254.15</v>
      </c>
      <c r="L23" s="4">
        <v>836405</v>
      </c>
      <c r="M23" s="3">
        <v>10897966962.35</v>
      </c>
      <c r="N23" s="4">
        <v>89369</v>
      </c>
      <c r="O23">
        <f t="shared" si="0"/>
        <v>1.8809739273632546E-2</v>
      </c>
    </row>
    <row r="24" spans="1:15" ht="14.25" customHeight="1" x14ac:dyDescent="0.3">
      <c r="A24" s="2">
        <v>45505</v>
      </c>
      <c r="B24" t="s">
        <v>15</v>
      </c>
      <c r="C24" s="3">
        <v>13393</v>
      </c>
      <c r="D24" s="3">
        <v>13680</v>
      </c>
      <c r="E24" s="3">
        <v>13112</v>
      </c>
      <c r="F24" s="3">
        <v>13115.8</v>
      </c>
      <c r="G24" s="3">
        <v>13343.05</v>
      </c>
      <c r="H24" s="3">
        <v>13359.05</v>
      </c>
      <c r="I24" s="3">
        <v>13394.3</v>
      </c>
      <c r="J24" s="3">
        <v>13680</v>
      </c>
      <c r="K24" s="3">
        <v>9254.15</v>
      </c>
      <c r="L24" s="4">
        <v>2040384</v>
      </c>
      <c r="M24" s="3">
        <v>27329505959.150002</v>
      </c>
      <c r="N24" s="4">
        <v>260139</v>
      </c>
      <c r="O24">
        <f t="shared" si="0"/>
        <v>1.8546333429908964E-2</v>
      </c>
    </row>
    <row r="25" spans="1:15" ht="14.25" customHeight="1" x14ac:dyDescent="0.3">
      <c r="A25" s="2">
        <v>45506</v>
      </c>
      <c r="B25" t="s">
        <v>15</v>
      </c>
      <c r="C25" s="3">
        <v>13126</v>
      </c>
      <c r="D25" s="3">
        <v>13174.9</v>
      </c>
      <c r="E25" s="3">
        <v>12673.05</v>
      </c>
      <c r="F25" s="3">
        <v>13359.05</v>
      </c>
      <c r="G25" s="3">
        <v>12697.1</v>
      </c>
      <c r="H25" s="3">
        <v>12726.4</v>
      </c>
      <c r="I25" s="3">
        <v>12826.91</v>
      </c>
      <c r="J25" s="3">
        <v>13680</v>
      </c>
      <c r="K25" s="3">
        <v>9254.15</v>
      </c>
      <c r="L25" s="4">
        <v>1333355</v>
      </c>
      <c r="M25" s="3">
        <v>17102826826.799999</v>
      </c>
      <c r="N25" s="4">
        <v>156599</v>
      </c>
      <c r="O25">
        <f t="shared" si="0"/>
        <v>-4.7357409396626235E-2</v>
      </c>
    </row>
    <row r="26" spans="1:15" ht="14.25" customHeight="1" x14ac:dyDescent="0.3">
      <c r="A26" s="2">
        <v>45509</v>
      </c>
      <c r="B26" t="s">
        <v>15</v>
      </c>
      <c r="C26" s="3">
        <v>12490</v>
      </c>
      <c r="D26" s="3">
        <v>12490</v>
      </c>
      <c r="E26" s="3">
        <v>12027.65</v>
      </c>
      <c r="F26" s="3">
        <v>12726.4</v>
      </c>
      <c r="G26" s="3">
        <v>12217</v>
      </c>
      <c r="H26" s="3">
        <v>12200.85</v>
      </c>
      <c r="I26" s="3">
        <v>12260.73</v>
      </c>
      <c r="J26" s="3">
        <v>13680</v>
      </c>
      <c r="K26" s="3">
        <v>9254.15</v>
      </c>
      <c r="L26" s="4">
        <v>1131415</v>
      </c>
      <c r="M26" s="3">
        <v>13871976740.75</v>
      </c>
      <c r="N26" s="4">
        <v>142652</v>
      </c>
      <c r="O26">
        <f t="shared" si="0"/>
        <v>-4.1296046014583802E-2</v>
      </c>
    </row>
    <row r="27" spans="1:15" ht="14.25" customHeight="1" x14ac:dyDescent="0.3">
      <c r="A27" s="2">
        <v>45510</v>
      </c>
      <c r="B27" t="s">
        <v>15</v>
      </c>
      <c r="C27" s="3">
        <v>12390</v>
      </c>
      <c r="D27" s="3">
        <v>12554.9</v>
      </c>
      <c r="E27" s="3">
        <v>12110</v>
      </c>
      <c r="F27" s="3">
        <v>12200.85</v>
      </c>
      <c r="G27" s="3">
        <v>12170.05</v>
      </c>
      <c r="H27" s="3">
        <v>12131.1</v>
      </c>
      <c r="I27" s="3">
        <v>12316.66</v>
      </c>
      <c r="J27" s="3">
        <v>13680</v>
      </c>
      <c r="K27" s="3">
        <v>9254.15</v>
      </c>
      <c r="L27" s="4">
        <v>623565</v>
      </c>
      <c r="M27" s="3">
        <v>7680240220.3500004</v>
      </c>
      <c r="N27" s="4">
        <v>88224</v>
      </c>
      <c r="O27">
        <f t="shared" si="0"/>
        <v>-5.7168148120827645E-3</v>
      </c>
    </row>
    <row r="28" spans="1:15" ht="14.25" customHeight="1" x14ac:dyDescent="0.3">
      <c r="A28" s="2">
        <v>45511</v>
      </c>
      <c r="B28" t="s">
        <v>15</v>
      </c>
      <c r="C28" s="3">
        <v>12399</v>
      </c>
      <c r="D28" s="3">
        <v>12450</v>
      </c>
      <c r="E28" s="3">
        <v>12265.9</v>
      </c>
      <c r="F28" s="3">
        <v>12131.1</v>
      </c>
      <c r="G28" s="3">
        <v>12381</v>
      </c>
      <c r="H28" s="3">
        <v>12371.5</v>
      </c>
      <c r="I28" s="3">
        <v>12346.46</v>
      </c>
      <c r="J28" s="3">
        <v>13680</v>
      </c>
      <c r="K28" s="3">
        <v>9254.15</v>
      </c>
      <c r="L28" s="4">
        <v>433514</v>
      </c>
      <c r="M28" s="3">
        <v>5352362471.1999998</v>
      </c>
      <c r="N28" s="4">
        <v>53868</v>
      </c>
      <c r="O28">
        <f t="shared" si="0"/>
        <v>1.9816834417324038E-2</v>
      </c>
    </row>
    <row r="29" spans="1:15" ht="14.25" customHeight="1" x14ac:dyDescent="0.3">
      <c r="A29" s="2">
        <v>45512</v>
      </c>
      <c r="B29" t="s">
        <v>15</v>
      </c>
      <c r="C29" s="3">
        <v>12371</v>
      </c>
      <c r="D29" s="3">
        <v>12392.7</v>
      </c>
      <c r="E29" s="3">
        <v>12152.15</v>
      </c>
      <c r="F29" s="3">
        <v>12371.5</v>
      </c>
      <c r="G29" s="3">
        <v>12219</v>
      </c>
      <c r="H29" s="3">
        <v>12218.85</v>
      </c>
      <c r="I29" s="3">
        <v>12250.61</v>
      </c>
      <c r="J29" s="3">
        <v>13680</v>
      </c>
      <c r="K29" s="3">
        <v>9254.15</v>
      </c>
      <c r="L29" s="4">
        <v>358577</v>
      </c>
      <c r="M29" s="3">
        <v>4392787988</v>
      </c>
      <c r="N29" s="4">
        <v>68340</v>
      </c>
      <c r="O29">
        <f t="shared" si="0"/>
        <v>-1.233884330921874E-2</v>
      </c>
    </row>
    <row r="30" spans="1:15" ht="14.25" customHeight="1" x14ac:dyDescent="0.3">
      <c r="A30" s="2">
        <v>45513</v>
      </c>
      <c r="B30" t="s">
        <v>15</v>
      </c>
      <c r="C30" s="3">
        <v>12390</v>
      </c>
      <c r="D30" s="3">
        <v>12390</v>
      </c>
      <c r="E30" s="3">
        <v>12195.1</v>
      </c>
      <c r="F30" s="3">
        <v>12218.85</v>
      </c>
      <c r="G30" s="3">
        <v>12204</v>
      </c>
      <c r="H30" s="3">
        <v>12224.2</v>
      </c>
      <c r="I30" s="3">
        <v>12249.39</v>
      </c>
      <c r="J30" s="3">
        <v>13680</v>
      </c>
      <c r="K30" s="3">
        <v>9254.15</v>
      </c>
      <c r="L30" s="4">
        <v>320211</v>
      </c>
      <c r="M30" s="3">
        <v>3922389051.25</v>
      </c>
      <c r="N30" s="4">
        <v>47795</v>
      </c>
      <c r="O30">
        <f t="shared" si="0"/>
        <v>4.3784807899273365E-4</v>
      </c>
    </row>
    <row r="31" spans="1:15" ht="14.25" customHeight="1" x14ac:dyDescent="0.3">
      <c r="A31" s="2">
        <v>45516</v>
      </c>
      <c r="B31" t="s">
        <v>15</v>
      </c>
      <c r="C31" s="3">
        <v>12200</v>
      </c>
      <c r="D31" s="3">
        <v>12370</v>
      </c>
      <c r="E31" s="3">
        <v>12100</v>
      </c>
      <c r="F31" s="3">
        <v>12224.2</v>
      </c>
      <c r="G31" s="3">
        <v>12274.75</v>
      </c>
      <c r="H31" s="3">
        <v>12273.25</v>
      </c>
      <c r="I31" s="3">
        <v>12282.7</v>
      </c>
      <c r="J31" s="3">
        <v>13680</v>
      </c>
      <c r="K31" s="3">
        <v>9254.15</v>
      </c>
      <c r="L31" s="4">
        <v>291212</v>
      </c>
      <c r="M31" s="3">
        <v>3576868354.4000001</v>
      </c>
      <c r="N31" s="4">
        <v>45531</v>
      </c>
      <c r="O31">
        <f t="shared" si="0"/>
        <v>4.0125325174652955E-3</v>
      </c>
    </row>
    <row r="32" spans="1:15" ht="14.25" customHeight="1" x14ac:dyDescent="0.3">
      <c r="A32" s="2">
        <v>45517</v>
      </c>
      <c r="B32" t="s">
        <v>15</v>
      </c>
      <c r="C32" s="3">
        <v>12337</v>
      </c>
      <c r="D32" s="3">
        <v>12340.05</v>
      </c>
      <c r="E32" s="3">
        <v>12122</v>
      </c>
      <c r="F32" s="3">
        <v>12273.25</v>
      </c>
      <c r="G32" s="3">
        <v>12143</v>
      </c>
      <c r="H32" s="3">
        <v>12176.25</v>
      </c>
      <c r="I32" s="3">
        <v>12234.96</v>
      </c>
      <c r="J32" s="3">
        <v>13680</v>
      </c>
      <c r="K32" s="3">
        <v>9254.15</v>
      </c>
      <c r="L32" s="4">
        <v>464483</v>
      </c>
      <c r="M32" s="3">
        <v>5682931890.6000004</v>
      </c>
      <c r="N32" s="4">
        <v>72377</v>
      </c>
      <c r="O32">
        <f t="shared" si="0"/>
        <v>-7.9033670788096061E-3</v>
      </c>
    </row>
    <row r="33" spans="1:15" ht="14.25" customHeight="1" x14ac:dyDescent="0.3">
      <c r="A33" s="2">
        <v>45518</v>
      </c>
      <c r="B33" t="s">
        <v>15</v>
      </c>
      <c r="C33" s="3">
        <v>12239</v>
      </c>
      <c r="D33" s="3">
        <v>12239</v>
      </c>
      <c r="E33" s="3">
        <v>12130</v>
      </c>
      <c r="F33" s="3">
        <v>12176.25</v>
      </c>
      <c r="G33" s="3">
        <v>12211.65</v>
      </c>
      <c r="H33" s="3">
        <v>12205.65</v>
      </c>
      <c r="I33" s="3">
        <v>12183.45</v>
      </c>
      <c r="J33" s="3">
        <v>13680</v>
      </c>
      <c r="K33" s="3">
        <v>9254.15</v>
      </c>
      <c r="L33" s="4">
        <v>449827</v>
      </c>
      <c r="M33" s="3">
        <v>5480445895.5500002</v>
      </c>
      <c r="N33" s="4">
        <v>59866</v>
      </c>
      <c r="O33">
        <f t="shared" si="0"/>
        <v>2.4145364952263327E-3</v>
      </c>
    </row>
    <row r="34" spans="1:15" ht="14.25" customHeight="1" x14ac:dyDescent="0.3">
      <c r="A34" s="2">
        <v>45520</v>
      </c>
      <c r="B34" t="s">
        <v>15</v>
      </c>
      <c r="C34" s="3">
        <v>12314.95</v>
      </c>
      <c r="D34" s="3">
        <v>12343.95</v>
      </c>
      <c r="E34" s="3">
        <v>12111</v>
      </c>
      <c r="F34" s="3">
        <v>12205.65</v>
      </c>
      <c r="G34" s="3">
        <v>12207.55</v>
      </c>
      <c r="H34" s="3">
        <v>12213.3</v>
      </c>
      <c r="I34" s="3">
        <v>12212.04</v>
      </c>
      <c r="J34" s="3">
        <v>13680</v>
      </c>
      <c r="K34" s="3">
        <v>9254.15</v>
      </c>
      <c r="L34" s="4">
        <v>552732</v>
      </c>
      <c r="M34" s="3">
        <v>6749983326.8999996</v>
      </c>
      <c r="N34" s="4">
        <v>88507</v>
      </c>
      <c r="O34">
        <f t="shared" si="0"/>
        <v>6.2675891902517578E-4</v>
      </c>
    </row>
    <row r="35" spans="1:15" ht="14.25" customHeight="1" x14ac:dyDescent="0.3">
      <c r="A35" s="2">
        <v>45523</v>
      </c>
      <c r="B35" t="s">
        <v>15</v>
      </c>
      <c r="C35" s="3">
        <v>12195</v>
      </c>
      <c r="D35" s="3">
        <v>12244.05</v>
      </c>
      <c r="E35" s="3">
        <v>12126.8</v>
      </c>
      <c r="F35" s="3">
        <v>12213.3</v>
      </c>
      <c r="G35" s="3">
        <v>12145</v>
      </c>
      <c r="H35" s="3">
        <v>12149.8</v>
      </c>
      <c r="I35" s="3">
        <v>12172.45</v>
      </c>
      <c r="J35" s="3">
        <v>13680</v>
      </c>
      <c r="K35" s="3">
        <v>9409.7000000000007</v>
      </c>
      <c r="L35" s="4">
        <v>277319</v>
      </c>
      <c r="M35" s="3">
        <v>3375650716.5</v>
      </c>
      <c r="N35" s="4">
        <v>44336</v>
      </c>
      <c r="O35">
        <f t="shared" si="0"/>
        <v>-5.1992499979530513E-3</v>
      </c>
    </row>
    <row r="36" spans="1:15" ht="14.25" customHeight="1" x14ac:dyDescent="0.3">
      <c r="A36" s="2">
        <v>45524</v>
      </c>
      <c r="B36" t="s">
        <v>15</v>
      </c>
      <c r="C36" s="3">
        <v>12160.5</v>
      </c>
      <c r="D36" s="3">
        <v>12310</v>
      </c>
      <c r="E36" s="3">
        <v>12150.1</v>
      </c>
      <c r="F36" s="3">
        <v>12149.8</v>
      </c>
      <c r="G36" s="3">
        <v>12208</v>
      </c>
      <c r="H36" s="3">
        <v>12214.95</v>
      </c>
      <c r="I36" s="3">
        <v>12218.85</v>
      </c>
      <c r="J36" s="3">
        <v>13680</v>
      </c>
      <c r="K36" s="3">
        <v>9409.7000000000007</v>
      </c>
      <c r="L36" s="4">
        <v>471927</v>
      </c>
      <c r="M36" s="3">
        <v>5766407142.5</v>
      </c>
      <c r="N36" s="4">
        <v>43796</v>
      </c>
      <c r="O36">
        <f t="shared" si="0"/>
        <v>5.3622281848262074E-3</v>
      </c>
    </row>
    <row r="37" spans="1:15" ht="14.25" customHeight="1" x14ac:dyDescent="0.3">
      <c r="A37" s="2">
        <v>45525</v>
      </c>
      <c r="B37" t="s">
        <v>15</v>
      </c>
      <c r="C37" s="3">
        <v>12214.95</v>
      </c>
      <c r="D37" s="3">
        <v>12248.95</v>
      </c>
      <c r="E37" s="3">
        <v>12177.05</v>
      </c>
      <c r="F37" s="3">
        <v>12214.95</v>
      </c>
      <c r="G37" s="3">
        <v>12218.05</v>
      </c>
      <c r="H37" s="3">
        <v>12220.95</v>
      </c>
      <c r="I37" s="3">
        <v>12216.72</v>
      </c>
      <c r="J37" s="3">
        <v>13680</v>
      </c>
      <c r="K37" s="3">
        <v>9409.7000000000007</v>
      </c>
      <c r="L37" s="4">
        <v>295984</v>
      </c>
      <c r="M37" s="3">
        <v>3615954054.3000002</v>
      </c>
      <c r="N37" s="4">
        <v>37207</v>
      </c>
      <c r="O37">
        <f t="shared" si="0"/>
        <v>4.9120135571574172E-4</v>
      </c>
    </row>
    <row r="38" spans="1:15" ht="14.25" customHeight="1" x14ac:dyDescent="0.3">
      <c r="A38" s="2">
        <v>45526</v>
      </c>
      <c r="B38" t="s">
        <v>15</v>
      </c>
      <c r="C38" s="3">
        <v>12280</v>
      </c>
      <c r="D38" s="3">
        <v>12325</v>
      </c>
      <c r="E38" s="3">
        <v>12181</v>
      </c>
      <c r="F38" s="3">
        <v>12220.95</v>
      </c>
      <c r="G38" s="3">
        <v>12305.05</v>
      </c>
      <c r="H38" s="3">
        <v>12276.35</v>
      </c>
      <c r="I38" s="3">
        <v>12244.04</v>
      </c>
      <c r="J38" s="3">
        <v>13680</v>
      </c>
      <c r="K38" s="3">
        <v>9409.7000000000007</v>
      </c>
      <c r="L38" s="4">
        <v>501316</v>
      </c>
      <c r="M38" s="3">
        <v>6138135178.6000004</v>
      </c>
      <c r="N38" s="4">
        <v>61928</v>
      </c>
      <c r="O38">
        <f t="shared" si="0"/>
        <v>4.53319913754656E-3</v>
      </c>
    </row>
    <row r="39" spans="1:15" ht="14.25" customHeight="1" x14ac:dyDescent="0.3">
      <c r="A39" s="2">
        <v>45527</v>
      </c>
      <c r="B39" t="s">
        <v>15</v>
      </c>
      <c r="C39" s="3">
        <v>12300</v>
      </c>
      <c r="D39" s="3">
        <v>12375.05</v>
      </c>
      <c r="E39" s="3">
        <v>12254.4</v>
      </c>
      <c r="F39" s="3">
        <v>12276.35</v>
      </c>
      <c r="G39" s="3">
        <v>12272</v>
      </c>
      <c r="H39" s="3">
        <v>12302.3</v>
      </c>
      <c r="I39" s="3">
        <v>12309.91</v>
      </c>
      <c r="J39" s="3">
        <v>13680</v>
      </c>
      <c r="K39" s="3">
        <v>9409.7000000000007</v>
      </c>
      <c r="L39" s="4">
        <v>440809</v>
      </c>
      <c r="M39" s="3">
        <v>5426317504.1999998</v>
      </c>
      <c r="N39" s="4">
        <v>57997</v>
      </c>
      <c r="O39">
        <f t="shared" si="0"/>
        <v>2.1138204759557121E-3</v>
      </c>
    </row>
    <row r="40" spans="1:15" ht="14.25" customHeight="1" x14ac:dyDescent="0.3">
      <c r="A40" s="2">
        <v>45530</v>
      </c>
      <c r="B40" t="s">
        <v>15</v>
      </c>
      <c r="C40" s="3">
        <v>12325</v>
      </c>
      <c r="D40" s="3">
        <v>12334.5</v>
      </c>
      <c r="E40" s="3">
        <v>12222</v>
      </c>
      <c r="F40" s="3">
        <v>12302.3</v>
      </c>
      <c r="G40" s="3">
        <v>12250.05</v>
      </c>
      <c r="H40" s="3">
        <v>12243.8</v>
      </c>
      <c r="I40" s="3">
        <v>12278.48</v>
      </c>
      <c r="J40" s="3">
        <v>13680</v>
      </c>
      <c r="K40" s="3">
        <v>9506</v>
      </c>
      <c r="L40" s="4">
        <v>232805</v>
      </c>
      <c r="M40" s="3">
        <v>2858491488.5500002</v>
      </c>
      <c r="N40" s="4">
        <v>41863</v>
      </c>
      <c r="O40">
        <f t="shared" si="0"/>
        <v>-4.7552083756695904E-3</v>
      </c>
    </row>
    <row r="41" spans="1:15" ht="14.25" customHeight="1" x14ac:dyDescent="0.3">
      <c r="A41" s="2">
        <v>45531</v>
      </c>
      <c r="B41" t="s">
        <v>15</v>
      </c>
      <c r="C41" s="3">
        <v>12245</v>
      </c>
      <c r="D41" s="3">
        <v>12530</v>
      </c>
      <c r="E41" s="3">
        <v>12225.1</v>
      </c>
      <c r="F41" s="3">
        <v>12243.8</v>
      </c>
      <c r="G41" s="3">
        <v>12478</v>
      </c>
      <c r="H41" s="3">
        <v>12496.9</v>
      </c>
      <c r="I41" s="3">
        <v>12419.15</v>
      </c>
      <c r="J41" s="3">
        <v>13680</v>
      </c>
      <c r="K41" s="3">
        <v>9506</v>
      </c>
      <c r="L41" s="4">
        <v>477609</v>
      </c>
      <c r="M41" s="3">
        <v>5931500002.4499998</v>
      </c>
      <c r="N41" s="4">
        <v>60523</v>
      </c>
      <c r="O41">
        <f t="shared" si="0"/>
        <v>2.067168689459158E-2</v>
      </c>
    </row>
    <row r="42" spans="1:15" ht="14.25" customHeight="1" x14ac:dyDescent="0.3">
      <c r="A42" s="2">
        <v>45532</v>
      </c>
      <c r="B42" t="s">
        <v>15</v>
      </c>
      <c r="C42" s="3">
        <v>12500</v>
      </c>
      <c r="D42" s="3">
        <v>12519.95</v>
      </c>
      <c r="E42" s="3">
        <v>12330</v>
      </c>
      <c r="F42" s="3">
        <v>12496.9</v>
      </c>
      <c r="G42" s="3">
        <v>12330</v>
      </c>
      <c r="H42" s="3">
        <v>12357.5</v>
      </c>
      <c r="I42" s="3">
        <v>12393.31</v>
      </c>
      <c r="J42" s="3">
        <v>13680</v>
      </c>
      <c r="K42" s="3">
        <v>9506</v>
      </c>
      <c r="L42" s="4">
        <v>313227</v>
      </c>
      <c r="M42" s="3">
        <v>3881918785.5999999</v>
      </c>
      <c r="N42" s="4">
        <v>48109</v>
      </c>
      <c r="O42">
        <f t="shared" si="0"/>
        <v>-1.1154766382062723E-2</v>
      </c>
    </row>
    <row r="43" spans="1:15" ht="14.25" customHeight="1" x14ac:dyDescent="0.3">
      <c r="A43" s="2">
        <v>45533</v>
      </c>
      <c r="B43" t="s">
        <v>15</v>
      </c>
      <c r="C43" s="3">
        <v>12343</v>
      </c>
      <c r="D43" s="3">
        <v>12480</v>
      </c>
      <c r="E43" s="3">
        <v>12250</v>
      </c>
      <c r="F43" s="3">
        <v>12357.5</v>
      </c>
      <c r="G43" s="3">
        <v>12450</v>
      </c>
      <c r="H43" s="3">
        <v>12453.8</v>
      </c>
      <c r="I43" s="3">
        <v>12346.29</v>
      </c>
      <c r="J43" s="3">
        <v>13680</v>
      </c>
      <c r="K43" s="3">
        <v>9506</v>
      </c>
      <c r="L43" s="4">
        <v>608598</v>
      </c>
      <c r="M43" s="3">
        <v>7513925308</v>
      </c>
      <c r="N43" s="4">
        <v>77935</v>
      </c>
      <c r="O43">
        <f t="shared" si="0"/>
        <v>7.7928383572728526E-3</v>
      </c>
    </row>
    <row r="44" spans="1:15" ht="14.25" customHeight="1" x14ac:dyDescent="0.3">
      <c r="A44" s="2">
        <v>45534</v>
      </c>
      <c r="B44" t="s">
        <v>15</v>
      </c>
      <c r="C44" s="3">
        <v>12460</v>
      </c>
      <c r="D44" s="3">
        <v>12570</v>
      </c>
      <c r="E44" s="3">
        <v>12316.2</v>
      </c>
      <c r="F44" s="3">
        <v>12453.8</v>
      </c>
      <c r="G44" s="3">
        <v>12461.8</v>
      </c>
      <c r="H44" s="3">
        <v>12403</v>
      </c>
      <c r="I44" s="3">
        <v>12413.42</v>
      </c>
      <c r="J44" s="3">
        <v>13680</v>
      </c>
      <c r="K44" s="3">
        <v>9506</v>
      </c>
      <c r="L44" s="4">
        <v>2271179</v>
      </c>
      <c r="M44" s="3">
        <v>28193105736.650002</v>
      </c>
      <c r="N44" s="4">
        <v>113338</v>
      </c>
      <c r="O44">
        <f t="shared" si="0"/>
        <v>-4.0790762658786291E-3</v>
      </c>
    </row>
    <row r="45" spans="1:15" ht="14.25" customHeight="1" x14ac:dyDescent="0.3">
      <c r="A45" s="2">
        <v>45537</v>
      </c>
      <c r="B45" t="s">
        <v>15</v>
      </c>
      <c r="C45" s="3">
        <v>12373</v>
      </c>
      <c r="D45" s="3">
        <v>12525</v>
      </c>
      <c r="E45" s="3">
        <v>12350.4</v>
      </c>
      <c r="F45" s="3">
        <v>12403</v>
      </c>
      <c r="G45" s="3">
        <v>12425</v>
      </c>
      <c r="H45" s="3">
        <v>12427.4</v>
      </c>
      <c r="I45" s="3">
        <v>12426.24</v>
      </c>
      <c r="J45" s="3">
        <v>13680</v>
      </c>
      <c r="K45" s="3">
        <v>9737.65</v>
      </c>
      <c r="L45" s="4">
        <v>331514</v>
      </c>
      <c r="M45" s="3">
        <v>4119472422.3000002</v>
      </c>
      <c r="N45" s="4">
        <v>52645</v>
      </c>
      <c r="O45">
        <f t="shared" si="0"/>
        <v>1.9672659840360911E-3</v>
      </c>
    </row>
    <row r="46" spans="1:15" ht="14.25" customHeight="1" x14ac:dyDescent="0.3">
      <c r="A46" s="2">
        <v>45538</v>
      </c>
      <c r="B46" t="s">
        <v>15</v>
      </c>
      <c r="C46" s="3">
        <v>12474</v>
      </c>
      <c r="D46" s="3">
        <v>12474.3</v>
      </c>
      <c r="E46" s="3">
        <v>12359.9</v>
      </c>
      <c r="F46" s="3">
        <v>12427.4</v>
      </c>
      <c r="G46" s="3">
        <v>12390</v>
      </c>
      <c r="H46" s="3">
        <v>12397.1</v>
      </c>
      <c r="I46" s="3">
        <v>12409.04</v>
      </c>
      <c r="J46" s="3">
        <v>13680</v>
      </c>
      <c r="K46" s="3">
        <v>9737.65</v>
      </c>
      <c r="L46" s="4">
        <v>445514</v>
      </c>
      <c r="M46" s="3">
        <v>5528399620.8999996</v>
      </c>
      <c r="N46" s="4">
        <v>56211</v>
      </c>
      <c r="O46">
        <f t="shared" si="0"/>
        <v>-2.4381608381479048E-3</v>
      </c>
    </row>
    <row r="47" spans="1:15" ht="14.25" customHeight="1" x14ac:dyDescent="0.3">
      <c r="A47" s="2">
        <v>45539</v>
      </c>
      <c r="B47" t="s">
        <v>15</v>
      </c>
      <c r="C47" s="3">
        <v>12325.05</v>
      </c>
      <c r="D47" s="3">
        <v>12398</v>
      </c>
      <c r="E47" s="3">
        <v>12234.1</v>
      </c>
      <c r="F47" s="3">
        <v>12397.1</v>
      </c>
      <c r="G47" s="3">
        <v>12370</v>
      </c>
      <c r="H47" s="3">
        <v>12336.25</v>
      </c>
      <c r="I47" s="3">
        <v>12314.66</v>
      </c>
      <c r="J47" s="3">
        <v>13680</v>
      </c>
      <c r="K47" s="3">
        <v>9737.65</v>
      </c>
      <c r="L47" s="4">
        <v>735076</v>
      </c>
      <c r="M47" s="3">
        <v>9052208609.25</v>
      </c>
      <c r="N47" s="4">
        <v>79704</v>
      </c>
      <c r="O47">
        <f t="shared" si="0"/>
        <v>-4.9084059981770222E-3</v>
      </c>
    </row>
    <row r="48" spans="1:15" ht="14.25" customHeight="1" x14ac:dyDescent="0.3">
      <c r="A48" s="2">
        <v>45540</v>
      </c>
      <c r="B48" t="s">
        <v>15</v>
      </c>
      <c r="C48" s="3">
        <v>12337</v>
      </c>
      <c r="D48" s="3">
        <v>12370</v>
      </c>
      <c r="E48" s="3">
        <v>12230</v>
      </c>
      <c r="F48" s="3">
        <v>12336.25</v>
      </c>
      <c r="G48" s="3">
        <v>12300</v>
      </c>
      <c r="H48" s="3">
        <v>12298.6</v>
      </c>
      <c r="I48" s="3">
        <v>12284.88</v>
      </c>
      <c r="J48" s="3">
        <v>13680</v>
      </c>
      <c r="K48" s="3">
        <v>9737.65</v>
      </c>
      <c r="L48" s="4">
        <v>595865</v>
      </c>
      <c r="M48" s="3">
        <v>7320127826.3500004</v>
      </c>
      <c r="N48" s="4">
        <v>72135</v>
      </c>
      <c r="O48">
        <f t="shared" si="0"/>
        <v>-3.0519809504508774E-3</v>
      </c>
    </row>
    <row r="49" spans="1:15" ht="14.25" customHeight="1" x14ac:dyDescent="0.3">
      <c r="A49" s="2">
        <v>45541</v>
      </c>
      <c r="B49" t="s">
        <v>15</v>
      </c>
      <c r="C49" s="3">
        <v>12250</v>
      </c>
      <c r="D49" s="3">
        <v>12304.85</v>
      </c>
      <c r="E49" s="3">
        <v>12094.7</v>
      </c>
      <c r="F49" s="3">
        <v>12298.6</v>
      </c>
      <c r="G49" s="3">
        <v>12251</v>
      </c>
      <c r="H49" s="3">
        <v>12186.15</v>
      </c>
      <c r="I49" s="3">
        <v>12176.28</v>
      </c>
      <c r="J49" s="3">
        <v>13680</v>
      </c>
      <c r="K49" s="3">
        <v>9737.65</v>
      </c>
      <c r="L49" s="4">
        <v>733354</v>
      </c>
      <c r="M49" s="3">
        <v>8929525991.0499992</v>
      </c>
      <c r="N49" s="4">
        <v>91896</v>
      </c>
      <c r="O49">
        <f t="shared" si="0"/>
        <v>-9.143317125526542E-3</v>
      </c>
    </row>
    <row r="50" spans="1:15" ht="14.25" customHeight="1" x14ac:dyDescent="0.3">
      <c r="A50" s="2">
        <v>45544</v>
      </c>
      <c r="B50" t="s">
        <v>15</v>
      </c>
      <c r="C50" s="3">
        <v>12197.5</v>
      </c>
      <c r="D50" s="3">
        <v>12219.85</v>
      </c>
      <c r="E50" s="3">
        <v>12102</v>
      </c>
      <c r="F50" s="3">
        <v>12186.15</v>
      </c>
      <c r="G50" s="3">
        <v>12148</v>
      </c>
      <c r="H50" s="3">
        <v>12145.75</v>
      </c>
      <c r="I50" s="3">
        <v>12146.75</v>
      </c>
      <c r="J50" s="3">
        <v>13680</v>
      </c>
      <c r="K50" s="3">
        <v>9737.65</v>
      </c>
      <c r="L50" s="4">
        <v>415790</v>
      </c>
      <c r="M50" s="3">
        <v>5050497820.5</v>
      </c>
      <c r="N50" s="4">
        <v>52974</v>
      </c>
      <c r="O50">
        <f t="shared" si="0"/>
        <v>-3.3152390213479761E-3</v>
      </c>
    </row>
    <row r="51" spans="1:15" ht="14.25" customHeight="1" x14ac:dyDescent="0.3">
      <c r="A51" s="2">
        <v>45545</v>
      </c>
      <c r="B51" t="s">
        <v>15</v>
      </c>
      <c r="C51" s="3">
        <v>12150.1</v>
      </c>
      <c r="D51" s="3">
        <v>12288.05</v>
      </c>
      <c r="E51" s="3">
        <v>12098</v>
      </c>
      <c r="F51" s="3">
        <v>12145.75</v>
      </c>
      <c r="G51" s="3">
        <v>12278.9</v>
      </c>
      <c r="H51" s="3">
        <v>12263.4</v>
      </c>
      <c r="I51" s="3">
        <v>12185.57</v>
      </c>
      <c r="J51" s="3">
        <v>13680</v>
      </c>
      <c r="K51" s="3">
        <v>9737.65</v>
      </c>
      <c r="L51" s="4">
        <v>285122</v>
      </c>
      <c r="M51" s="3">
        <v>3474373260.3499999</v>
      </c>
      <c r="N51" s="4">
        <v>47400</v>
      </c>
      <c r="O51">
        <f t="shared" si="0"/>
        <v>9.686515859456981E-3</v>
      </c>
    </row>
    <row r="52" spans="1:15" ht="14.25" customHeight="1" x14ac:dyDescent="0.3">
      <c r="A52" s="2">
        <v>45546</v>
      </c>
      <c r="B52" t="s">
        <v>15</v>
      </c>
      <c r="C52" s="3">
        <v>12260</v>
      </c>
      <c r="D52" s="3">
        <v>12334</v>
      </c>
      <c r="E52" s="3">
        <v>12165</v>
      </c>
      <c r="F52" s="3">
        <v>12263.4</v>
      </c>
      <c r="G52" s="3">
        <v>12260.55</v>
      </c>
      <c r="H52" s="3">
        <v>12242.6</v>
      </c>
      <c r="I52" s="3">
        <v>12254.75</v>
      </c>
      <c r="J52" s="3">
        <v>13680</v>
      </c>
      <c r="K52" s="3">
        <v>9737.65</v>
      </c>
      <c r="L52" s="4">
        <v>349799</v>
      </c>
      <c r="M52" s="3">
        <v>4286697621.25</v>
      </c>
      <c r="N52" s="4">
        <v>59970</v>
      </c>
      <c r="O52">
        <f t="shared" si="0"/>
        <v>-1.6961038537436008E-3</v>
      </c>
    </row>
    <row r="53" spans="1:15" ht="14.25" customHeight="1" x14ac:dyDescent="0.3">
      <c r="A53" s="2">
        <v>45547</v>
      </c>
      <c r="B53" t="s">
        <v>15</v>
      </c>
      <c r="C53" s="3">
        <v>12262.1</v>
      </c>
      <c r="D53" s="3">
        <v>12427</v>
      </c>
      <c r="E53" s="3">
        <v>12151.35</v>
      </c>
      <c r="F53" s="3">
        <v>12242.6</v>
      </c>
      <c r="G53" s="3">
        <v>12375</v>
      </c>
      <c r="H53" s="3">
        <v>12400.85</v>
      </c>
      <c r="I53" s="3">
        <v>12292.95</v>
      </c>
      <c r="J53" s="3">
        <v>13680</v>
      </c>
      <c r="K53" s="3">
        <v>9737.65</v>
      </c>
      <c r="L53" s="4">
        <v>547830</v>
      </c>
      <c r="M53" s="3">
        <v>6734445068.9499998</v>
      </c>
      <c r="N53" s="4">
        <v>78307</v>
      </c>
      <c r="O53">
        <f t="shared" si="0"/>
        <v>1.2926175812327446E-2</v>
      </c>
    </row>
    <row r="54" spans="1:15" ht="14.25" customHeight="1" x14ac:dyDescent="0.3">
      <c r="A54" s="2">
        <v>45548</v>
      </c>
      <c r="B54" t="s">
        <v>15</v>
      </c>
      <c r="C54" s="3">
        <v>12365</v>
      </c>
      <c r="D54" s="3">
        <v>12395</v>
      </c>
      <c r="E54" s="3">
        <v>12291.05</v>
      </c>
      <c r="F54" s="3">
        <v>12400.85</v>
      </c>
      <c r="G54" s="3">
        <v>12308.55</v>
      </c>
      <c r="H54" s="3">
        <v>12316.05</v>
      </c>
      <c r="I54" s="3">
        <v>12326.08</v>
      </c>
      <c r="J54" s="3">
        <v>13680</v>
      </c>
      <c r="K54" s="3">
        <v>9737.65</v>
      </c>
      <c r="L54" s="4">
        <v>361093</v>
      </c>
      <c r="M54" s="3">
        <v>4450861000.1999998</v>
      </c>
      <c r="N54" s="4">
        <v>55312</v>
      </c>
      <c r="O54">
        <f t="shared" si="0"/>
        <v>-6.8382409270333153E-3</v>
      </c>
    </row>
    <row r="55" spans="1:15" ht="14.25" customHeight="1" x14ac:dyDescent="0.3">
      <c r="A55" s="2">
        <v>45551</v>
      </c>
      <c r="B55" t="s">
        <v>15</v>
      </c>
      <c r="C55" s="3">
        <v>12321.95</v>
      </c>
      <c r="D55" s="3">
        <v>12364</v>
      </c>
      <c r="E55" s="3">
        <v>12256</v>
      </c>
      <c r="F55" s="3">
        <v>12316.05</v>
      </c>
      <c r="G55" s="3">
        <v>12275</v>
      </c>
      <c r="H55" s="3">
        <v>12289</v>
      </c>
      <c r="I55" s="3">
        <v>12299.05</v>
      </c>
      <c r="J55" s="3">
        <v>13680</v>
      </c>
      <c r="K55" s="3">
        <v>9737.65</v>
      </c>
      <c r="L55" s="4">
        <v>170114</v>
      </c>
      <c r="M55" s="3">
        <v>2092240213.3499999</v>
      </c>
      <c r="N55" s="4">
        <v>26578</v>
      </c>
      <c r="O55">
        <f t="shared" si="0"/>
        <v>-2.1963210607296394E-3</v>
      </c>
    </row>
    <row r="56" spans="1:15" ht="14.25" customHeight="1" x14ac:dyDescent="0.3">
      <c r="A56" s="2">
        <v>45552</v>
      </c>
      <c r="B56" t="s">
        <v>15</v>
      </c>
      <c r="C56" s="3">
        <v>12285</v>
      </c>
      <c r="D56" s="3">
        <v>12285</v>
      </c>
      <c r="E56" s="3">
        <v>12151.65</v>
      </c>
      <c r="F56" s="3">
        <v>12289</v>
      </c>
      <c r="G56" s="3">
        <v>12251.25</v>
      </c>
      <c r="H56" s="3">
        <v>12245.75</v>
      </c>
      <c r="I56" s="3">
        <v>12206.81</v>
      </c>
      <c r="J56" s="3">
        <v>13680</v>
      </c>
      <c r="K56" s="3">
        <v>9737.65</v>
      </c>
      <c r="L56" s="4">
        <v>568161</v>
      </c>
      <c r="M56" s="3">
        <v>6935432744.5</v>
      </c>
      <c r="N56" s="4">
        <v>52581</v>
      </c>
      <c r="O56">
        <f t="shared" si="0"/>
        <v>-3.5194076002929447E-3</v>
      </c>
    </row>
    <row r="57" spans="1:15" ht="14.25" customHeight="1" x14ac:dyDescent="0.3">
      <c r="A57" s="2">
        <v>45553</v>
      </c>
      <c r="B57" t="s">
        <v>15</v>
      </c>
      <c r="C57" s="3">
        <v>12240.05</v>
      </c>
      <c r="D57" s="3">
        <v>12337.95</v>
      </c>
      <c r="E57" s="3">
        <v>12170</v>
      </c>
      <c r="F57" s="3">
        <v>12245.75</v>
      </c>
      <c r="G57" s="3">
        <v>12170</v>
      </c>
      <c r="H57" s="3">
        <v>12204.1</v>
      </c>
      <c r="I57" s="3">
        <v>12248.61</v>
      </c>
      <c r="J57" s="3">
        <v>13680</v>
      </c>
      <c r="K57" s="3">
        <v>9737.65</v>
      </c>
      <c r="L57" s="4">
        <v>182282</v>
      </c>
      <c r="M57" s="3">
        <v>2232701567.8499999</v>
      </c>
      <c r="N57" s="4">
        <v>31562</v>
      </c>
      <c r="O57">
        <f t="shared" si="0"/>
        <v>-3.401180001224885E-3</v>
      </c>
    </row>
    <row r="58" spans="1:15" ht="14.25" customHeight="1" x14ac:dyDescent="0.3">
      <c r="A58" s="2">
        <v>45554</v>
      </c>
      <c r="B58" t="s">
        <v>15</v>
      </c>
      <c r="C58" s="3">
        <v>12259.95</v>
      </c>
      <c r="D58" s="3">
        <v>12410</v>
      </c>
      <c r="E58" s="3">
        <v>12206.4</v>
      </c>
      <c r="F58" s="3">
        <v>12204.1</v>
      </c>
      <c r="G58" s="3">
        <v>12329.05</v>
      </c>
      <c r="H58" s="3">
        <v>12351.5</v>
      </c>
      <c r="I58" s="3">
        <v>12343.79</v>
      </c>
      <c r="J58" s="3">
        <v>13680</v>
      </c>
      <c r="K58" s="3">
        <v>9737.65</v>
      </c>
      <c r="L58" s="4">
        <v>465608</v>
      </c>
      <c r="M58" s="3">
        <v>5747368310.1499996</v>
      </c>
      <c r="N58" s="4">
        <v>73078</v>
      </c>
      <c r="O58">
        <f t="shared" si="0"/>
        <v>1.2077908243950773E-2</v>
      </c>
    </row>
    <row r="59" spans="1:15" ht="14.25" customHeight="1" x14ac:dyDescent="0.3">
      <c r="A59" s="2">
        <v>45555</v>
      </c>
      <c r="B59" t="s">
        <v>15</v>
      </c>
      <c r="C59" s="3">
        <v>12360.4</v>
      </c>
      <c r="D59" s="3">
        <v>12705.15</v>
      </c>
      <c r="E59" s="3">
        <v>12360.05</v>
      </c>
      <c r="F59" s="3">
        <v>12351.5</v>
      </c>
      <c r="G59" s="3">
        <v>12619.9</v>
      </c>
      <c r="H59" s="3">
        <v>12614.5</v>
      </c>
      <c r="I59" s="3">
        <v>12599.01</v>
      </c>
      <c r="J59" s="3">
        <v>13680</v>
      </c>
      <c r="K59" s="3">
        <v>9737.65</v>
      </c>
      <c r="L59" s="4">
        <v>875654</v>
      </c>
      <c r="M59" s="3">
        <v>11032373210.85</v>
      </c>
      <c r="N59" s="4">
        <v>115129</v>
      </c>
      <c r="O59">
        <f t="shared" si="0"/>
        <v>2.1292960369185928E-2</v>
      </c>
    </row>
    <row r="60" spans="1:15" ht="14.25" customHeight="1" x14ac:dyDescent="0.3">
      <c r="A60" s="2">
        <v>45558</v>
      </c>
      <c r="B60" t="s">
        <v>15</v>
      </c>
      <c r="C60" s="3">
        <v>12625</v>
      </c>
      <c r="D60" s="3">
        <v>12749</v>
      </c>
      <c r="E60" s="3">
        <v>12625</v>
      </c>
      <c r="F60" s="3">
        <v>12614.5</v>
      </c>
      <c r="G60" s="3">
        <v>12667.2</v>
      </c>
      <c r="H60" s="3">
        <v>12683.1</v>
      </c>
      <c r="I60" s="3">
        <v>12691.05</v>
      </c>
      <c r="J60" s="3">
        <v>13680</v>
      </c>
      <c r="K60" s="3">
        <v>9737.65</v>
      </c>
      <c r="L60" s="4">
        <v>235586</v>
      </c>
      <c r="M60" s="3">
        <v>2989833690.3499999</v>
      </c>
      <c r="N60" s="4">
        <v>38677</v>
      </c>
      <c r="O60">
        <f t="shared" si="0"/>
        <v>5.4381862142772498E-3</v>
      </c>
    </row>
    <row r="61" spans="1:15" ht="14.25" customHeight="1" x14ac:dyDescent="0.3">
      <c r="A61" s="2">
        <v>45559</v>
      </c>
      <c r="B61" t="s">
        <v>15</v>
      </c>
      <c r="C61" s="3">
        <v>12583.1</v>
      </c>
      <c r="D61" s="3">
        <v>12778.95</v>
      </c>
      <c r="E61" s="3">
        <v>12583.1</v>
      </c>
      <c r="F61" s="3">
        <v>12683.1</v>
      </c>
      <c r="G61" s="3">
        <v>12732.35</v>
      </c>
      <c r="H61" s="3">
        <v>12738.6</v>
      </c>
      <c r="I61" s="3">
        <v>12710.2</v>
      </c>
      <c r="J61" s="3">
        <v>13680</v>
      </c>
      <c r="K61" s="3">
        <v>9737.65</v>
      </c>
      <c r="L61" s="4">
        <v>425916</v>
      </c>
      <c r="M61" s="3">
        <v>5413477306.8999996</v>
      </c>
      <c r="N61" s="4">
        <v>59143</v>
      </c>
      <c r="O61">
        <f t="shared" si="0"/>
        <v>4.3759017905717059E-3</v>
      </c>
    </row>
    <row r="62" spans="1:15" ht="14.25" customHeight="1" x14ac:dyDescent="0.3">
      <c r="A62" s="2">
        <v>45560</v>
      </c>
      <c r="B62" t="s">
        <v>15</v>
      </c>
      <c r="C62" s="3">
        <v>12727.25</v>
      </c>
      <c r="D62" s="3">
        <v>12816.2</v>
      </c>
      <c r="E62" s="3">
        <v>12611</v>
      </c>
      <c r="F62" s="3">
        <v>12738.6</v>
      </c>
      <c r="G62" s="3">
        <v>12774.75</v>
      </c>
      <c r="H62" s="3">
        <v>12785.3</v>
      </c>
      <c r="I62" s="3">
        <v>12725.35</v>
      </c>
      <c r="J62" s="3">
        <v>13680</v>
      </c>
      <c r="K62" s="3">
        <v>9737.65</v>
      </c>
      <c r="L62" s="4">
        <v>341172</v>
      </c>
      <c r="M62" s="3">
        <v>4341532486.0500002</v>
      </c>
      <c r="N62" s="4">
        <v>47231</v>
      </c>
      <c r="O62">
        <f t="shared" si="0"/>
        <v>3.666022953856696E-3</v>
      </c>
    </row>
    <row r="63" spans="1:15" ht="14.25" customHeight="1" x14ac:dyDescent="0.3">
      <c r="A63" s="2">
        <v>45561</v>
      </c>
      <c r="B63" t="s">
        <v>15</v>
      </c>
      <c r="C63" s="3">
        <v>12835</v>
      </c>
      <c r="D63" s="3">
        <v>13411</v>
      </c>
      <c r="E63" s="3">
        <v>12830</v>
      </c>
      <c r="F63" s="3">
        <v>12785.3</v>
      </c>
      <c r="G63" s="3">
        <v>13358.65</v>
      </c>
      <c r="H63" s="3">
        <v>13383.8</v>
      </c>
      <c r="I63" s="3">
        <v>13239.08</v>
      </c>
      <c r="J63" s="3">
        <v>13680</v>
      </c>
      <c r="K63" s="3">
        <v>9737.65</v>
      </c>
      <c r="L63" s="4">
        <v>1471069</v>
      </c>
      <c r="M63" s="3">
        <v>19475606621.049999</v>
      </c>
      <c r="N63" s="4">
        <v>184004</v>
      </c>
      <c r="O63">
        <f t="shared" si="0"/>
        <v>4.6811572665483019E-2</v>
      </c>
    </row>
    <row r="64" spans="1:15" ht="14.25" customHeight="1" x14ac:dyDescent="0.3">
      <c r="A64" s="2">
        <v>45562</v>
      </c>
      <c r="B64" t="s">
        <v>15</v>
      </c>
      <c r="C64" s="3">
        <v>13383</v>
      </c>
      <c r="D64" s="3">
        <v>13541.65</v>
      </c>
      <c r="E64" s="3">
        <v>13274.45</v>
      </c>
      <c r="F64" s="3">
        <v>13383.8</v>
      </c>
      <c r="G64" s="3">
        <v>13456.6</v>
      </c>
      <c r="H64" s="3">
        <v>13495.6</v>
      </c>
      <c r="I64" s="3">
        <v>13460.91</v>
      </c>
      <c r="J64" s="3">
        <v>13680</v>
      </c>
      <c r="K64" s="3">
        <v>9737.65</v>
      </c>
      <c r="L64" s="4">
        <v>865698</v>
      </c>
      <c r="M64" s="3">
        <v>11653087003.85</v>
      </c>
      <c r="N64" s="4">
        <v>112769</v>
      </c>
      <c r="O64">
        <f t="shared" si="0"/>
        <v>8.3533824474365352E-3</v>
      </c>
    </row>
    <row r="65" spans="1:15" ht="14.25" customHeight="1" x14ac:dyDescent="0.3">
      <c r="A65" s="2">
        <v>45565</v>
      </c>
      <c r="B65" t="s">
        <v>15</v>
      </c>
      <c r="C65" s="3">
        <v>13343.55</v>
      </c>
      <c r="D65" s="3">
        <v>13500</v>
      </c>
      <c r="E65" s="3">
        <v>13208.7</v>
      </c>
      <c r="F65" s="3">
        <v>13495.6</v>
      </c>
      <c r="G65" s="3">
        <v>13246.7</v>
      </c>
      <c r="H65" s="3">
        <v>13238</v>
      </c>
      <c r="I65" s="3">
        <v>13348.67</v>
      </c>
      <c r="J65" s="3">
        <v>13680</v>
      </c>
      <c r="K65" s="3">
        <v>9737.65</v>
      </c>
      <c r="L65" s="4">
        <v>415743</v>
      </c>
      <c r="M65" s="3">
        <v>5549616171.4499998</v>
      </c>
      <c r="N65" s="4">
        <v>67884</v>
      </c>
      <c r="O65">
        <f t="shared" si="0"/>
        <v>-1.9087702658644325E-2</v>
      </c>
    </row>
    <row r="66" spans="1:15" ht="14.25" customHeight="1" x14ac:dyDescent="0.3">
      <c r="A66" s="2">
        <v>45566</v>
      </c>
      <c r="B66" t="s">
        <v>15</v>
      </c>
      <c r="C66" s="3">
        <v>13238</v>
      </c>
      <c r="D66" s="3">
        <v>13300.45</v>
      </c>
      <c r="E66" s="3">
        <v>13000.05</v>
      </c>
      <c r="F66" s="3">
        <v>13238</v>
      </c>
      <c r="G66" s="3">
        <v>13148</v>
      </c>
      <c r="H66" s="3">
        <v>13166</v>
      </c>
      <c r="I66" s="3">
        <v>13122.3</v>
      </c>
      <c r="J66" s="3">
        <v>13680</v>
      </c>
      <c r="K66" s="3">
        <v>9737.65</v>
      </c>
      <c r="L66" s="4">
        <v>388888</v>
      </c>
      <c r="M66" s="3">
        <v>5103103288.5</v>
      </c>
      <c r="N66" s="4">
        <v>65952</v>
      </c>
      <c r="O66">
        <f t="shared" si="0"/>
        <v>-5.4388880495543131E-3</v>
      </c>
    </row>
    <row r="67" spans="1:15" ht="14.25" customHeight="1" x14ac:dyDescent="0.3">
      <c r="A67" s="2">
        <v>45568</v>
      </c>
      <c r="B67" t="s">
        <v>15</v>
      </c>
      <c r="C67" s="3">
        <v>12941.05</v>
      </c>
      <c r="D67" s="3">
        <v>13148</v>
      </c>
      <c r="E67" s="3">
        <v>12592.3</v>
      </c>
      <c r="F67" s="3">
        <v>13166</v>
      </c>
      <c r="G67" s="3">
        <v>12699</v>
      </c>
      <c r="H67" s="3">
        <v>12647.35</v>
      </c>
      <c r="I67" s="3">
        <v>12779.56</v>
      </c>
      <c r="J67" s="3">
        <v>13680</v>
      </c>
      <c r="K67" s="3">
        <v>9737.65</v>
      </c>
      <c r="L67" s="4">
        <v>863520</v>
      </c>
      <c r="M67" s="3">
        <v>11035404864.5</v>
      </c>
      <c r="N67" s="4">
        <v>151765</v>
      </c>
      <c r="O67">
        <f t="shared" ref="O67:O130" si="1">(H67-H66)/H66</f>
        <v>-3.9393133829560965E-2</v>
      </c>
    </row>
    <row r="68" spans="1:15" ht="14.25" customHeight="1" x14ac:dyDescent="0.3">
      <c r="A68" s="2">
        <v>45569</v>
      </c>
      <c r="B68" t="s">
        <v>15</v>
      </c>
      <c r="C68" s="3">
        <v>12689.9</v>
      </c>
      <c r="D68" s="3">
        <v>12877.85</v>
      </c>
      <c r="E68" s="3">
        <v>12512.5</v>
      </c>
      <c r="F68" s="3">
        <v>12647.35</v>
      </c>
      <c r="G68" s="3">
        <v>12603</v>
      </c>
      <c r="H68" s="3">
        <v>12605.75</v>
      </c>
      <c r="I68" s="3">
        <v>12668.27</v>
      </c>
      <c r="J68" s="3">
        <v>13680</v>
      </c>
      <c r="K68" s="3">
        <v>9737.65</v>
      </c>
      <c r="L68" s="4">
        <v>679362</v>
      </c>
      <c r="M68" s="3">
        <v>8606341316.75</v>
      </c>
      <c r="N68" s="4">
        <v>139069</v>
      </c>
      <c r="O68">
        <f t="shared" si="1"/>
        <v>-3.2892265968760539E-3</v>
      </c>
    </row>
    <row r="69" spans="1:15" ht="14.25" customHeight="1" x14ac:dyDescent="0.3">
      <c r="A69" s="2">
        <v>45572</v>
      </c>
      <c r="B69" t="s">
        <v>15</v>
      </c>
      <c r="C69" s="3">
        <v>12626.05</v>
      </c>
      <c r="D69" s="3">
        <v>12648</v>
      </c>
      <c r="E69" s="3">
        <v>12378</v>
      </c>
      <c r="F69" s="3">
        <v>12605.75</v>
      </c>
      <c r="G69" s="3">
        <v>12541</v>
      </c>
      <c r="H69" s="3">
        <v>12527.5</v>
      </c>
      <c r="I69" s="3">
        <v>12516.31</v>
      </c>
      <c r="J69" s="3">
        <v>13680</v>
      </c>
      <c r="K69" s="3">
        <v>9737.65</v>
      </c>
      <c r="L69" s="4">
        <v>465500</v>
      </c>
      <c r="M69" s="3">
        <v>5826342143.8500004</v>
      </c>
      <c r="N69" s="4">
        <v>72300</v>
      </c>
      <c r="O69">
        <f t="shared" si="1"/>
        <v>-6.2074846796104956E-3</v>
      </c>
    </row>
    <row r="70" spans="1:15" ht="14.25" customHeight="1" x14ac:dyDescent="0.3">
      <c r="A70" s="2">
        <v>45573</v>
      </c>
      <c r="B70" t="s">
        <v>15</v>
      </c>
      <c r="C70" s="3">
        <v>12502.25</v>
      </c>
      <c r="D70" s="3">
        <v>12630.1</v>
      </c>
      <c r="E70" s="3">
        <v>12462.05</v>
      </c>
      <c r="F70" s="3">
        <v>12527.5</v>
      </c>
      <c r="G70" s="3">
        <v>12540.05</v>
      </c>
      <c r="H70" s="3">
        <v>12531.95</v>
      </c>
      <c r="I70" s="3">
        <v>12532.18</v>
      </c>
      <c r="J70" s="3">
        <v>13680</v>
      </c>
      <c r="K70" s="3">
        <v>9737.65</v>
      </c>
      <c r="L70" s="4">
        <v>387060</v>
      </c>
      <c r="M70" s="3">
        <v>4850706431.1000004</v>
      </c>
      <c r="N70" s="4">
        <v>55133</v>
      </c>
      <c r="O70">
        <f t="shared" si="1"/>
        <v>3.5521851925769129E-4</v>
      </c>
    </row>
    <row r="71" spans="1:15" ht="14.25" customHeight="1" x14ac:dyDescent="0.3">
      <c r="A71" s="2">
        <v>45574</v>
      </c>
      <c r="B71" t="s">
        <v>15</v>
      </c>
      <c r="C71" s="3">
        <v>12554.95</v>
      </c>
      <c r="D71" s="3">
        <v>12850</v>
      </c>
      <c r="E71" s="3">
        <v>12540.5</v>
      </c>
      <c r="F71" s="3">
        <v>12531.95</v>
      </c>
      <c r="G71" s="3">
        <v>12741.1</v>
      </c>
      <c r="H71" s="3">
        <v>12760.7</v>
      </c>
      <c r="I71" s="3">
        <v>12744.49</v>
      </c>
      <c r="J71" s="3">
        <v>13680</v>
      </c>
      <c r="K71" s="3">
        <v>9737.65</v>
      </c>
      <c r="L71" s="4">
        <v>465231</v>
      </c>
      <c r="M71" s="3">
        <v>5929133201.6999998</v>
      </c>
      <c r="N71" s="4">
        <v>63644</v>
      </c>
      <c r="O71">
        <f t="shared" si="1"/>
        <v>1.8253344451581756E-2</v>
      </c>
    </row>
    <row r="72" spans="1:15" ht="14.25" customHeight="1" x14ac:dyDescent="0.3">
      <c r="A72" s="2">
        <v>45575</v>
      </c>
      <c r="B72" t="s">
        <v>15</v>
      </c>
      <c r="C72" s="3">
        <v>12798.9</v>
      </c>
      <c r="D72" s="3">
        <v>12965</v>
      </c>
      <c r="E72" s="3">
        <v>12711.5</v>
      </c>
      <c r="F72" s="3">
        <v>12760.7</v>
      </c>
      <c r="G72" s="3">
        <v>12935</v>
      </c>
      <c r="H72" s="3">
        <v>12944.1</v>
      </c>
      <c r="I72" s="3">
        <v>12872.11</v>
      </c>
      <c r="J72" s="3">
        <v>13680</v>
      </c>
      <c r="K72" s="3">
        <v>9737.65</v>
      </c>
      <c r="L72" s="4">
        <v>492698</v>
      </c>
      <c r="M72" s="3">
        <v>6342063492.6999998</v>
      </c>
      <c r="N72" s="4">
        <v>100100</v>
      </c>
      <c r="O72">
        <f t="shared" si="1"/>
        <v>1.4372252305907954E-2</v>
      </c>
    </row>
    <row r="73" spans="1:15" ht="14.25" customHeight="1" x14ac:dyDescent="0.3">
      <c r="A73" s="2">
        <v>45576</v>
      </c>
      <c r="B73" t="s">
        <v>15</v>
      </c>
      <c r="C73" s="3">
        <v>12944.1</v>
      </c>
      <c r="D73" s="3">
        <v>12980</v>
      </c>
      <c r="E73" s="3">
        <v>12725</v>
      </c>
      <c r="F73" s="3">
        <v>12944.1</v>
      </c>
      <c r="G73" s="3">
        <v>12792.1</v>
      </c>
      <c r="H73" s="3">
        <v>12776.65</v>
      </c>
      <c r="I73" s="3">
        <v>12834.53</v>
      </c>
      <c r="J73" s="3">
        <v>13680</v>
      </c>
      <c r="K73" s="3">
        <v>9737.65</v>
      </c>
      <c r="L73" s="4">
        <v>274243</v>
      </c>
      <c r="M73" s="3">
        <v>3519779381.6500001</v>
      </c>
      <c r="N73" s="4">
        <v>67576</v>
      </c>
      <c r="O73">
        <f t="shared" si="1"/>
        <v>-1.2936395732418686E-2</v>
      </c>
    </row>
    <row r="74" spans="1:15" ht="14.25" customHeight="1" x14ac:dyDescent="0.3">
      <c r="A74" s="2">
        <v>45579</v>
      </c>
      <c r="B74" t="s">
        <v>15</v>
      </c>
      <c r="C74" s="3">
        <v>12775</v>
      </c>
      <c r="D74" s="3">
        <v>12799</v>
      </c>
      <c r="E74" s="3">
        <v>12462.3</v>
      </c>
      <c r="F74" s="3">
        <v>12776.65</v>
      </c>
      <c r="G74" s="3">
        <v>12551</v>
      </c>
      <c r="H74" s="3">
        <v>12537.85</v>
      </c>
      <c r="I74" s="3">
        <v>12584.76</v>
      </c>
      <c r="J74" s="3">
        <v>13680</v>
      </c>
      <c r="K74" s="3">
        <v>9737.65</v>
      </c>
      <c r="L74" s="4">
        <v>488067</v>
      </c>
      <c r="M74" s="3">
        <v>6142204005.8000002</v>
      </c>
      <c r="N74" s="4">
        <v>82037</v>
      </c>
      <c r="O74">
        <f t="shared" si="1"/>
        <v>-1.8690345278300595E-2</v>
      </c>
    </row>
    <row r="75" spans="1:15" ht="14.25" customHeight="1" x14ac:dyDescent="0.3">
      <c r="A75" s="2">
        <v>45580</v>
      </c>
      <c r="B75" t="s">
        <v>15</v>
      </c>
      <c r="C75" s="3">
        <v>12709</v>
      </c>
      <c r="D75" s="3">
        <v>12709</v>
      </c>
      <c r="E75" s="3">
        <v>12355</v>
      </c>
      <c r="F75" s="3">
        <v>12537.85</v>
      </c>
      <c r="G75" s="3">
        <v>12450</v>
      </c>
      <c r="H75" s="3">
        <v>12446.75</v>
      </c>
      <c r="I75" s="3">
        <v>12451.12</v>
      </c>
      <c r="J75" s="3">
        <v>13680</v>
      </c>
      <c r="K75" s="3">
        <v>9737.65</v>
      </c>
      <c r="L75" s="4">
        <v>532135</v>
      </c>
      <c r="M75" s="3">
        <v>6625675777.6000004</v>
      </c>
      <c r="N75" s="4">
        <v>66774</v>
      </c>
      <c r="O75">
        <f t="shared" si="1"/>
        <v>-7.2659985563713362E-3</v>
      </c>
    </row>
    <row r="76" spans="1:15" ht="14.25" customHeight="1" x14ac:dyDescent="0.3">
      <c r="A76" s="2">
        <v>45581</v>
      </c>
      <c r="B76" t="s">
        <v>15</v>
      </c>
      <c r="C76" s="3">
        <v>12414.05</v>
      </c>
      <c r="D76" s="3">
        <v>12454.95</v>
      </c>
      <c r="E76" s="3">
        <v>12231</v>
      </c>
      <c r="F76" s="3">
        <v>12446.75</v>
      </c>
      <c r="G76" s="3">
        <v>12367.85</v>
      </c>
      <c r="H76" s="3">
        <v>12383.9</v>
      </c>
      <c r="I76" s="3">
        <v>12332.42</v>
      </c>
      <c r="J76" s="3">
        <v>13680</v>
      </c>
      <c r="K76" s="3">
        <v>9737.65</v>
      </c>
      <c r="L76" s="4">
        <v>418138</v>
      </c>
      <c r="M76" s="3">
        <v>5156655371</v>
      </c>
      <c r="N76" s="4">
        <v>76630</v>
      </c>
      <c r="O76">
        <f t="shared" si="1"/>
        <v>-5.0495109165043378E-3</v>
      </c>
    </row>
    <row r="77" spans="1:15" ht="14.25" customHeight="1" x14ac:dyDescent="0.3">
      <c r="A77" s="2">
        <v>45582</v>
      </c>
      <c r="B77" t="s">
        <v>15</v>
      </c>
      <c r="C77" s="3">
        <v>12400</v>
      </c>
      <c r="D77" s="3">
        <v>12420.1</v>
      </c>
      <c r="E77" s="3">
        <v>12070</v>
      </c>
      <c r="F77" s="3">
        <v>12383.9</v>
      </c>
      <c r="G77" s="3">
        <v>12108</v>
      </c>
      <c r="H77" s="3">
        <v>12143.75</v>
      </c>
      <c r="I77" s="3">
        <v>12129.01</v>
      </c>
      <c r="J77" s="3">
        <v>13680</v>
      </c>
      <c r="K77" s="3">
        <v>9737.65</v>
      </c>
      <c r="L77" s="4">
        <v>875937</v>
      </c>
      <c r="M77" s="3">
        <v>10624247294.75</v>
      </c>
      <c r="N77" s="4">
        <v>112510</v>
      </c>
      <c r="O77">
        <f t="shared" si="1"/>
        <v>-1.9392113954408517E-2</v>
      </c>
    </row>
    <row r="78" spans="1:15" ht="14.25" customHeight="1" x14ac:dyDescent="0.3">
      <c r="A78" s="2">
        <v>45583</v>
      </c>
      <c r="B78" t="s">
        <v>15</v>
      </c>
      <c r="C78" s="3">
        <v>12070</v>
      </c>
      <c r="D78" s="3">
        <v>12141.25</v>
      </c>
      <c r="E78" s="3">
        <v>11844.45</v>
      </c>
      <c r="F78" s="3">
        <v>12143.75</v>
      </c>
      <c r="G78" s="3">
        <v>12127</v>
      </c>
      <c r="H78" s="3">
        <v>12105.1</v>
      </c>
      <c r="I78" s="3">
        <v>12059.4</v>
      </c>
      <c r="J78" s="3">
        <v>13680</v>
      </c>
      <c r="K78" s="3">
        <v>9737.65</v>
      </c>
      <c r="L78" s="4">
        <v>506871</v>
      </c>
      <c r="M78" s="3">
        <v>6112559479.6499996</v>
      </c>
      <c r="N78" s="4">
        <v>78390</v>
      </c>
      <c r="O78">
        <f t="shared" si="1"/>
        <v>-3.1827071538857135E-3</v>
      </c>
    </row>
    <row r="79" spans="1:15" ht="14.25" customHeight="1" x14ac:dyDescent="0.3">
      <c r="A79" s="2">
        <v>45586</v>
      </c>
      <c r="B79" t="s">
        <v>15</v>
      </c>
      <c r="C79" s="3">
        <v>12145.55</v>
      </c>
      <c r="D79" s="3">
        <v>12250</v>
      </c>
      <c r="E79" s="3">
        <v>11944.55</v>
      </c>
      <c r="F79" s="3">
        <v>12105.1</v>
      </c>
      <c r="G79" s="3">
        <v>12140.05</v>
      </c>
      <c r="H79" s="3">
        <v>12175.9</v>
      </c>
      <c r="I79" s="3">
        <v>12140.16</v>
      </c>
      <c r="J79" s="3">
        <v>13680</v>
      </c>
      <c r="K79" s="3">
        <v>9737.65</v>
      </c>
      <c r="L79" s="4">
        <v>375275</v>
      </c>
      <c r="M79" s="3">
        <v>4555897320.75</v>
      </c>
      <c r="N79" s="4">
        <v>73282</v>
      </c>
      <c r="O79">
        <f t="shared" si="1"/>
        <v>5.8487744834821087E-3</v>
      </c>
    </row>
    <row r="80" spans="1:15" ht="14.25" customHeight="1" x14ac:dyDescent="0.3">
      <c r="A80" s="2">
        <v>45587</v>
      </c>
      <c r="B80" t="s">
        <v>15</v>
      </c>
      <c r="C80" s="3">
        <v>12215.95</v>
      </c>
      <c r="D80" s="3">
        <v>12289.8</v>
      </c>
      <c r="E80" s="3">
        <v>11840</v>
      </c>
      <c r="F80" s="3">
        <v>12175.9</v>
      </c>
      <c r="G80" s="3">
        <v>11955</v>
      </c>
      <c r="H80" s="3">
        <v>11923.3</v>
      </c>
      <c r="I80" s="3">
        <v>11982.45</v>
      </c>
      <c r="J80" s="3">
        <v>13680</v>
      </c>
      <c r="K80" s="3">
        <v>9737.65</v>
      </c>
      <c r="L80" s="4">
        <v>904901</v>
      </c>
      <c r="M80" s="3">
        <v>10842928866.9</v>
      </c>
      <c r="N80" s="4">
        <v>140557</v>
      </c>
      <c r="O80">
        <f t="shared" si="1"/>
        <v>-2.0745899687086816E-2</v>
      </c>
    </row>
    <row r="81" spans="1:15" ht="14.25" customHeight="1" x14ac:dyDescent="0.3">
      <c r="A81" s="2">
        <v>45588</v>
      </c>
      <c r="B81" t="s">
        <v>15</v>
      </c>
      <c r="C81" s="3">
        <v>11923.3</v>
      </c>
      <c r="D81" s="3">
        <v>12119.9</v>
      </c>
      <c r="E81" s="3">
        <v>11753.45</v>
      </c>
      <c r="F81" s="3">
        <v>11923.3</v>
      </c>
      <c r="G81" s="3">
        <v>11921.55</v>
      </c>
      <c r="H81" s="3">
        <v>11956.2</v>
      </c>
      <c r="I81" s="3">
        <v>11988.39</v>
      </c>
      <c r="J81" s="3">
        <v>13680</v>
      </c>
      <c r="K81" s="3">
        <v>9737.65</v>
      </c>
      <c r="L81" s="4">
        <v>412638</v>
      </c>
      <c r="M81" s="3">
        <v>4946865248.6999998</v>
      </c>
      <c r="N81" s="4">
        <v>88463</v>
      </c>
      <c r="O81">
        <f t="shared" si="1"/>
        <v>2.7593032130367816E-3</v>
      </c>
    </row>
    <row r="82" spans="1:15" ht="14.25" customHeight="1" x14ac:dyDescent="0.3">
      <c r="A82" s="2">
        <v>45589</v>
      </c>
      <c r="B82" t="s">
        <v>15</v>
      </c>
      <c r="C82" s="3">
        <v>11998.95</v>
      </c>
      <c r="D82" s="3">
        <v>11998.95</v>
      </c>
      <c r="E82" s="3">
        <v>11636.9</v>
      </c>
      <c r="F82" s="3">
        <v>11956.2</v>
      </c>
      <c r="G82" s="3">
        <v>11789</v>
      </c>
      <c r="H82" s="3">
        <v>11763.7</v>
      </c>
      <c r="I82" s="3">
        <v>11762.76</v>
      </c>
      <c r="J82" s="3">
        <v>13680</v>
      </c>
      <c r="K82" s="3">
        <v>9737.65</v>
      </c>
      <c r="L82" s="4">
        <v>552495</v>
      </c>
      <c r="M82" s="3">
        <v>6498863500.8500004</v>
      </c>
      <c r="N82" s="4">
        <v>101531</v>
      </c>
      <c r="O82">
        <f t="shared" si="1"/>
        <v>-1.6100433248021944E-2</v>
      </c>
    </row>
    <row r="83" spans="1:15" ht="14.25" customHeight="1" x14ac:dyDescent="0.3">
      <c r="A83" s="2">
        <v>45590</v>
      </c>
      <c r="B83" t="s">
        <v>15</v>
      </c>
      <c r="C83" s="3">
        <v>11763.6</v>
      </c>
      <c r="D83" s="3">
        <v>11794.3</v>
      </c>
      <c r="E83" s="3">
        <v>11440</v>
      </c>
      <c r="F83" s="3">
        <v>11763.7</v>
      </c>
      <c r="G83" s="3">
        <v>11490</v>
      </c>
      <c r="H83" s="3">
        <v>11502.85</v>
      </c>
      <c r="I83" s="3">
        <v>11523.43</v>
      </c>
      <c r="J83" s="3">
        <v>13680</v>
      </c>
      <c r="K83" s="3">
        <v>9737.65</v>
      </c>
      <c r="L83" s="4">
        <v>624582</v>
      </c>
      <c r="M83" s="3">
        <v>7197327790.3500004</v>
      </c>
      <c r="N83" s="4">
        <v>115797</v>
      </c>
      <c r="O83">
        <f t="shared" si="1"/>
        <v>-2.2174145889473581E-2</v>
      </c>
    </row>
    <row r="84" spans="1:15" ht="14.25" customHeight="1" x14ac:dyDescent="0.3">
      <c r="A84" s="2">
        <v>45593</v>
      </c>
      <c r="B84" t="s">
        <v>15</v>
      </c>
      <c r="C84" s="3">
        <v>11504.8</v>
      </c>
      <c r="D84" s="3">
        <v>11632.65</v>
      </c>
      <c r="E84" s="3">
        <v>11440</v>
      </c>
      <c r="F84" s="3">
        <v>11502.85</v>
      </c>
      <c r="G84" s="3">
        <v>11480</v>
      </c>
      <c r="H84" s="3">
        <v>11483.25</v>
      </c>
      <c r="I84" s="3">
        <v>11516.32</v>
      </c>
      <c r="J84" s="3">
        <v>13680</v>
      </c>
      <c r="K84" s="3">
        <v>9737.65</v>
      </c>
      <c r="L84" s="4">
        <v>613830</v>
      </c>
      <c r="M84" s="3">
        <v>7069063740.6499996</v>
      </c>
      <c r="N84" s="4">
        <v>65806</v>
      </c>
      <c r="O84">
        <f t="shared" si="1"/>
        <v>-1.7039255488857424E-3</v>
      </c>
    </row>
    <row r="85" spans="1:15" ht="14.25" customHeight="1" x14ac:dyDescent="0.3">
      <c r="A85" s="2">
        <v>45594</v>
      </c>
      <c r="B85" t="s">
        <v>15</v>
      </c>
      <c r="C85" s="3">
        <v>11450</v>
      </c>
      <c r="D85" s="3">
        <v>11483</v>
      </c>
      <c r="E85" s="3">
        <v>10742.45</v>
      </c>
      <c r="F85" s="3">
        <v>11483.25</v>
      </c>
      <c r="G85" s="3">
        <v>11005</v>
      </c>
      <c r="H85" s="3">
        <v>11046</v>
      </c>
      <c r="I85" s="3">
        <v>11035.75</v>
      </c>
      <c r="J85" s="3">
        <v>13680</v>
      </c>
      <c r="K85" s="3">
        <v>9737.65</v>
      </c>
      <c r="L85" s="4">
        <v>2268683</v>
      </c>
      <c r="M85" s="3">
        <v>25036612497.25</v>
      </c>
      <c r="N85" s="4">
        <v>257624</v>
      </c>
      <c r="O85">
        <f t="shared" si="1"/>
        <v>-3.8077199399124816E-2</v>
      </c>
    </row>
    <row r="86" spans="1:15" ht="14.25" customHeight="1" x14ac:dyDescent="0.3">
      <c r="A86" s="2">
        <v>45595</v>
      </c>
      <c r="B86" t="s">
        <v>15</v>
      </c>
      <c r="C86" s="3">
        <v>10979</v>
      </c>
      <c r="D86" s="3">
        <v>11520</v>
      </c>
      <c r="E86" s="3">
        <v>10945</v>
      </c>
      <c r="F86" s="3">
        <v>11046</v>
      </c>
      <c r="G86" s="3">
        <v>11264.7</v>
      </c>
      <c r="H86" s="3">
        <v>11256.45</v>
      </c>
      <c r="I86" s="3">
        <v>11313.49</v>
      </c>
      <c r="J86" s="3">
        <v>13680</v>
      </c>
      <c r="K86" s="3">
        <v>9737.65</v>
      </c>
      <c r="L86" s="4">
        <v>1672966</v>
      </c>
      <c r="M86" s="3">
        <v>18927087189.150002</v>
      </c>
      <c r="N86" s="4">
        <v>217046</v>
      </c>
      <c r="O86">
        <f t="shared" si="1"/>
        <v>1.9052145573058187E-2</v>
      </c>
    </row>
    <row r="87" spans="1:15" ht="14.25" customHeight="1" x14ac:dyDescent="0.3">
      <c r="A87" s="2">
        <v>45596</v>
      </c>
      <c r="B87" t="s">
        <v>15</v>
      </c>
      <c r="C87" s="3">
        <v>11225</v>
      </c>
      <c r="D87" s="3">
        <v>11247.55</v>
      </c>
      <c r="E87" s="3">
        <v>11050</v>
      </c>
      <c r="F87" s="3">
        <v>11256.45</v>
      </c>
      <c r="G87" s="3">
        <v>11110.85</v>
      </c>
      <c r="H87" s="3">
        <v>11076.45</v>
      </c>
      <c r="I87" s="3">
        <v>11107.61</v>
      </c>
      <c r="J87" s="3">
        <v>13680</v>
      </c>
      <c r="K87" s="3">
        <v>9737.65</v>
      </c>
      <c r="L87" s="4">
        <v>838211</v>
      </c>
      <c r="M87" s="3">
        <v>9310524893.5499992</v>
      </c>
      <c r="N87" s="4">
        <v>105127</v>
      </c>
      <c r="O87">
        <f t="shared" si="1"/>
        <v>-1.5990831923030795E-2</v>
      </c>
    </row>
    <row r="88" spans="1:15" ht="14.25" customHeight="1" x14ac:dyDescent="0.3">
      <c r="A88" s="2">
        <v>45597</v>
      </c>
      <c r="B88" t="s">
        <v>15</v>
      </c>
      <c r="C88" s="3">
        <v>11150</v>
      </c>
      <c r="D88" s="3">
        <v>11209.55</v>
      </c>
      <c r="E88" s="3">
        <v>11080</v>
      </c>
      <c r="F88" s="3">
        <v>11076.45</v>
      </c>
      <c r="G88" s="3">
        <v>11103.9</v>
      </c>
      <c r="H88" s="3">
        <v>11110</v>
      </c>
      <c r="I88" s="3">
        <v>11143.15</v>
      </c>
      <c r="J88" s="3">
        <v>13680</v>
      </c>
      <c r="K88" s="3">
        <v>9737.65</v>
      </c>
      <c r="L88" s="4">
        <v>65670</v>
      </c>
      <c r="M88" s="3">
        <v>731770383.35000002</v>
      </c>
      <c r="N88" s="4">
        <v>10283</v>
      </c>
      <c r="O88">
        <f t="shared" si="1"/>
        <v>3.0289488057996263E-3</v>
      </c>
    </row>
    <row r="89" spans="1:15" ht="14.25" customHeight="1" x14ac:dyDescent="0.3">
      <c r="A89" s="2">
        <v>45600</v>
      </c>
      <c r="B89" t="s">
        <v>15</v>
      </c>
      <c r="C89" s="3">
        <v>11295</v>
      </c>
      <c r="D89" s="3">
        <v>11295</v>
      </c>
      <c r="E89" s="3">
        <v>10860</v>
      </c>
      <c r="F89" s="3">
        <v>11110</v>
      </c>
      <c r="G89" s="3">
        <v>11064.35</v>
      </c>
      <c r="H89" s="3">
        <v>11052.45</v>
      </c>
      <c r="I89" s="3">
        <v>10993.4</v>
      </c>
      <c r="J89" s="3">
        <v>13680</v>
      </c>
      <c r="K89" s="3">
        <v>9737.65</v>
      </c>
      <c r="L89" s="4">
        <v>444462</v>
      </c>
      <c r="M89" s="3">
        <v>4886148091.3500004</v>
      </c>
      <c r="N89" s="4">
        <v>77295</v>
      </c>
      <c r="O89">
        <f t="shared" si="1"/>
        <v>-5.1800180018001145E-3</v>
      </c>
    </row>
    <row r="90" spans="1:15" ht="14.25" customHeight="1" x14ac:dyDescent="0.3">
      <c r="A90" s="2">
        <v>45601</v>
      </c>
      <c r="B90" t="s">
        <v>15</v>
      </c>
      <c r="C90" s="3">
        <v>11042</v>
      </c>
      <c r="D90" s="3">
        <v>11275</v>
      </c>
      <c r="E90" s="3">
        <v>11011.9</v>
      </c>
      <c r="F90" s="3">
        <v>11052.45</v>
      </c>
      <c r="G90" s="3">
        <v>11184.95</v>
      </c>
      <c r="H90" s="3">
        <v>11170.1</v>
      </c>
      <c r="I90" s="3">
        <v>11189.33</v>
      </c>
      <c r="J90" s="3">
        <v>13680</v>
      </c>
      <c r="K90" s="3">
        <v>9737.65</v>
      </c>
      <c r="L90" s="4">
        <v>321159</v>
      </c>
      <c r="M90" s="3">
        <v>3593554657.1500001</v>
      </c>
      <c r="N90" s="4">
        <v>58838</v>
      </c>
      <c r="O90">
        <f t="shared" si="1"/>
        <v>1.0644698686716487E-2</v>
      </c>
    </row>
    <row r="91" spans="1:15" ht="14.25" customHeight="1" x14ac:dyDescent="0.3">
      <c r="A91" s="2">
        <v>45602</v>
      </c>
      <c r="B91" t="s">
        <v>15</v>
      </c>
      <c r="C91" s="3">
        <v>11219</v>
      </c>
      <c r="D91" s="3">
        <v>11430</v>
      </c>
      <c r="E91" s="3">
        <v>11172.6</v>
      </c>
      <c r="F91" s="3">
        <v>11170.1</v>
      </c>
      <c r="G91" s="3">
        <v>11351</v>
      </c>
      <c r="H91" s="3">
        <v>11354.25</v>
      </c>
      <c r="I91" s="3">
        <v>11336.35</v>
      </c>
      <c r="J91" s="3">
        <v>13680</v>
      </c>
      <c r="K91" s="3">
        <v>9737.65</v>
      </c>
      <c r="L91" s="4">
        <v>416027</v>
      </c>
      <c r="M91" s="3">
        <v>4716229708.1499996</v>
      </c>
      <c r="N91" s="4">
        <v>76183</v>
      </c>
      <c r="O91">
        <f t="shared" si="1"/>
        <v>1.6485975953661976E-2</v>
      </c>
    </row>
    <row r="92" spans="1:15" ht="14.25" customHeight="1" x14ac:dyDescent="0.3">
      <c r="A92" s="2">
        <v>45603</v>
      </c>
      <c r="B92" t="s">
        <v>15</v>
      </c>
      <c r="C92" s="3">
        <v>11305.15</v>
      </c>
      <c r="D92" s="3">
        <v>11385</v>
      </c>
      <c r="E92" s="3">
        <v>11186.6</v>
      </c>
      <c r="F92" s="3">
        <v>11354.25</v>
      </c>
      <c r="G92" s="3">
        <v>11270</v>
      </c>
      <c r="H92" s="3">
        <v>11300.15</v>
      </c>
      <c r="I92" s="3">
        <v>11283.33</v>
      </c>
      <c r="J92" s="3">
        <v>13680</v>
      </c>
      <c r="K92" s="3">
        <v>9737.65</v>
      </c>
      <c r="L92" s="4">
        <v>530194</v>
      </c>
      <c r="M92" s="3">
        <v>5982352197.1000004</v>
      </c>
      <c r="N92" s="4">
        <v>77768</v>
      </c>
      <c r="O92">
        <f t="shared" si="1"/>
        <v>-4.764735671664827E-3</v>
      </c>
    </row>
    <row r="93" spans="1:15" ht="14.25" customHeight="1" x14ac:dyDescent="0.3">
      <c r="A93" s="2">
        <v>45604</v>
      </c>
      <c r="B93" t="s">
        <v>15</v>
      </c>
      <c r="C93" s="3">
        <v>11260.5</v>
      </c>
      <c r="D93" s="3">
        <v>11344</v>
      </c>
      <c r="E93" s="3">
        <v>11125.6</v>
      </c>
      <c r="F93" s="3">
        <v>11300.15</v>
      </c>
      <c r="G93" s="3">
        <v>11302</v>
      </c>
      <c r="H93" s="3">
        <v>11303</v>
      </c>
      <c r="I93" s="3">
        <v>11255.77</v>
      </c>
      <c r="J93" s="3">
        <v>13680</v>
      </c>
      <c r="K93" s="3">
        <v>9737.65</v>
      </c>
      <c r="L93" s="4">
        <v>269993</v>
      </c>
      <c r="M93" s="3">
        <v>3038980419.4000001</v>
      </c>
      <c r="N93" s="4">
        <v>55270</v>
      </c>
      <c r="O93">
        <f t="shared" si="1"/>
        <v>2.5220904147293298E-4</v>
      </c>
    </row>
    <row r="94" spans="1:15" ht="14.25" customHeight="1" x14ac:dyDescent="0.3">
      <c r="A94" s="2">
        <v>45607</v>
      </c>
      <c r="B94" t="s">
        <v>15</v>
      </c>
      <c r="C94" s="3">
        <v>11331.5</v>
      </c>
      <c r="D94" s="3">
        <v>11518.15</v>
      </c>
      <c r="E94" s="3">
        <v>11310</v>
      </c>
      <c r="F94" s="3">
        <v>11303</v>
      </c>
      <c r="G94" s="3">
        <v>11390</v>
      </c>
      <c r="H94" s="3">
        <v>11399.7</v>
      </c>
      <c r="I94" s="3">
        <v>11450.26</v>
      </c>
      <c r="J94" s="3">
        <v>13680</v>
      </c>
      <c r="K94" s="3">
        <v>9737.65</v>
      </c>
      <c r="L94" s="4">
        <v>450681</v>
      </c>
      <c r="M94" s="3">
        <v>5160413428.5</v>
      </c>
      <c r="N94" s="4">
        <v>74035</v>
      </c>
      <c r="O94">
        <f t="shared" si="1"/>
        <v>8.5552508183668694E-3</v>
      </c>
    </row>
    <row r="95" spans="1:15" ht="14.25" customHeight="1" x14ac:dyDescent="0.3">
      <c r="A95" s="2">
        <v>45608</v>
      </c>
      <c r="B95" t="s">
        <v>15</v>
      </c>
      <c r="C95" s="3">
        <v>11392.05</v>
      </c>
      <c r="D95" s="3">
        <v>11516.9</v>
      </c>
      <c r="E95" s="3">
        <v>11107.25</v>
      </c>
      <c r="F95" s="3">
        <v>11399.7</v>
      </c>
      <c r="G95" s="3">
        <v>11125</v>
      </c>
      <c r="H95" s="3">
        <v>11143.1</v>
      </c>
      <c r="I95" s="3">
        <v>11266.67</v>
      </c>
      <c r="J95" s="3">
        <v>13680</v>
      </c>
      <c r="K95" s="3">
        <v>9737.65</v>
      </c>
      <c r="L95" s="4">
        <v>549747</v>
      </c>
      <c r="M95" s="3">
        <v>6193815636.3000002</v>
      </c>
      <c r="N95" s="4">
        <v>73758</v>
      </c>
      <c r="O95">
        <f t="shared" si="1"/>
        <v>-2.250936428151621E-2</v>
      </c>
    </row>
    <row r="96" spans="1:15" ht="14.25" customHeight="1" x14ac:dyDescent="0.3">
      <c r="A96" s="2">
        <v>45609</v>
      </c>
      <c r="B96" t="s">
        <v>15</v>
      </c>
      <c r="C96" s="3">
        <v>11140</v>
      </c>
      <c r="D96" s="3">
        <v>11142.85</v>
      </c>
      <c r="E96" s="3">
        <v>10864.3</v>
      </c>
      <c r="F96" s="3">
        <v>11143.1</v>
      </c>
      <c r="G96" s="3">
        <v>11092.9</v>
      </c>
      <c r="H96" s="3">
        <v>11049.6</v>
      </c>
      <c r="I96" s="3">
        <v>11008.05</v>
      </c>
      <c r="J96" s="3">
        <v>13680</v>
      </c>
      <c r="K96" s="3">
        <v>9737.65</v>
      </c>
      <c r="L96" s="4">
        <v>507710</v>
      </c>
      <c r="M96" s="3">
        <v>5588898411.6499996</v>
      </c>
      <c r="N96" s="4">
        <v>96997</v>
      </c>
      <c r="O96">
        <f t="shared" si="1"/>
        <v>-8.3908427636833552E-3</v>
      </c>
    </row>
    <row r="97" spans="1:15" ht="14.25" customHeight="1" x14ac:dyDescent="0.3">
      <c r="A97" s="2">
        <v>45610</v>
      </c>
      <c r="B97" t="s">
        <v>15</v>
      </c>
      <c r="C97" s="3">
        <v>11055</v>
      </c>
      <c r="D97" s="3">
        <v>11117.7</v>
      </c>
      <c r="E97" s="3">
        <v>10892.1</v>
      </c>
      <c r="F97" s="3">
        <v>11049.6</v>
      </c>
      <c r="G97" s="3">
        <v>10992.95</v>
      </c>
      <c r="H97" s="3">
        <v>11006.05</v>
      </c>
      <c r="I97" s="3">
        <v>10978.75</v>
      </c>
      <c r="J97" s="3">
        <v>13680</v>
      </c>
      <c r="K97" s="3">
        <v>9737.65</v>
      </c>
      <c r="L97" s="4">
        <v>431348</v>
      </c>
      <c r="M97" s="3">
        <v>4735661111.1999998</v>
      </c>
      <c r="N97" s="4">
        <v>76909</v>
      </c>
      <c r="O97">
        <f t="shared" si="1"/>
        <v>-3.9413191427744975E-3</v>
      </c>
    </row>
    <row r="98" spans="1:15" ht="14.25" customHeight="1" x14ac:dyDescent="0.3">
      <c r="A98" s="2">
        <v>45614</v>
      </c>
      <c r="B98" t="s">
        <v>15</v>
      </c>
      <c r="C98" s="3">
        <v>10950</v>
      </c>
      <c r="D98" s="3">
        <v>11182.95</v>
      </c>
      <c r="E98" s="3">
        <v>10915</v>
      </c>
      <c r="F98" s="3">
        <v>11006.05</v>
      </c>
      <c r="G98" s="3">
        <v>11116.6</v>
      </c>
      <c r="H98" s="3">
        <v>11093.95</v>
      </c>
      <c r="I98" s="3">
        <v>11068.76</v>
      </c>
      <c r="J98" s="3">
        <v>13680</v>
      </c>
      <c r="K98" s="3">
        <v>9737.65</v>
      </c>
      <c r="L98" s="4">
        <v>333440</v>
      </c>
      <c r="M98" s="3">
        <v>3690768649.25</v>
      </c>
      <c r="N98" s="4">
        <v>72197</v>
      </c>
      <c r="O98">
        <f t="shared" si="1"/>
        <v>7.9865165068304673E-3</v>
      </c>
    </row>
    <row r="99" spans="1:15" ht="14.25" customHeight="1" x14ac:dyDescent="0.3">
      <c r="A99" s="2">
        <v>45615</v>
      </c>
      <c r="B99" t="s">
        <v>15</v>
      </c>
      <c r="C99" s="3">
        <v>11090</v>
      </c>
      <c r="D99" s="3">
        <v>11195.25</v>
      </c>
      <c r="E99" s="3">
        <v>10896.4</v>
      </c>
      <c r="F99" s="3">
        <v>11093.95</v>
      </c>
      <c r="G99" s="3">
        <v>10958.2</v>
      </c>
      <c r="H99" s="3">
        <v>10959.3</v>
      </c>
      <c r="I99" s="3">
        <v>11071.95</v>
      </c>
      <c r="J99" s="3">
        <v>13680</v>
      </c>
      <c r="K99" s="3">
        <v>9737.65</v>
      </c>
      <c r="L99" s="4">
        <v>864067</v>
      </c>
      <c r="M99" s="3">
        <v>9566908508.0499992</v>
      </c>
      <c r="N99" s="4">
        <v>97405</v>
      </c>
      <c r="O99">
        <f t="shared" si="1"/>
        <v>-1.2137245976410697E-2</v>
      </c>
    </row>
    <row r="100" spans="1:15" ht="14.25" customHeight="1" x14ac:dyDescent="0.3">
      <c r="A100" s="2">
        <v>45617</v>
      </c>
      <c r="B100" t="s">
        <v>15</v>
      </c>
      <c r="C100" s="3">
        <v>10921.15</v>
      </c>
      <c r="D100" s="3">
        <v>10958.2</v>
      </c>
      <c r="E100" s="3">
        <v>10770</v>
      </c>
      <c r="F100" s="3">
        <v>10959.3</v>
      </c>
      <c r="G100" s="3">
        <v>10859.5</v>
      </c>
      <c r="H100" s="3">
        <v>10861.45</v>
      </c>
      <c r="I100" s="3">
        <v>10875.51</v>
      </c>
      <c r="J100" s="3">
        <v>13680</v>
      </c>
      <c r="K100" s="3">
        <v>9737.65</v>
      </c>
      <c r="L100" s="4">
        <v>540201</v>
      </c>
      <c r="M100" s="3">
        <v>5874959799</v>
      </c>
      <c r="N100" s="4">
        <v>109856</v>
      </c>
      <c r="O100">
        <f t="shared" si="1"/>
        <v>-8.9284899583001245E-3</v>
      </c>
    </row>
    <row r="101" spans="1:15" ht="14.25" customHeight="1" x14ac:dyDescent="0.3">
      <c r="A101" s="2">
        <v>45618</v>
      </c>
      <c r="B101" t="s">
        <v>15</v>
      </c>
      <c r="C101" s="3">
        <v>10905</v>
      </c>
      <c r="D101" s="3">
        <v>11106.65</v>
      </c>
      <c r="E101" s="3">
        <v>10827.25</v>
      </c>
      <c r="F101" s="3">
        <v>10861.45</v>
      </c>
      <c r="G101" s="3">
        <v>11070.05</v>
      </c>
      <c r="H101" s="3">
        <v>11063.6</v>
      </c>
      <c r="I101" s="3">
        <v>10981.18</v>
      </c>
      <c r="J101" s="3">
        <v>13680</v>
      </c>
      <c r="K101" s="3">
        <v>9737.65</v>
      </c>
      <c r="L101" s="4">
        <v>493678</v>
      </c>
      <c r="M101" s="3">
        <v>5421167557.3000002</v>
      </c>
      <c r="N101" s="4">
        <v>98447</v>
      </c>
      <c r="O101">
        <f t="shared" si="1"/>
        <v>1.8611695491854183E-2</v>
      </c>
    </row>
    <row r="102" spans="1:15" ht="14.25" customHeight="1" x14ac:dyDescent="0.3">
      <c r="A102" s="2">
        <v>45621</v>
      </c>
      <c r="B102" t="s">
        <v>15</v>
      </c>
      <c r="C102" s="3">
        <v>11202</v>
      </c>
      <c r="D102" s="3">
        <v>11247.95</v>
      </c>
      <c r="E102" s="3">
        <v>10990.05</v>
      </c>
      <c r="F102" s="3">
        <v>11063.6</v>
      </c>
      <c r="G102" s="3">
        <v>11003.2</v>
      </c>
      <c r="H102" s="3">
        <v>11025.15</v>
      </c>
      <c r="I102" s="3">
        <v>11081.45</v>
      </c>
      <c r="J102" s="3">
        <v>13680</v>
      </c>
      <c r="K102" s="3">
        <v>9737.65</v>
      </c>
      <c r="L102" s="4">
        <v>635726</v>
      </c>
      <c r="M102" s="3">
        <v>7044764680.25</v>
      </c>
      <c r="N102" s="4">
        <v>75150</v>
      </c>
      <c r="O102">
        <f t="shared" si="1"/>
        <v>-3.4753606421057096E-3</v>
      </c>
    </row>
    <row r="103" spans="1:15" ht="14.25" customHeight="1" x14ac:dyDescent="0.3">
      <c r="A103" s="2">
        <v>45622</v>
      </c>
      <c r="B103" t="s">
        <v>15</v>
      </c>
      <c r="C103" s="3">
        <v>11025.15</v>
      </c>
      <c r="D103" s="3">
        <v>11077.95</v>
      </c>
      <c r="E103" s="3">
        <v>10891.45</v>
      </c>
      <c r="F103" s="3">
        <v>11025.15</v>
      </c>
      <c r="G103" s="3">
        <v>10936</v>
      </c>
      <c r="H103" s="3">
        <v>10943.95</v>
      </c>
      <c r="I103" s="3">
        <v>10971.86</v>
      </c>
      <c r="J103" s="3">
        <v>13680</v>
      </c>
      <c r="K103" s="3">
        <v>9737.65</v>
      </c>
      <c r="L103" s="4">
        <v>406586</v>
      </c>
      <c r="M103" s="3">
        <v>4461002867.6999998</v>
      </c>
      <c r="N103" s="4">
        <v>71327</v>
      </c>
      <c r="O103">
        <f t="shared" si="1"/>
        <v>-7.364979161281154E-3</v>
      </c>
    </row>
    <row r="104" spans="1:15" ht="14.25" customHeight="1" x14ac:dyDescent="0.3">
      <c r="A104" s="2">
        <v>45623</v>
      </c>
      <c r="B104" t="s">
        <v>15</v>
      </c>
      <c r="C104" s="3">
        <v>10936</v>
      </c>
      <c r="D104" s="3">
        <v>11116.9</v>
      </c>
      <c r="E104" s="3">
        <v>10870</v>
      </c>
      <c r="F104" s="3">
        <v>10943.95</v>
      </c>
      <c r="G104" s="3">
        <v>11070</v>
      </c>
      <c r="H104" s="3">
        <v>11058.35</v>
      </c>
      <c r="I104" s="3">
        <v>11035.07</v>
      </c>
      <c r="J104" s="3">
        <v>13680</v>
      </c>
      <c r="K104" s="3">
        <v>9737.65</v>
      </c>
      <c r="L104" s="4">
        <v>343332</v>
      </c>
      <c r="M104" s="3">
        <v>3788691559.8000002</v>
      </c>
      <c r="N104" s="4">
        <v>58479</v>
      </c>
      <c r="O104">
        <f t="shared" si="1"/>
        <v>1.0453264132237412E-2</v>
      </c>
    </row>
    <row r="105" spans="1:15" ht="14.25" customHeight="1" x14ac:dyDescent="0.3">
      <c r="A105" s="2">
        <v>45624</v>
      </c>
      <c r="B105" t="s">
        <v>15</v>
      </c>
      <c r="C105" s="3">
        <v>11060.4</v>
      </c>
      <c r="D105" s="3">
        <v>11080.6</v>
      </c>
      <c r="E105" s="3">
        <v>10888</v>
      </c>
      <c r="F105" s="3">
        <v>11058.35</v>
      </c>
      <c r="G105" s="3">
        <v>10980</v>
      </c>
      <c r="H105" s="3">
        <v>10949.85</v>
      </c>
      <c r="I105" s="3">
        <v>10963.95</v>
      </c>
      <c r="J105" s="3">
        <v>13680</v>
      </c>
      <c r="K105" s="3">
        <v>9737.65</v>
      </c>
      <c r="L105" s="4">
        <v>607669</v>
      </c>
      <c r="M105" s="3">
        <v>6662452812.8000002</v>
      </c>
      <c r="N105" s="4">
        <v>95499</v>
      </c>
      <c r="O105">
        <f t="shared" si="1"/>
        <v>-9.8115903367138862E-3</v>
      </c>
    </row>
    <row r="106" spans="1:15" ht="14.25" customHeight="1" x14ac:dyDescent="0.3">
      <c r="A106" s="2">
        <v>45625</v>
      </c>
      <c r="B106" t="s">
        <v>15</v>
      </c>
      <c r="C106" s="3">
        <v>10949.95</v>
      </c>
      <c r="D106" s="3">
        <v>11130.1</v>
      </c>
      <c r="E106" s="3">
        <v>10920</v>
      </c>
      <c r="F106" s="3">
        <v>10949.85</v>
      </c>
      <c r="G106" s="3">
        <v>11081.15</v>
      </c>
      <c r="H106" s="3">
        <v>11074.2</v>
      </c>
      <c r="I106" s="3">
        <v>11053.4</v>
      </c>
      <c r="J106" s="3">
        <v>13680</v>
      </c>
      <c r="K106" s="3">
        <v>9737.65</v>
      </c>
      <c r="L106" s="4">
        <v>338207</v>
      </c>
      <c r="M106" s="3">
        <v>3738338428.9499998</v>
      </c>
      <c r="N106" s="4">
        <v>65947</v>
      </c>
      <c r="O106">
        <f t="shared" si="1"/>
        <v>1.1356319949588384E-2</v>
      </c>
    </row>
    <row r="107" spans="1:15" ht="14.25" customHeight="1" x14ac:dyDescent="0.3">
      <c r="A107" s="2">
        <v>45628</v>
      </c>
      <c r="B107" t="s">
        <v>15</v>
      </c>
      <c r="C107" s="3">
        <v>11151</v>
      </c>
      <c r="D107" s="3">
        <v>11330</v>
      </c>
      <c r="E107" s="3">
        <v>11151</v>
      </c>
      <c r="F107" s="3">
        <v>11074.2</v>
      </c>
      <c r="G107" s="3">
        <v>11230</v>
      </c>
      <c r="H107" s="3">
        <v>11239.3</v>
      </c>
      <c r="I107" s="3">
        <v>11264.75</v>
      </c>
      <c r="J107" s="3">
        <v>13680</v>
      </c>
      <c r="K107" s="3">
        <v>9737.65</v>
      </c>
      <c r="L107" s="4">
        <v>446880</v>
      </c>
      <c r="M107" s="3">
        <v>5033990444.5500002</v>
      </c>
      <c r="N107" s="4">
        <v>81378</v>
      </c>
      <c r="O107">
        <f t="shared" si="1"/>
        <v>1.4908526123783076E-2</v>
      </c>
    </row>
    <row r="108" spans="1:15" ht="14.25" customHeight="1" x14ac:dyDescent="0.3">
      <c r="A108" s="2">
        <v>45629</v>
      </c>
      <c r="B108" t="s">
        <v>15</v>
      </c>
      <c r="C108" s="3">
        <v>11250</v>
      </c>
      <c r="D108" s="3">
        <v>11309</v>
      </c>
      <c r="E108" s="3">
        <v>11203</v>
      </c>
      <c r="F108" s="3">
        <v>11239.3</v>
      </c>
      <c r="G108" s="3">
        <v>11260.95</v>
      </c>
      <c r="H108" s="3">
        <v>11279.25</v>
      </c>
      <c r="I108" s="3">
        <v>11269.46</v>
      </c>
      <c r="J108" s="3">
        <v>13680</v>
      </c>
      <c r="K108" s="3">
        <v>9737.65</v>
      </c>
      <c r="L108" s="4">
        <v>258644</v>
      </c>
      <c r="M108" s="3">
        <v>2914777764.8000002</v>
      </c>
      <c r="N108" s="4">
        <v>58440</v>
      </c>
      <c r="O108">
        <f t="shared" si="1"/>
        <v>3.5544918277829341E-3</v>
      </c>
    </row>
    <row r="109" spans="1:15" ht="14.25" customHeight="1" x14ac:dyDescent="0.3">
      <c r="A109" s="2">
        <v>45630</v>
      </c>
      <c r="B109" t="s">
        <v>15</v>
      </c>
      <c r="C109" s="3">
        <v>11281</v>
      </c>
      <c r="D109" s="3">
        <v>11300</v>
      </c>
      <c r="E109" s="3">
        <v>11106</v>
      </c>
      <c r="F109" s="3">
        <v>11279.25</v>
      </c>
      <c r="G109" s="3">
        <v>11125</v>
      </c>
      <c r="H109" s="3">
        <v>11129.85</v>
      </c>
      <c r="I109" s="3">
        <v>11194.43</v>
      </c>
      <c r="J109" s="3">
        <v>13680</v>
      </c>
      <c r="K109" s="3">
        <v>9737.65</v>
      </c>
      <c r="L109" s="4">
        <v>554674</v>
      </c>
      <c r="M109" s="3">
        <v>6209257358</v>
      </c>
      <c r="N109" s="4">
        <v>85627</v>
      </c>
      <c r="O109">
        <f t="shared" si="1"/>
        <v>-1.3245561539995978E-2</v>
      </c>
    </row>
    <row r="110" spans="1:15" ht="14.25" customHeight="1" x14ac:dyDescent="0.3">
      <c r="A110" s="2">
        <v>45631</v>
      </c>
      <c r="B110" t="s">
        <v>15</v>
      </c>
      <c r="C110" s="3">
        <v>11134.95</v>
      </c>
      <c r="D110" s="3">
        <v>11270</v>
      </c>
      <c r="E110" s="3">
        <v>11031</v>
      </c>
      <c r="F110" s="3">
        <v>11129.85</v>
      </c>
      <c r="G110" s="3">
        <v>11176</v>
      </c>
      <c r="H110" s="3">
        <v>11182.25</v>
      </c>
      <c r="I110" s="3">
        <v>11135.26</v>
      </c>
      <c r="J110" s="3">
        <v>13680</v>
      </c>
      <c r="K110" s="3">
        <v>9737.65</v>
      </c>
      <c r="L110" s="4">
        <v>545501</v>
      </c>
      <c r="M110" s="3">
        <v>6074294099.75</v>
      </c>
      <c r="N110" s="4">
        <v>107290</v>
      </c>
      <c r="O110">
        <f t="shared" si="1"/>
        <v>4.7080598570510505E-3</v>
      </c>
    </row>
    <row r="111" spans="1:15" ht="14.25" customHeight="1" x14ac:dyDescent="0.3">
      <c r="A111" s="2">
        <v>45632</v>
      </c>
      <c r="B111" t="s">
        <v>15</v>
      </c>
      <c r="C111" s="3">
        <v>11200</v>
      </c>
      <c r="D111" s="3">
        <v>11375.95</v>
      </c>
      <c r="E111" s="3">
        <v>11121</v>
      </c>
      <c r="F111" s="3">
        <v>11182.25</v>
      </c>
      <c r="G111" s="3">
        <v>11303</v>
      </c>
      <c r="H111" s="3">
        <v>11317.95</v>
      </c>
      <c r="I111" s="3">
        <v>11258.53</v>
      </c>
      <c r="J111" s="3">
        <v>13680</v>
      </c>
      <c r="K111" s="3">
        <v>9737.65</v>
      </c>
      <c r="L111" s="4">
        <v>417214</v>
      </c>
      <c r="M111" s="3">
        <v>4697217136.0500002</v>
      </c>
      <c r="N111" s="4">
        <v>73352</v>
      </c>
      <c r="O111">
        <f t="shared" si="1"/>
        <v>1.2135303717945916E-2</v>
      </c>
    </row>
    <row r="112" spans="1:15" ht="14.25" customHeight="1" x14ac:dyDescent="0.3">
      <c r="A112" s="2">
        <v>45635</v>
      </c>
      <c r="B112" t="s">
        <v>15</v>
      </c>
      <c r="C112" s="3">
        <v>11322</v>
      </c>
      <c r="D112" s="3">
        <v>11368.9</v>
      </c>
      <c r="E112" s="3">
        <v>11252.55</v>
      </c>
      <c r="F112" s="3">
        <v>11317.95</v>
      </c>
      <c r="G112" s="3">
        <v>11260</v>
      </c>
      <c r="H112" s="3">
        <v>11279.8</v>
      </c>
      <c r="I112" s="3">
        <v>11291.51</v>
      </c>
      <c r="J112" s="3">
        <v>13680</v>
      </c>
      <c r="K112" s="3">
        <v>9737.65</v>
      </c>
      <c r="L112" s="4">
        <v>254485</v>
      </c>
      <c r="M112" s="3">
        <v>2873518865.4499998</v>
      </c>
      <c r="N112" s="4">
        <v>43967</v>
      </c>
      <c r="O112">
        <f t="shared" si="1"/>
        <v>-3.3707517704179161E-3</v>
      </c>
    </row>
    <row r="113" spans="1:15" ht="14.25" customHeight="1" x14ac:dyDescent="0.3">
      <c r="A113" s="2">
        <v>45636</v>
      </c>
      <c r="B113" t="s">
        <v>15</v>
      </c>
      <c r="C113" s="3">
        <v>11275</v>
      </c>
      <c r="D113" s="3">
        <v>11314.35</v>
      </c>
      <c r="E113" s="3">
        <v>11170</v>
      </c>
      <c r="F113" s="3">
        <v>11279.8</v>
      </c>
      <c r="G113" s="3">
        <v>11219.8</v>
      </c>
      <c r="H113" s="3">
        <v>11198.2</v>
      </c>
      <c r="I113" s="3">
        <v>11219.43</v>
      </c>
      <c r="J113" s="3">
        <v>13680</v>
      </c>
      <c r="K113" s="3">
        <v>9737.65</v>
      </c>
      <c r="L113" s="4">
        <v>410569</v>
      </c>
      <c r="M113" s="3">
        <v>4606348473.3999996</v>
      </c>
      <c r="N113" s="4">
        <v>52912</v>
      </c>
      <c r="O113">
        <f t="shared" si="1"/>
        <v>-7.2341708186314073E-3</v>
      </c>
    </row>
    <row r="114" spans="1:15" ht="14.25" customHeight="1" x14ac:dyDescent="0.3">
      <c r="A114" s="2">
        <v>45637</v>
      </c>
      <c r="B114" t="s">
        <v>15</v>
      </c>
      <c r="C114" s="3">
        <v>11229.9</v>
      </c>
      <c r="D114" s="3">
        <v>11320.85</v>
      </c>
      <c r="E114" s="3">
        <v>11220.6</v>
      </c>
      <c r="F114" s="3">
        <v>11198.2</v>
      </c>
      <c r="G114" s="3">
        <v>11291.95</v>
      </c>
      <c r="H114" s="3">
        <v>11277.75</v>
      </c>
      <c r="I114" s="3">
        <v>11282.8</v>
      </c>
      <c r="J114" s="3">
        <v>13680</v>
      </c>
      <c r="K114" s="3">
        <v>9737.65</v>
      </c>
      <c r="L114" s="4">
        <v>226584</v>
      </c>
      <c r="M114" s="3">
        <v>2556502779.9499998</v>
      </c>
      <c r="N114" s="4">
        <v>39648</v>
      </c>
      <c r="O114">
        <f t="shared" si="1"/>
        <v>7.1038202568269246E-3</v>
      </c>
    </row>
    <row r="115" spans="1:15" ht="14.25" customHeight="1" x14ac:dyDescent="0.3">
      <c r="A115" s="2">
        <v>45638</v>
      </c>
      <c r="B115" t="s">
        <v>15</v>
      </c>
      <c r="C115" s="3">
        <v>11299.35</v>
      </c>
      <c r="D115" s="3">
        <v>11299.35</v>
      </c>
      <c r="E115" s="3">
        <v>11078.25</v>
      </c>
      <c r="F115" s="3">
        <v>11277.75</v>
      </c>
      <c r="G115" s="3">
        <v>11137.5</v>
      </c>
      <c r="H115" s="3">
        <v>11167.4</v>
      </c>
      <c r="I115" s="3">
        <v>11161.43</v>
      </c>
      <c r="J115" s="3">
        <v>13680</v>
      </c>
      <c r="K115" s="3">
        <v>9737.65</v>
      </c>
      <c r="L115" s="4">
        <v>396561</v>
      </c>
      <c r="M115" s="3">
        <v>4426187410.1000004</v>
      </c>
      <c r="N115" s="4">
        <v>58050</v>
      </c>
      <c r="O115">
        <f t="shared" si="1"/>
        <v>-9.784753164416694E-3</v>
      </c>
    </row>
    <row r="116" spans="1:15" ht="14.25" customHeight="1" x14ac:dyDescent="0.3">
      <c r="A116" s="2">
        <v>45639</v>
      </c>
      <c r="B116" t="s">
        <v>15</v>
      </c>
      <c r="C116" s="3">
        <v>11137.4</v>
      </c>
      <c r="D116" s="3">
        <v>11290</v>
      </c>
      <c r="E116" s="3">
        <v>11033.6</v>
      </c>
      <c r="F116" s="3">
        <v>11167.4</v>
      </c>
      <c r="G116" s="3">
        <v>11271.5</v>
      </c>
      <c r="H116" s="3">
        <v>11272.55</v>
      </c>
      <c r="I116" s="3">
        <v>11190.39</v>
      </c>
      <c r="J116" s="3">
        <v>13680</v>
      </c>
      <c r="K116" s="3">
        <v>9737.65</v>
      </c>
      <c r="L116" s="4">
        <v>263579</v>
      </c>
      <c r="M116" s="3">
        <v>2949551493.1999998</v>
      </c>
      <c r="N116" s="4">
        <v>53494</v>
      </c>
      <c r="O116">
        <f t="shared" si="1"/>
        <v>9.4157995594318852E-3</v>
      </c>
    </row>
    <row r="117" spans="1:15" ht="14.25" customHeight="1" x14ac:dyDescent="0.3">
      <c r="A117" s="2">
        <v>45642</v>
      </c>
      <c r="B117" t="s">
        <v>15</v>
      </c>
      <c r="C117" s="3">
        <v>11255.55</v>
      </c>
      <c r="D117" s="3">
        <v>11329.45</v>
      </c>
      <c r="E117" s="3">
        <v>11205</v>
      </c>
      <c r="F117" s="3">
        <v>11272.55</v>
      </c>
      <c r="G117" s="3">
        <v>11262.35</v>
      </c>
      <c r="H117" s="3">
        <v>11277</v>
      </c>
      <c r="I117" s="3">
        <v>11264.08</v>
      </c>
      <c r="J117" s="3">
        <v>13680</v>
      </c>
      <c r="K117" s="3">
        <v>9737.65</v>
      </c>
      <c r="L117" s="4">
        <v>223389</v>
      </c>
      <c r="M117" s="3">
        <v>2516271554.6500001</v>
      </c>
      <c r="N117" s="4">
        <v>45400</v>
      </c>
      <c r="O117">
        <f t="shared" si="1"/>
        <v>3.9476427250273699E-4</v>
      </c>
    </row>
    <row r="118" spans="1:15" ht="14.25" customHeight="1" x14ac:dyDescent="0.3">
      <c r="A118" s="2">
        <v>45643</v>
      </c>
      <c r="B118" t="s">
        <v>15</v>
      </c>
      <c r="C118" s="3">
        <v>11263</v>
      </c>
      <c r="D118" s="3">
        <v>11272.45</v>
      </c>
      <c r="E118" s="3">
        <v>11059.7</v>
      </c>
      <c r="F118" s="3">
        <v>11277</v>
      </c>
      <c r="G118" s="3">
        <v>11085</v>
      </c>
      <c r="H118" s="3">
        <v>11108.55</v>
      </c>
      <c r="I118" s="3">
        <v>11148.06</v>
      </c>
      <c r="J118" s="3">
        <v>13680</v>
      </c>
      <c r="K118" s="3">
        <v>9737.65</v>
      </c>
      <c r="L118" s="4">
        <v>295445</v>
      </c>
      <c r="M118" s="3">
        <v>3293637998.3000002</v>
      </c>
      <c r="N118" s="4">
        <v>47479</v>
      </c>
      <c r="O118">
        <f t="shared" si="1"/>
        <v>-1.4937483373237628E-2</v>
      </c>
    </row>
    <row r="119" spans="1:15" ht="14.25" customHeight="1" x14ac:dyDescent="0.3">
      <c r="A119" s="2">
        <v>45644</v>
      </c>
      <c r="B119" t="s">
        <v>15</v>
      </c>
      <c r="C119" s="3">
        <v>11085</v>
      </c>
      <c r="D119" s="3">
        <v>11098.05</v>
      </c>
      <c r="E119" s="3">
        <v>10970.1</v>
      </c>
      <c r="F119" s="3">
        <v>11108.55</v>
      </c>
      <c r="G119" s="3">
        <v>11012</v>
      </c>
      <c r="H119" s="3">
        <v>11002.45</v>
      </c>
      <c r="I119" s="3">
        <v>11013.37</v>
      </c>
      <c r="J119" s="3">
        <v>13680</v>
      </c>
      <c r="K119" s="3">
        <v>9737.65</v>
      </c>
      <c r="L119" s="4">
        <v>497103</v>
      </c>
      <c r="M119" s="3">
        <v>5474780876.4499998</v>
      </c>
      <c r="N119" s="4">
        <v>63628</v>
      </c>
      <c r="O119">
        <f t="shared" si="1"/>
        <v>-9.5512015519575964E-3</v>
      </c>
    </row>
    <row r="120" spans="1:15" ht="14.25" customHeight="1" x14ac:dyDescent="0.3">
      <c r="A120" s="2">
        <v>45645</v>
      </c>
      <c r="B120" t="s">
        <v>15</v>
      </c>
      <c r="C120" s="3">
        <v>10888</v>
      </c>
      <c r="D120" s="3">
        <v>11035.4</v>
      </c>
      <c r="E120" s="3">
        <v>10852.45</v>
      </c>
      <c r="F120" s="3">
        <v>11002.45</v>
      </c>
      <c r="G120" s="3">
        <v>10955</v>
      </c>
      <c r="H120" s="3">
        <v>10955.35</v>
      </c>
      <c r="I120" s="3">
        <v>10953.92</v>
      </c>
      <c r="J120" s="3">
        <v>13680</v>
      </c>
      <c r="K120" s="3">
        <v>9737.65</v>
      </c>
      <c r="L120" s="4">
        <v>435360</v>
      </c>
      <c r="M120" s="3">
        <v>4768896625.5500002</v>
      </c>
      <c r="N120" s="4">
        <v>57581</v>
      </c>
      <c r="O120">
        <f t="shared" si="1"/>
        <v>-4.280864716494995E-3</v>
      </c>
    </row>
    <row r="121" spans="1:15" ht="14.25" customHeight="1" x14ac:dyDescent="0.3">
      <c r="A121" s="2">
        <v>45646</v>
      </c>
      <c r="B121" t="s">
        <v>15</v>
      </c>
      <c r="C121" s="3">
        <v>10940</v>
      </c>
      <c r="D121" s="3">
        <v>11077</v>
      </c>
      <c r="E121" s="3">
        <v>10865.95</v>
      </c>
      <c r="F121" s="3">
        <v>10955.35</v>
      </c>
      <c r="G121" s="3">
        <v>10868.9</v>
      </c>
      <c r="H121" s="3">
        <v>10901.05</v>
      </c>
      <c r="I121" s="3">
        <v>10959.32</v>
      </c>
      <c r="J121" s="3">
        <v>13680</v>
      </c>
      <c r="K121" s="3">
        <v>9737.65</v>
      </c>
      <c r="L121" s="4">
        <v>404608</v>
      </c>
      <c r="M121" s="3">
        <v>4434229374.1000004</v>
      </c>
      <c r="N121" s="4">
        <v>65375</v>
      </c>
      <c r="O121">
        <f t="shared" si="1"/>
        <v>-4.9564824492144104E-3</v>
      </c>
    </row>
    <row r="122" spans="1:15" ht="14.25" customHeight="1" x14ac:dyDescent="0.3">
      <c r="A122" s="2">
        <v>45649</v>
      </c>
      <c r="B122" t="s">
        <v>15</v>
      </c>
      <c r="C122" s="3">
        <v>10928</v>
      </c>
      <c r="D122" s="3">
        <v>10989.8</v>
      </c>
      <c r="E122" s="3">
        <v>10755.4</v>
      </c>
      <c r="F122" s="3">
        <v>10901.05</v>
      </c>
      <c r="G122" s="3">
        <v>10810</v>
      </c>
      <c r="H122" s="3">
        <v>10822</v>
      </c>
      <c r="I122" s="3">
        <v>10859.93</v>
      </c>
      <c r="J122" s="3">
        <v>13680</v>
      </c>
      <c r="K122" s="3">
        <v>9737.65</v>
      </c>
      <c r="L122" s="4">
        <v>237165</v>
      </c>
      <c r="M122" s="3">
        <v>2575596341.1999998</v>
      </c>
      <c r="N122" s="4">
        <v>48860</v>
      </c>
      <c r="O122">
        <f t="shared" si="1"/>
        <v>-7.2515950298365087E-3</v>
      </c>
    </row>
    <row r="123" spans="1:15" ht="14.25" customHeight="1" x14ac:dyDescent="0.3">
      <c r="A123" s="2">
        <v>45650</v>
      </c>
      <c r="B123" t="s">
        <v>15</v>
      </c>
      <c r="C123" s="3">
        <v>10822</v>
      </c>
      <c r="D123" s="3">
        <v>10887.45</v>
      </c>
      <c r="E123" s="3">
        <v>10725</v>
      </c>
      <c r="F123" s="3">
        <v>10822</v>
      </c>
      <c r="G123" s="3">
        <v>10745.05</v>
      </c>
      <c r="H123" s="3">
        <v>10736.6</v>
      </c>
      <c r="I123" s="3">
        <v>10791.53</v>
      </c>
      <c r="J123" s="3">
        <v>13680</v>
      </c>
      <c r="K123" s="3">
        <v>9737.65</v>
      </c>
      <c r="L123" s="4">
        <v>151149</v>
      </c>
      <c r="M123" s="3">
        <v>1631128921.55</v>
      </c>
      <c r="N123" s="4">
        <v>29801</v>
      </c>
      <c r="O123">
        <f t="shared" si="1"/>
        <v>-7.8913324708925932E-3</v>
      </c>
    </row>
    <row r="124" spans="1:15" ht="14.25" customHeight="1" x14ac:dyDescent="0.3">
      <c r="A124" s="2">
        <v>45652</v>
      </c>
      <c r="B124" t="s">
        <v>15</v>
      </c>
      <c r="C124" s="3">
        <v>10770.5</v>
      </c>
      <c r="D124" s="3">
        <v>10974.8</v>
      </c>
      <c r="E124" s="3">
        <v>10770</v>
      </c>
      <c r="F124" s="3">
        <v>10736.6</v>
      </c>
      <c r="G124" s="3">
        <v>10911.8</v>
      </c>
      <c r="H124" s="3">
        <v>10896</v>
      </c>
      <c r="I124" s="3">
        <v>10902.71</v>
      </c>
      <c r="J124" s="3">
        <v>13680</v>
      </c>
      <c r="K124" s="3">
        <v>9737.65</v>
      </c>
      <c r="L124" s="4">
        <v>349811</v>
      </c>
      <c r="M124" s="3">
        <v>3813889415.5999999</v>
      </c>
      <c r="N124" s="4">
        <v>54811</v>
      </c>
      <c r="O124">
        <f t="shared" si="1"/>
        <v>1.4846413203434945E-2</v>
      </c>
    </row>
    <row r="125" spans="1:15" ht="14.25" customHeight="1" x14ac:dyDescent="0.3">
      <c r="A125" s="2">
        <v>45653</v>
      </c>
      <c r="B125" t="s">
        <v>15</v>
      </c>
      <c r="C125" s="3">
        <v>10929.5</v>
      </c>
      <c r="D125" s="3">
        <v>11133</v>
      </c>
      <c r="E125" s="3">
        <v>10912.6</v>
      </c>
      <c r="F125" s="3">
        <v>10896</v>
      </c>
      <c r="G125" s="3">
        <v>10957.95</v>
      </c>
      <c r="H125" s="3">
        <v>10941.05</v>
      </c>
      <c r="I125" s="3">
        <v>11012.72</v>
      </c>
      <c r="J125" s="3">
        <v>13680</v>
      </c>
      <c r="K125" s="3">
        <v>9737.65</v>
      </c>
      <c r="L125" s="4">
        <v>257973</v>
      </c>
      <c r="M125" s="3">
        <v>2840985273.6999998</v>
      </c>
      <c r="N125" s="4">
        <v>49503</v>
      </c>
      <c r="O125">
        <f t="shared" si="1"/>
        <v>4.1345447870777602E-3</v>
      </c>
    </row>
    <row r="126" spans="1:15" ht="14.25" customHeight="1" x14ac:dyDescent="0.3">
      <c r="A126" s="2">
        <v>45656</v>
      </c>
      <c r="B126" t="s">
        <v>15</v>
      </c>
      <c r="C126" s="3">
        <v>10941.05</v>
      </c>
      <c r="D126" s="3">
        <v>10950</v>
      </c>
      <c r="E126" s="3">
        <v>10750.1</v>
      </c>
      <c r="F126" s="3">
        <v>10941.05</v>
      </c>
      <c r="G126" s="3">
        <v>10804.25</v>
      </c>
      <c r="H126" s="3">
        <v>10798.95</v>
      </c>
      <c r="I126" s="3">
        <v>10841.52</v>
      </c>
      <c r="J126" s="3">
        <v>13680</v>
      </c>
      <c r="K126" s="3">
        <v>9737.65</v>
      </c>
      <c r="L126" s="4">
        <v>335481</v>
      </c>
      <c r="M126" s="3">
        <v>3637124685.1999998</v>
      </c>
      <c r="N126" s="4">
        <v>53845</v>
      </c>
      <c r="O126">
        <f t="shared" si="1"/>
        <v>-1.2987784536218969E-2</v>
      </c>
    </row>
    <row r="127" spans="1:15" ht="14.25" customHeight="1" x14ac:dyDescent="0.3">
      <c r="A127" s="2">
        <v>45657</v>
      </c>
      <c r="B127" t="s">
        <v>15</v>
      </c>
      <c r="C127" s="3">
        <v>10765</v>
      </c>
      <c r="D127" s="3">
        <v>10893.7</v>
      </c>
      <c r="E127" s="3">
        <v>10750.6</v>
      </c>
      <c r="F127" s="3">
        <v>10798.95</v>
      </c>
      <c r="G127" s="3">
        <v>10860</v>
      </c>
      <c r="H127" s="3">
        <v>10858.4</v>
      </c>
      <c r="I127" s="3">
        <v>10832.98</v>
      </c>
      <c r="J127" s="3">
        <v>13680</v>
      </c>
      <c r="K127" s="3">
        <v>9737.65</v>
      </c>
      <c r="L127" s="4">
        <v>198997</v>
      </c>
      <c r="M127" s="3">
        <v>2155730883.1500001</v>
      </c>
      <c r="N127" s="4">
        <v>31049</v>
      </c>
      <c r="O127">
        <f t="shared" si="1"/>
        <v>5.5051648539903332E-3</v>
      </c>
    </row>
    <row r="128" spans="1:15" ht="14.25" customHeight="1" x14ac:dyDescent="0.3">
      <c r="A128" s="2">
        <v>45658</v>
      </c>
      <c r="B128" t="s">
        <v>15</v>
      </c>
      <c r="C128" s="3">
        <v>10858</v>
      </c>
      <c r="D128" s="3">
        <v>11273.95</v>
      </c>
      <c r="E128" s="3">
        <v>10800.2</v>
      </c>
      <c r="F128" s="3">
        <v>10858.4</v>
      </c>
      <c r="G128" s="3">
        <v>11185</v>
      </c>
      <c r="H128" s="3">
        <v>11208.3</v>
      </c>
      <c r="I128" s="3">
        <v>11106.44</v>
      </c>
      <c r="J128" s="3">
        <v>13680</v>
      </c>
      <c r="K128" s="3">
        <v>9737.65</v>
      </c>
      <c r="L128" s="4">
        <v>383202</v>
      </c>
      <c r="M128" s="3">
        <v>4256011580.9499998</v>
      </c>
      <c r="N128" s="4">
        <v>60953</v>
      </c>
      <c r="O128">
        <f t="shared" si="1"/>
        <v>3.2223900390481071E-2</v>
      </c>
    </row>
    <row r="129" spans="1:15" ht="14.25" customHeight="1" x14ac:dyDescent="0.3">
      <c r="A129" s="2">
        <v>45659</v>
      </c>
      <c r="B129" t="s">
        <v>15</v>
      </c>
      <c r="C129" s="3">
        <v>11285</v>
      </c>
      <c r="D129" s="3">
        <v>11859.15</v>
      </c>
      <c r="E129" s="3">
        <v>11226</v>
      </c>
      <c r="F129" s="3">
        <v>11208.3</v>
      </c>
      <c r="G129" s="3">
        <v>11837</v>
      </c>
      <c r="H129" s="3">
        <v>11841.3</v>
      </c>
      <c r="I129" s="3">
        <v>11644.01</v>
      </c>
      <c r="J129" s="3">
        <v>13680</v>
      </c>
      <c r="K129" s="3">
        <v>9737.65</v>
      </c>
      <c r="L129" s="4">
        <v>1417042</v>
      </c>
      <c r="M129" s="3">
        <v>16500046404.35</v>
      </c>
      <c r="N129" s="4">
        <v>178108</v>
      </c>
      <c r="O129">
        <f t="shared" si="1"/>
        <v>5.6476004389604137E-2</v>
      </c>
    </row>
    <row r="130" spans="1:15" ht="14.25" customHeight="1" x14ac:dyDescent="0.3">
      <c r="A130" s="2">
        <v>45660</v>
      </c>
      <c r="B130" t="s">
        <v>15</v>
      </c>
      <c r="C130" s="3">
        <v>11849.95</v>
      </c>
      <c r="D130" s="3">
        <v>12049.8</v>
      </c>
      <c r="E130" s="3">
        <v>11787.95</v>
      </c>
      <c r="F130" s="3">
        <v>11841.3</v>
      </c>
      <c r="G130" s="3">
        <v>11900</v>
      </c>
      <c r="H130" s="3">
        <v>11934.25</v>
      </c>
      <c r="I130" s="3">
        <v>11951.54</v>
      </c>
      <c r="J130" s="3">
        <v>13680</v>
      </c>
      <c r="K130" s="3">
        <v>9737.65</v>
      </c>
      <c r="L130" s="4">
        <v>701315</v>
      </c>
      <c r="M130" s="3">
        <v>8381797263.1499996</v>
      </c>
      <c r="N130" s="4">
        <v>102489</v>
      </c>
      <c r="O130">
        <f t="shared" si="1"/>
        <v>7.8496448869634864E-3</v>
      </c>
    </row>
    <row r="131" spans="1:15" ht="14.25" customHeight="1" x14ac:dyDescent="0.3">
      <c r="A131" s="2">
        <v>45663</v>
      </c>
      <c r="B131" t="s">
        <v>15</v>
      </c>
      <c r="C131" s="3">
        <v>11929</v>
      </c>
      <c r="D131" s="3">
        <v>11979.9</v>
      </c>
      <c r="E131" s="3">
        <v>11690.7</v>
      </c>
      <c r="F131" s="3">
        <v>11934.25</v>
      </c>
      <c r="G131" s="3">
        <v>11730.3</v>
      </c>
      <c r="H131" s="3">
        <v>11755.65</v>
      </c>
      <c r="I131" s="3">
        <v>11793.61</v>
      </c>
      <c r="J131" s="3">
        <v>13680</v>
      </c>
      <c r="K131" s="3">
        <v>9737.65</v>
      </c>
      <c r="L131" s="4">
        <v>383268</v>
      </c>
      <c r="M131" s="3">
        <v>4520111449.8999996</v>
      </c>
      <c r="N131" s="4">
        <v>67220</v>
      </c>
      <c r="O131">
        <f t="shared" ref="O131:O194" si="2">(H131-H130)/H130</f>
        <v>-1.4965330875421611E-2</v>
      </c>
    </row>
    <row r="132" spans="1:15" ht="14.25" customHeight="1" x14ac:dyDescent="0.3">
      <c r="A132" s="2">
        <v>45664</v>
      </c>
      <c r="B132" t="s">
        <v>15</v>
      </c>
      <c r="C132" s="3">
        <v>11755.65</v>
      </c>
      <c r="D132" s="3">
        <v>11825.95</v>
      </c>
      <c r="E132" s="3">
        <v>11673.7</v>
      </c>
      <c r="F132" s="3">
        <v>11755.65</v>
      </c>
      <c r="G132" s="3">
        <v>11715.15</v>
      </c>
      <c r="H132" s="3">
        <v>11721.3</v>
      </c>
      <c r="I132" s="3">
        <v>11746.11</v>
      </c>
      <c r="J132" s="3">
        <v>13680</v>
      </c>
      <c r="K132" s="3">
        <v>9737.65</v>
      </c>
      <c r="L132" s="4">
        <v>308104</v>
      </c>
      <c r="M132" s="3">
        <v>3619023348.9000001</v>
      </c>
      <c r="N132" s="4">
        <v>66788</v>
      </c>
      <c r="O132">
        <f t="shared" si="2"/>
        <v>-2.9219992088910748E-3</v>
      </c>
    </row>
    <row r="133" spans="1:15" ht="14.25" customHeight="1" x14ac:dyDescent="0.3">
      <c r="A133" s="2">
        <v>45665</v>
      </c>
      <c r="B133" t="s">
        <v>15</v>
      </c>
      <c r="C133" s="3">
        <v>11726</v>
      </c>
      <c r="D133" s="3">
        <v>11859.95</v>
      </c>
      <c r="E133" s="3">
        <v>11725.3</v>
      </c>
      <c r="F133" s="3">
        <v>11721.3</v>
      </c>
      <c r="G133" s="3">
        <v>11790.55</v>
      </c>
      <c r="H133" s="3">
        <v>11822</v>
      </c>
      <c r="I133" s="3">
        <v>11803.57</v>
      </c>
      <c r="J133" s="3">
        <v>13680</v>
      </c>
      <c r="K133" s="3">
        <v>9737.65</v>
      </c>
      <c r="L133" s="4">
        <v>303100</v>
      </c>
      <c r="M133" s="3">
        <v>3577661230.25</v>
      </c>
      <c r="N133" s="4">
        <v>74022</v>
      </c>
      <c r="O133">
        <f t="shared" si="2"/>
        <v>8.5911972221511899E-3</v>
      </c>
    </row>
    <row r="134" spans="1:15" ht="14.25" customHeight="1" x14ac:dyDescent="0.3">
      <c r="A134" s="2">
        <v>45666</v>
      </c>
      <c r="B134" t="s">
        <v>15</v>
      </c>
      <c r="C134" s="3">
        <v>11822</v>
      </c>
      <c r="D134" s="3">
        <v>11850</v>
      </c>
      <c r="E134" s="3">
        <v>11659.65</v>
      </c>
      <c r="F134" s="3">
        <v>11822</v>
      </c>
      <c r="G134" s="3">
        <v>11751.15</v>
      </c>
      <c r="H134" s="3">
        <v>11740.55</v>
      </c>
      <c r="I134" s="3">
        <v>11751.68</v>
      </c>
      <c r="J134" s="3">
        <v>13680</v>
      </c>
      <c r="K134" s="3">
        <v>9737.65</v>
      </c>
      <c r="L134" s="4">
        <v>266413</v>
      </c>
      <c r="M134" s="3">
        <v>3130800907.4499998</v>
      </c>
      <c r="N134" s="4">
        <v>57684</v>
      </c>
      <c r="O134">
        <f t="shared" si="2"/>
        <v>-6.8896971747589852E-3</v>
      </c>
    </row>
    <row r="135" spans="1:15" ht="14.25" customHeight="1" x14ac:dyDescent="0.3">
      <c r="A135" s="2">
        <v>45667</v>
      </c>
      <c r="B135" t="s">
        <v>15</v>
      </c>
      <c r="C135" s="3">
        <v>11690</v>
      </c>
      <c r="D135" s="3">
        <v>11760</v>
      </c>
      <c r="E135" s="3">
        <v>11570</v>
      </c>
      <c r="F135" s="3">
        <v>11740.55</v>
      </c>
      <c r="G135" s="3">
        <v>11640</v>
      </c>
      <c r="H135" s="3">
        <v>11631.1</v>
      </c>
      <c r="I135" s="3">
        <v>11634.03</v>
      </c>
      <c r="J135" s="3">
        <v>13680</v>
      </c>
      <c r="K135" s="3">
        <v>9737.65</v>
      </c>
      <c r="L135" s="4">
        <v>218246</v>
      </c>
      <c r="M135" s="3">
        <v>2539079696.4000001</v>
      </c>
      <c r="N135" s="4">
        <v>48765</v>
      </c>
      <c r="O135">
        <f t="shared" si="2"/>
        <v>-9.3223911997307556E-3</v>
      </c>
    </row>
    <row r="136" spans="1:15" ht="14.25" customHeight="1" x14ac:dyDescent="0.3">
      <c r="A136" s="2">
        <v>45670</v>
      </c>
      <c r="B136" t="s">
        <v>15</v>
      </c>
      <c r="C136" s="3">
        <v>11468.5</v>
      </c>
      <c r="D136" s="3">
        <v>11654.45</v>
      </c>
      <c r="E136" s="3">
        <v>11468</v>
      </c>
      <c r="F136" s="3">
        <v>11631.1</v>
      </c>
      <c r="G136" s="3">
        <v>11500</v>
      </c>
      <c r="H136" s="3">
        <v>11497.7</v>
      </c>
      <c r="I136" s="3">
        <v>11557.32</v>
      </c>
      <c r="J136" s="3">
        <v>13680</v>
      </c>
      <c r="K136" s="3">
        <v>9737.65</v>
      </c>
      <c r="L136" s="4">
        <v>253524</v>
      </c>
      <c r="M136" s="3">
        <v>2930057738.0500002</v>
      </c>
      <c r="N136" s="4">
        <v>46840</v>
      </c>
      <c r="O136">
        <f t="shared" si="2"/>
        <v>-1.146925054380064E-2</v>
      </c>
    </row>
    <row r="137" spans="1:15" ht="14.25" customHeight="1" x14ac:dyDescent="0.3">
      <c r="A137" s="2">
        <v>45671</v>
      </c>
      <c r="B137" t="s">
        <v>15</v>
      </c>
      <c r="C137" s="3">
        <v>11533.95</v>
      </c>
      <c r="D137" s="3">
        <v>11785.55</v>
      </c>
      <c r="E137" s="3">
        <v>11531</v>
      </c>
      <c r="F137" s="3">
        <v>11497.7</v>
      </c>
      <c r="G137" s="3">
        <v>11745</v>
      </c>
      <c r="H137" s="3">
        <v>11741.15</v>
      </c>
      <c r="I137" s="3">
        <v>11713.39</v>
      </c>
      <c r="J137" s="3">
        <v>13680</v>
      </c>
      <c r="K137" s="3">
        <v>9737.65</v>
      </c>
      <c r="L137" s="4">
        <v>627463</v>
      </c>
      <c r="M137" s="3">
        <v>7349715789.8999996</v>
      </c>
      <c r="N137" s="4">
        <v>99759</v>
      </c>
      <c r="O137">
        <f t="shared" si="2"/>
        <v>2.1173799977386686E-2</v>
      </c>
    </row>
    <row r="138" spans="1:15" ht="14.25" customHeight="1" x14ac:dyDescent="0.3">
      <c r="A138" s="2">
        <v>45672</v>
      </c>
      <c r="B138" t="s">
        <v>15</v>
      </c>
      <c r="C138" s="3">
        <v>11890.55</v>
      </c>
      <c r="D138" s="3">
        <v>12192.4</v>
      </c>
      <c r="E138" s="3">
        <v>11861</v>
      </c>
      <c r="F138" s="3">
        <v>11741.15</v>
      </c>
      <c r="G138" s="3">
        <v>11964.95</v>
      </c>
      <c r="H138" s="3">
        <v>11947.4</v>
      </c>
      <c r="I138" s="3">
        <v>12007.95</v>
      </c>
      <c r="J138" s="3">
        <v>13680</v>
      </c>
      <c r="K138" s="3">
        <v>9737.65</v>
      </c>
      <c r="L138" s="4">
        <v>692822</v>
      </c>
      <c r="M138" s="3">
        <v>8319374879.0500002</v>
      </c>
      <c r="N138" s="4">
        <v>119075</v>
      </c>
      <c r="O138">
        <f t="shared" si="2"/>
        <v>1.7566422369188709E-2</v>
      </c>
    </row>
    <row r="139" spans="1:15" ht="14.25" customHeight="1" x14ac:dyDescent="0.3">
      <c r="A139" s="2">
        <v>45673</v>
      </c>
      <c r="B139" t="s">
        <v>15</v>
      </c>
      <c r="C139" s="3">
        <v>11981.45</v>
      </c>
      <c r="D139" s="3">
        <v>12134</v>
      </c>
      <c r="E139" s="3">
        <v>11956.2</v>
      </c>
      <c r="F139" s="3">
        <v>11947.4</v>
      </c>
      <c r="G139" s="3">
        <v>12094</v>
      </c>
      <c r="H139" s="3">
        <v>12092.3</v>
      </c>
      <c r="I139" s="3">
        <v>12066.97</v>
      </c>
      <c r="J139" s="3">
        <v>13680</v>
      </c>
      <c r="K139" s="3">
        <v>9737.65</v>
      </c>
      <c r="L139" s="4">
        <v>551211</v>
      </c>
      <c r="M139" s="3">
        <v>6651446665.1499996</v>
      </c>
      <c r="N139" s="4">
        <v>170528</v>
      </c>
      <c r="O139">
        <f t="shared" si="2"/>
        <v>1.2128161775783823E-2</v>
      </c>
    </row>
    <row r="140" spans="1:15" ht="14.25" customHeight="1" x14ac:dyDescent="0.3">
      <c r="A140" s="2">
        <v>45674</v>
      </c>
      <c r="B140" t="s">
        <v>15</v>
      </c>
      <c r="C140" s="3">
        <v>12101.9</v>
      </c>
      <c r="D140" s="3">
        <v>12189.9</v>
      </c>
      <c r="E140" s="3">
        <v>12004.3</v>
      </c>
      <c r="F140" s="3">
        <v>12092.3</v>
      </c>
      <c r="G140" s="3">
        <v>12109.05</v>
      </c>
      <c r="H140" s="3">
        <v>12136.35</v>
      </c>
      <c r="I140" s="3">
        <v>12104.37</v>
      </c>
      <c r="J140" s="3">
        <v>13680</v>
      </c>
      <c r="K140" s="3">
        <v>9737.65</v>
      </c>
      <c r="L140" s="4">
        <v>285370</v>
      </c>
      <c r="M140" s="3">
        <v>3454223311.5999999</v>
      </c>
      <c r="N140" s="4">
        <v>48730</v>
      </c>
      <c r="O140">
        <f t="shared" si="2"/>
        <v>3.6428140221464152E-3</v>
      </c>
    </row>
    <row r="141" spans="1:15" ht="14.25" customHeight="1" x14ac:dyDescent="0.3">
      <c r="A141" s="2">
        <v>45677</v>
      </c>
      <c r="B141" t="s">
        <v>15</v>
      </c>
      <c r="C141" s="3">
        <v>12147.05</v>
      </c>
      <c r="D141" s="3">
        <v>12147.05</v>
      </c>
      <c r="E141" s="3">
        <v>11984.05</v>
      </c>
      <c r="F141" s="3">
        <v>12136.35</v>
      </c>
      <c r="G141" s="3">
        <v>12006.8</v>
      </c>
      <c r="H141" s="3">
        <v>12020.05</v>
      </c>
      <c r="I141" s="3">
        <v>12040.78</v>
      </c>
      <c r="J141" s="3">
        <v>13680</v>
      </c>
      <c r="K141" s="3">
        <v>9755</v>
      </c>
      <c r="L141" s="4">
        <v>251731</v>
      </c>
      <c r="M141" s="3">
        <v>3031037469</v>
      </c>
      <c r="N141" s="4">
        <v>54390</v>
      </c>
      <c r="O141">
        <f t="shared" si="2"/>
        <v>-9.5827823027517401E-3</v>
      </c>
    </row>
    <row r="142" spans="1:15" ht="14.25" customHeight="1" x14ac:dyDescent="0.3">
      <c r="A142" s="2">
        <v>45678</v>
      </c>
      <c r="B142" t="s">
        <v>15</v>
      </c>
      <c r="C142" s="3">
        <v>12017.05</v>
      </c>
      <c r="D142" s="3">
        <v>12139.8</v>
      </c>
      <c r="E142" s="3">
        <v>11862.05</v>
      </c>
      <c r="F142" s="3">
        <v>12020.05</v>
      </c>
      <c r="G142" s="3">
        <v>11909</v>
      </c>
      <c r="H142" s="3">
        <v>11883.7</v>
      </c>
      <c r="I142" s="3">
        <v>11984.35</v>
      </c>
      <c r="J142" s="3">
        <v>13680</v>
      </c>
      <c r="K142" s="3">
        <v>9755</v>
      </c>
      <c r="L142" s="4">
        <v>300038</v>
      </c>
      <c r="M142" s="3">
        <v>3595758995.4499998</v>
      </c>
      <c r="N142" s="4">
        <v>86307</v>
      </c>
      <c r="O142">
        <f t="shared" si="2"/>
        <v>-1.1343546823848366E-2</v>
      </c>
    </row>
    <row r="143" spans="1:15" ht="14.25" customHeight="1" x14ac:dyDescent="0.3">
      <c r="A143" s="2">
        <v>45679</v>
      </c>
      <c r="B143" t="s">
        <v>15</v>
      </c>
      <c r="C143" s="3">
        <v>11900.05</v>
      </c>
      <c r="D143" s="3">
        <v>12078.85</v>
      </c>
      <c r="E143" s="3">
        <v>11900.05</v>
      </c>
      <c r="F143" s="3">
        <v>11883.7</v>
      </c>
      <c r="G143" s="3">
        <v>12020</v>
      </c>
      <c r="H143" s="3">
        <v>12020.35</v>
      </c>
      <c r="I143" s="3">
        <v>11998.48</v>
      </c>
      <c r="J143" s="3">
        <v>13680</v>
      </c>
      <c r="K143" s="3">
        <v>9755</v>
      </c>
      <c r="L143" s="4">
        <v>396590</v>
      </c>
      <c r="M143" s="3">
        <v>4758475783.5</v>
      </c>
      <c r="N143" s="4">
        <v>84861</v>
      </c>
      <c r="O143">
        <f t="shared" si="2"/>
        <v>1.1498943931603762E-2</v>
      </c>
    </row>
    <row r="144" spans="1:15" ht="14.25" customHeight="1" x14ac:dyDescent="0.3">
      <c r="A144" s="2">
        <v>45680</v>
      </c>
      <c r="B144" t="s">
        <v>15</v>
      </c>
      <c r="C144" s="3">
        <v>12005</v>
      </c>
      <c r="D144" s="3">
        <v>12106.3</v>
      </c>
      <c r="E144" s="3">
        <v>11961.3</v>
      </c>
      <c r="F144" s="3">
        <v>12020.35</v>
      </c>
      <c r="G144" s="3">
        <v>12010</v>
      </c>
      <c r="H144" s="3">
        <v>12045.75</v>
      </c>
      <c r="I144" s="3">
        <v>12037.71</v>
      </c>
      <c r="J144" s="3">
        <v>13680</v>
      </c>
      <c r="K144" s="3">
        <v>9755</v>
      </c>
      <c r="L144" s="4">
        <v>480876</v>
      </c>
      <c r="M144" s="3">
        <v>5788646596.3999996</v>
      </c>
      <c r="N144" s="4">
        <v>80683</v>
      </c>
      <c r="O144">
        <f t="shared" si="2"/>
        <v>2.113083229689621E-3</v>
      </c>
    </row>
    <row r="145" spans="1:15" ht="14.25" customHeight="1" x14ac:dyDescent="0.3">
      <c r="A145" s="2">
        <v>45681</v>
      </c>
      <c r="B145" t="s">
        <v>15</v>
      </c>
      <c r="C145" s="3">
        <v>11930</v>
      </c>
      <c r="D145" s="3">
        <v>12093</v>
      </c>
      <c r="E145" s="3">
        <v>11914.1</v>
      </c>
      <c r="F145" s="3">
        <v>12045.75</v>
      </c>
      <c r="G145" s="3">
        <v>11949.35</v>
      </c>
      <c r="H145" s="3">
        <v>11967.9</v>
      </c>
      <c r="I145" s="3">
        <v>11990.44</v>
      </c>
      <c r="J145" s="3">
        <v>13680</v>
      </c>
      <c r="K145" s="3">
        <v>9755</v>
      </c>
      <c r="L145" s="4">
        <v>310343</v>
      </c>
      <c r="M145" s="3">
        <v>3721149231.5999999</v>
      </c>
      <c r="N145" s="4">
        <v>53209</v>
      </c>
      <c r="O145">
        <f t="shared" si="2"/>
        <v>-6.462860344934966E-3</v>
      </c>
    </row>
    <row r="146" spans="1:15" ht="14.25" customHeight="1" x14ac:dyDescent="0.3">
      <c r="A146" s="2">
        <v>45684</v>
      </c>
      <c r="B146" t="s">
        <v>15</v>
      </c>
      <c r="C146" s="3">
        <v>11901.9</v>
      </c>
      <c r="D146" s="3">
        <v>12046.9</v>
      </c>
      <c r="E146" s="3">
        <v>11811.05</v>
      </c>
      <c r="F146" s="3">
        <v>11967.9</v>
      </c>
      <c r="G146" s="3">
        <v>11990</v>
      </c>
      <c r="H146" s="3">
        <v>11993.85</v>
      </c>
      <c r="I146" s="3">
        <v>11984.4</v>
      </c>
      <c r="J146" s="3">
        <v>13680</v>
      </c>
      <c r="K146" s="3">
        <v>9875.0499999999993</v>
      </c>
      <c r="L146" s="4">
        <v>251783</v>
      </c>
      <c r="M146" s="3">
        <v>3017469310.5999999</v>
      </c>
      <c r="N146" s="4">
        <v>64019</v>
      </c>
      <c r="O146">
        <f t="shared" si="2"/>
        <v>2.1683002030432014E-3</v>
      </c>
    </row>
    <row r="147" spans="1:15" ht="14.25" customHeight="1" x14ac:dyDescent="0.3">
      <c r="A147" s="2">
        <v>45685</v>
      </c>
      <c r="B147" t="s">
        <v>15</v>
      </c>
      <c r="C147" s="3">
        <v>12018.35</v>
      </c>
      <c r="D147" s="3">
        <v>12164.7</v>
      </c>
      <c r="E147" s="3">
        <v>11884.95</v>
      </c>
      <c r="F147" s="3">
        <v>11993.85</v>
      </c>
      <c r="G147" s="3">
        <v>12097</v>
      </c>
      <c r="H147" s="3">
        <v>12123.75</v>
      </c>
      <c r="I147" s="3">
        <v>12050.28</v>
      </c>
      <c r="J147" s="3">
        <v>13680</v>
      </c>
      <c r="K147" s="3">
        <v>9875.0499999999993</v>
      </c>
      <c r="L147" s="4">
        <v>533451</v>
      </c>
      <c r="M147" s="3">
        <v>6428235389.0500002</v>
      </c>
      <c r="N147" s="4">
        <v>108020</v>
      </c>
      <c r="O147">
        <f t="shared" si="2"/>
        <v>1.083055065721179E-2</v>
      </c>
    </row>
    <row r="148" spans="1:15" ht="14.25" customHeight="1" x14ac:dyDescent="0.3">
      <c r="A148" s="2">
        <v>45686</v>
      </c>
      <c r="B148" t="s">
        <v>15</v>
      </c>
      <c r="C148" s="3">
        <v>12120</v>
      </c>
      <c r="D148" s="3">
        <v>12320.7</v>
      </c>
      <c r="E148" s="3">
        <v>11885.05</v>
      </c>
      <c r="F148" s="3">
        <v>12123.75</v>
      </c>
      <c r="G148" s="3">
        <v>11953</v>
      </c>
      <c r="H148" s="3">
        <v>11977.9</v>
      </c>
      <c r="I148" s="3">
        <v>12120.54</v>
      </c>
      <c r="J148" s="3">
        <v>13680</v>
      </c>
      <c r="K148" s="3">
        <v>9875.0499999999993</v>
      </c>
      <c r="L148" s="4">
        <v>817549</v>
      </c>
      <c r="M148" s="3">
        <v>9909138346.9500008</v>
      </c>
      <c r="N148" s="4">
        <v>150723</v>
      </c>
      <c r="O148">
        <f t="shared" si="2"/>
        <v>-1.2030106196515135E-2</v>
      </c>
    </row>
    <row r="149" spans="1:15" ht="14.25" customHeight="1" x14ac:dyDescent="0.3">
      <c r="A149" s="2">
        <v>45687</v>
      </c>
      <c r="B149" t="s">
        <v>15</v>
      </c>
      <c r="C149" s="3">
        <v>12021</v>
      </c>
      <c r="D149" s="3">
        <v>12110.85</v>
      </c>
      <c r="E149" s="3">
        <v>11923.1</v>
      </c>
      <c r="F149" s="3">
        <v>11977.9</v>
      </c>
      <c r="G149" s="3">
        <v>12005</v>
      </c>
      <c r="H149" s="3">
        <v>12000</v>
      </c>
      <c r="I149" s="3">
        <v>12007.85</v>
      </c>
      <c r="J149" s="3">
        <v>13680</v>
      </c>
      <c r="K149" s="3">
        <v>9875.0499999999993</v>
      </c>
      <c r="L149" s="4">
        <v>418442</v>
      </c>
      <c r="M149" s="3">
        <v>5024590033.8500004</v>
      </c>
      <c r="N149" s="4">
        <v>68845</v>
      </c>
      <c r="O149">
        <f t="shared" si="2"/>
        <v>1.8450646607502453E-3</v>
      </c>
    </row>
    <row r="150" spans="1:15" ht="14.25" customHeight="1" x14ac:dyDescent="0.3">
      <c r="A150" s="2">
        <v>45688</v>
      </c>
      <c r="B150" t="s">
        <v>15</v>
      </c>
      <c r="C150" s="3">
        <v>12000</v>
      </c>
      <c r="D150" s="3">
        <v>12390</v>
      </c>
      <c r="E150" s="3">
        <v>12000</v>
      </c>
      <c r="F150" s="3">
        <v>12000</v>
      </c>
      <c r="G150" s="3">
        <v>12308.25</v>
      </c>
      <c r="H150" s="3">
        <v>12310.65</v>
      </c>
      <c r="I150" s="3">
        <v>12267.08</v>
      </c>
      <c r="J150" s="3">
        <v>13680</v>
      </c>
      <c r="K150" s="3">
        <v>9875.0499999999993</v>
      </c>
      <c r="L150" s="4">
        <v>709009</v>
      </c>
      <c r="M150" s="3">
        <v>8697470476</v>
      </c>
      <c r="N150" s="4">
        <v>106204</v>
      </c>
      <c r="O150">
        <f t="shared" si="2"/>
        <v>2.588749999999997E-2</v>
      </c>
    </row>
    <row r="151" spans="1:15" ht="14.25" customHeight="1" x14ac:dyDescent="0.3">
      <c r="A151" s="2">
        <v>45689</v>
      </c>
      <c r="B151" t="s">
        <v>15</v>
      </c>
      <c r="C151" s="3">
        <v>12320</v>
      </c>
      <c r="D151" s="3">
        <v>13150</v>
      </c>
      <c r="E151" s="3">
        <v>12228.65</v>
      </c>
      <c r="F151" s="3">
        <v>12310.65</v>
      </c>
      <c r="G151" s="3">
        <v>12910</v>
      </c>
      <c r="H151" s="3">
        <v>12916.5</v>
      </c>
      <c r="I151" s="3">
        <v>12831.74</v>
      </c>
      <c r="J151" s="3">
        <v>13680</v>
      </c>
      <c r="K151" s="3">
        <v>9875.0499999999993</v>
      </c>
      <c r="L151" s="4">
        <v>1101170</v>
      </c>
      <c r="M151" s="3">
        <v>14129928701.299999</v>
      </c>
      <c r="N151" s="4">
        <v>165681</v>
      </c>
      <c r="O151">
        <f t="shared" si="2"/>
        <v>4.9213485884173493E-2</v>
      </c>
    </row>
    <row r="152" spans="1:15" ht="14.25" customHeight="1" x14ac:dyDescent="0.3">
      <c r="A152" s="2">
        <v>45691</v>
      </c>
      <c r="B152" t="s">
        <v>15</v>
      </c>
      <c r="C152" s="3">
        <v>12990</v>
      </c>
      <c r="D152" s="3">
        <v>13461.2</v>
      </c>
      <c r="E152" s="3">
        <v>12921.65</v>
      </c>
      <c r="F152" s="3">
        <v>12916.5</v>
      </c>
      <c r="G152" s="3">
        <v>13120</v>
      </c>
      <c r="H152" s="3">
        <v>13139.95</v>
      </c>
      <c r="I152" s="3">
        <v>13164.08</v>
      </c>
      <c r="J152" s="3">
        <v>13680</v>
      </c>
      <c r="K152" s="3">
        <v>10400</v>
      </c>
      <c r="L152" s="4">
        <v>926127</v>
      </c>
      <c r="M152" s="3">
        <v>12191606310.549999</v>
      </c>
      <c r="N152" s="4">
        <v>204041</v>
      </c>
      <c r="O152">
        <f t="shared" si="2"/>
        <v>1.7299578059071785E-2</v>
      </c>
    </row>
    <row r="153" spans="1:15" ht="14.25" customHeight="1" x14ac:dyDescent="0.3">
      <c r="A153" s="2">
        <v>45692</v>
      </c>
      <c r="B153" t="s">
        <v>15</v>
      </c>
      <c r="C153" s="3">
        <v>13250</v>
      </c>
      <c r="D153" s="3">
        <v>13259.95</v>
      </c>
      <c r="E153" s="3">
        <v>12971.5</v>
      </c>
      <c r="F153" s="3">
        <v>13139.95</v>
      </c>
      <c r="G153" s="3">
        <v>13106.55</v>
      </c>
      <c r="H153" s="3">
        <v>13109.95</v>
      </c>
      <c r="I153" s="3">
        <v>13081.94</v>
      </c>
      <c r="J153" s="3">
        <v>13680</v>
      </c>
      <c r="K153" s="3">
        <v>10400</v>
      </c>
      <c r="L153" s="4">
        <v>530749</v>
      </c>
      <c r="M153" s="3">
        <v>6943225734.3999996</v>
      </c>
      <c r="N153" s="4">
        <v>98004</v>
      </c>
      <c r="O153">
        <f t="shared" si="2"/>
        <v>-2.2831137104783504E-3</v>
      </c>
    </row>
    <row r="154" spans="1:15" ht="14.25" customHeight="1" x14ac:dyDescent="0.3">
      <c r="A154" s="2">
        <v>45693</v>
      </c>
      <c r="B154" t="s">
        <v>15</v>
      </c>
      <c r="C154" s="3">
        <v>13110</v>
      </c>
      <c r="D154" s="3">
        <v>13150</v>
      </c>
      <c r="E154" s="3">
        <v>13003.5</v>
      </c>
      <c r="F154" s="3">
        <v>13109.95</v>
      </c>
      <c r="G154" s="3">
        <v>13070</v>
      </c>
      <c r="H154" s="3">
        <v>13086.8</v>
      </c>
      <c r="I154" s="3">
        <v>13064.26</v>
      </c>
      <c r="J154" s="3">
        <v>13680</v>
      </c>
      <c r="K154" s="3">
        <v>10400</v>
      </c>
      <c r="L154" s="4">
        <v>271633</v>
      </c>
      <c r="M154" s="3">
        <v>3548684588</v>
      </c>
      <c r="N154" s="4">
        <v>53832</v>
      </c>
      <c r="O154">
        <f t="shared" si="2"/>
        <v>-1.7658343471944175E-3</v>
      </c>
    </row>
    <row r="155" spans="1:15" ht="14.25" customHeight="1" x14ac:dyDescent="0.3">
      <c r="A155" s="2">
        <v>45694</v>
      </c>
      <c r="B155" t="s">
        <v>15</v>
      </c>
      <c r="C155" s="3">
        <v>13060</v>
      </c>
      <c r="D155" s="3">
        <v>13130</v>
      </c>
      <c r="E155" s="3">
        <v>13006.8</v>
      </c>
      <c r="F155" s="3">
        <v>13086.8</v>
      </c>
      <c r="G155" s="3">
        <v>13068.35</v>
      </c>
      <c r="H155" s="3">
        <v>13074</v>
      </c>
      <c r="I155" s="3">
        <v>13071.28</v>
      </c>
      <c r="J155" s="3">
        <v>13680</v>
      </c>
      <c r="K155" s="3">
        <v>10400</v>
      </c>
      <c r="L155" s="4">
        <v>414134</v>
      </c>
      <c r="M155" s="3">
        <v>5413261967.9499998</v>
      </c>
      <c r="N155" s="4">
        <v>75502</v>
      </c>
      <c r="O155">
        <f t="shared" si="2"/>
        <v>-9.7808478772498045E-4</v>
      </c>
    </row>
    <row r="156" spans="1:15" ht="14.25" customHeight="1" x14ac:dyDescent="0.3">
      <c r="A156" s="2">
        <v>45695</v>
      </c>
      <c r="B156" t="s">
        <v>15</v>
      </c>
      <c r="C156" s="3">
        <v>13060</v>
      </c>
      <c r="D156" s="3">
        <v>13108.5</v>
      </c>
      <c r="E156" s="3">
        <v>13012</v>
      </c>
      <c r="F156" s="3">
        <v>13074</v>
      </c>
      <c r="G156" s="3">
        <v>13033.45</v>
      </c>
      <c r="H156" s="3">
        <v>13049.5</v>
      </c>
      <c r="I156" s="3">
        <v>13053.89</v>
      </c>
      <c r="J156" s="3">
        <v>13680</v>
      </c>
      <c r="K156" s="3">
        <v>10400</v>
      </c>
      <c r="L156" s="4">
        <v>355223</v>
      </c>
      <c r="M156" s="3">
        <v>4637043615.6499996</v>
      </c>
      <c r="N156" s="4">
        <v>69645</v>
      </c>
      <c r="O156">
        <f t="shared" si="2"/>
        <v>-1.8739482943246138E-3</v>
      </c>
    </row>
    <row r="157" spans="1:15" ht="14.25" customHeight="1" x14ac:dyDescent="0.3">
      <c r="A157" s="2">
        <v>45698</v>
      </c>
      <c r="B157" t="s">
        <v>15</v>
      </c>
      <c r="C157" s="3">
        <v>13050</v>
      </c>
      <c r="D157" s="3">
        <v>13060</v>
      </c>
      <c r="E157" s="3">
        <v>12886.65</v>
      </c>
      <c r="F157" s="3">
        <v>13049.5</v>
      </c>
      <c r="G157" s="3">
        <v>12891.65</v>
      </c>
      <c r="H157" s="3">
        <v>12900.75</v>
      </c>
      <c r="I157" s="3">
        <v>12939.35</v>
      </c>
      <c r="J157" s="3">
        <v>13680</v>
      </c>
      <c r="K157" s="3">
        <v>10640.15</v>
      </c>
      <c r="L157" s="4">
        <v>294142</v>
      </c>
      <c r="M157" s="3">
        <v>3806005190.0999999</v>
      </c>
      <c r="N157" s="4">
        <v>56822</v>
      </c>
      <c r="O157">
        <f t="shared" si="2"/>
        <v>-1.1398904172573662E-2</v>
      </c>
    </row>
    <row r="158" spans="1:15" ht="14.25" customHeight="1" x14ac:dyDescent="0.3">
      <c r="A158" s="2">
        <v>45699</v>
      </c>
      <c r="B158" t="s">
        <v>15</v>
      </c>
      <c r="C158" s="3">
        <v>12899.95</v>
      </c>
      <c r="D158" s="3">
        <v>13017.25</v>
      </c>
      <c r="E158" s="3">
        <v>12699.45</v>
      </c>
      <c r="F158" s="3">
        <v>12900.75</v>
      </c>
      <c r="G158" s="3">
        <v>12708.3</v>
      </c>
      <c r="H158" s="3">
        <v>12724.35</v>
      </c>
      <c r="I158" s="3">
        <v>12821.43</v>
      </c>
      <c r="J158" s="3">
        <v>13680</v>
      </c>
      <c r="K158" s="3">
        <v>10640.15</v>
      </c>
      <c r="L158" s="4">
        <v>354195</v>
      </c>
      <c r="M158" s="3">
        <v>4541285022.3000002</v>
      </c>
      <c r="N158" s="4">
        <v>65803</v>
      </c>
      <c r="O158">
        <f t="shared" si="2"/>
        <v>-1.3673623626533312E-2</v>
      </c>
    </row>
    <row r="159" spans="1:15" ht="14.25" customHeight="1" x14ac:dyDescent="0.3">
      <c r="A159" s="2">
        <v>45700</v>
      </c>
      <c r="B159" t="s">
        <v>15</v>
      </c>
      <c r="C159" s="3">
        <v>12700</v>
      </c>
      <c r="D159" s="3">
        <v>12765.35</v>
      </c>
      <c r="E159" s="3">
        <v>12608.05</v>
      </c>
      <c r="F159" s="3">
        <v>12724.35</v>
      </c>
      <c r="G159" s="3">
        <v>12656</v>
      </c>
      <c r="H159" s="3">
        <v>12655.55</v>
      </c>
      <c r="I159" s="3">
        <v>12682.27</v>
      </c>
      <c r="J159" s="3">
        <v>13680</v>
      </c>
      <c r="K159" s="3">
        <v>10640.15</v>
      </c>
      <c r="L159" s="4">
        <v>425735</v>
      </c>
      <c r="M159" s="3">
        <v>5399284935.8000002</v>
      </c>
      <c r="N159" s="4">
        <v>72469</v>
      </c>
      <c r="O159">
        <f t="shared" si="2"/>
        <v>-5.4069559545282149E-3</v>
      </c>
    </row>
    <row r="160" spans="1:15" ht="14.25" customHeight="1" x14ac:dyDescent="0.3">
      <c r="A160" s="2">
        <v>45701</v>
      </c>
      <c r="B160" t="s">
        <v>15</v>
      </c>
      <c r="C160" s="3">
        <v>12675</v>
      </c>
      <c r="D160" s="3">
        <v>12744.95</v>
      </c>
      <c r="E160" s="3">
        <v>12614.75</v>
      </c>
      <c r="F160" s="3">
        <v>12655.55</v>
      </c>
      <c r="G160" s="3">
        <v>12673</v>
      </c>
      <c r="H160" s="3">
        <v>12671.3</v>
      </c>
      <c r="I160" s="3">
        <v>12670.66</v>
      </c>
      <c r="J160" s="3">
        <v>13680</v>
      </c>
      <c r="K160" s="3">
        <v>10640.15</v>
      </c>
      <c r="L160" s="4">
        <v>186742</v>
      </c>
      <c r="M160" s="3">
        <v>2366144148.3000002</v>
      </c>
      <c r="N160" s="4">
        <v>42580</v>
      </c>
      <c r="O160">
        <f t="shared" si="2"/>
        <v>1.2445132767837036E-3</v>
      </c>
    </row>
    <row r="161" spans="1:15" ht="14.25" customHeight="1" x14ac:dyDescent="0.3">
      <c r="A161" s="2">
        <v>45702</v>
      </c>
      <c r="B161" t="s">
        <v>15</v>
      </c>
      <c r="C161" s="3">
        <v>12700</v>
      </c>
      <c r="D161" s="3">
        <v>12780</v>
      </c>
      <c r="E161" s="3">
        <v>12584.1</v>
      </c>
      <c r="F161" s="3">
        <v>12671.3</v>
      </c>
      <c r="G161" s="3">
        <v>12660</v>
      </c>
      <c r="H161" s="3">
        <v>12680.25</v>
      </c>
      <c r="I161" s="3">
        <v>12670.98</v>
      </c>
      <c r="J161" s="3">
        <v>13680</v>
      </c>
      <c r="K161" s="3">
        <v>10640.15</v>
      </c>
      <c r="L161" s="4">
        <v>233454</v>
      </c>
      <c r="M161" s="3">
        <v>2958090266.9499998</v>
      </c>
      <c r="N161" s="4">
        <v>44934</v>
      </c>
      <c r="O161">
        <f t="shared" si="2"/>
        <v>7.0632058273426782E-4</v>
      </c>
    </row>
    <row r="162" spans="1:15" ht="14.25" customHeight="1" x14ac:dyDescent="0.3">
      <c r="A162" s="2">
        <v>45705</v>
      </c>
      <c r="B162" t="s">
        <v>15</v>
      </c>
      <c r="C162" s="3">
        <v>12601.6</v>
      </c>
      <c r="D162" s="3">
        <v>12774</v>
      </c>
      <c r="E162" s="3">
        <v>12578.1</v>
      </c>
      <c r="F162" s="3">
        <v>12680.25</v>
      </c>
      <c r="G162" s="3">
        <v>12759.95</v>
      </c>
      <c r="H162" s="3">
        <v>12762.9</v>
      </c>
      <c r="I162" s="3">
        <v>12688.88</v>
      </c>
      <c r="J162" s="3">
        <v>13680</v>
      </c>
      <c r="K162" s="3">
        <v>10725</v>
      </c>
      <c r="L162" s="4">
        <v>192210</v>
      </c>
      <c r="M162" s="3">
        <v>2438929200.5999999</v>
      </c>
      <c r="N162" s="4">
        <v>42892</v>
      </c>
      <c r="O162">
        <f t="shared" si="2"/>
        <v>6.5180102915951684E-3</v>
      </c>
    </row>
    <row r="163" spans="1:15" ht="14.25" customHeight="1" x14ac:dyDescent="0.3">
      <c r="A163" s="2">
        <v>45706</v>
      </c>
      <c r="B163" t="s">
        <v>15</v>
      </c>
      <c r="C163" s="3">
        <v>12764.95</v>
      </c>
      <c r="D163" s="3">
        <v>12884.95</v>
      </c>
      <c r="E163" s="3">
        <v>12735.15</v>
      </c>
      <c r="F163" s="3">
        <v>12762.9</v>
      </c>
      <c r="G163" s="3">
        <v>12778</v>
      </c>
      <c r="H163" s="3">
        <v>12786.2</v>
      </c>
      <c r="I163" s="3">
        <v>12788.64</v>
      </c>
      <c r="J163" s="3">
        <v>13680</v>
      </c>
      <c r="K163" s="3">
        <v>10725</v>
      </c>
      <c r="L163" s="4">
        <v>267936</v>
      </c>
      <c r="M163" s="3">
        <v>3426537796.1500001</v>
      </c>
      <c r="N163" s="4">
        <v>54786</v>
      </c>
      <c r="O163">
        <f t="shared" si="2"/>
        <v>1.825603898800515E-3</v>
      </c>
    </row>
    <row r="164" spans="1:15" ht="14.25" customHeight="1" x14ac:dyDescent="0.3">
      <c r="A164" s="2">
        <v>45707</v>
      </c>
      <c r="B164" t="s">
        <v>15</v>
      </c>
      <c r="C164" s="3">
        <v>12727</v>
      </c>
      <c r="D164" s="3">
        <v>12769.15</v>
      </c>
      <c r="E164" s="3">
        <v>12651</v>
      </c>
      <c r="F164" s="3">
        <v>12786.2</v>
      </c>
      <c r="G164" s="3">
        <v>12681.2</v>
      </c>
      <c r="H164" s="3">
        <v>12686.15</v>
      </c>
      <c r="I164" s="3">
        <v>12700.83</v>
      </c>
      <c r="J164" s="3">
        <v>13680</v>
      </c>
      <c r="K164" s="3">
        <v>10725</v>
      </c>
      <c r="L164" s="4">
        <v>288694</v>
      </c>
      <c r="M164" s="3">
        <v>3666654355.6500001</v>
      </c>
      <c r="N164" s="4">
        <v>61158</v>
      </c>
      <c r="O164">
        <f t="shared" si="2"/>
        <v>-7.8248424082214482E-3</v>
      </c>
    </row>
    <row r="165" spans="1:15" ht="14.25" customHeight="1" x14ac:dyDescent="0.3">
      <c r="A165" s="2">
        <v>45708</v>
      </c>
      <c r="B165" t="s">
        <v>15</v>
      </c>
      <c r="C165" s="3">
        <v>12650</v>
      </c>
      <c r="D165" s="3">
        <v>12650</v>
      </c>
      <c r="E165" s="3">
        <v>12380</v>
      </c>
      <c r="F165" s="3">
        <v>12686.15</v>
      </c>
      <c r="G165" s="3">
        <v>12420</v>
      </c>
      <c r="H165" s="3">
        <v>12440.65</v>
      </c>
      <c r="I165" s="3">
        <v>12442.01</v>
      </c>
      <c r="J165" s="3">
        <v>13680</v>
      </c>
      <c r="K165" s="3">
        <v>10725</v>
      </c>
      <c r="L165" s="4">
        <v>423739</v>
      </c>
      <c r="M165" s="3">
        <v>5272163516.4499998</v>
      </c>
      <c r="N165" s="4">
        <v>100574</v>
      </c>
      <c r="O165">
        <f t="shared" si="2"/>
        <v>-1.93518128037269E-2</v>
      </c>
    </row>
    <row r="166" spans="1:15" ht="14.25" customHeight="1" x14ac:dyDescent="0.3">
      <c r="A166" s="2">
        <v>45709</v>
      </c>
      <c r="B166" t="s">
        <v>15</v>
      </c>
      <c r="C166" s="3">
        <v>12420</v>
      </c>
      <c r="D166" s="3">
        <v>12438.6</v>
      </c>
      <c r="E166" s="3">
        <v>12245</v>
      </c>
      <c r="F166" s="3">
        <v>12440.65</v>
      </c>
      <c r="G166" s="3">
        <v>12320</v>
      </c>
      <c r="H166" s="3">
        <v>12323.45</v>
      </c>
      <c r="I166" s="3">
        <v>12340.25</v>
      </c>
      <c r="J166" s="3">
        <v>13680</v>
      </c>
      <c r="K166" s="3">
        <v>10725</v>
      </c>
      <c r="L166" s="4">
        <v>477013</v>
      </c>
      <c r="M166" s="3">
        <v>5886460691.5</v>
      </c>
      <c r="N166" s="4">
        <v>79467</v>
      </c>
      <c r="O166">
        <f t="shared" si="2"/>
        <v>-9.4207296242558806E-3</v>
      </c>
    </row>
    <row r="167" spans="1:15" ht="14.25" customHeight="1" x14ac:dyDescent="0.3">
      <c r="A167" s="2">
        <v>45712</v>
      </c>
      <c r="B167" t="s">
        <v>15</v>
      </c>
      <c r="C167" s="3">
        <v>12248.35</v>
      </c>
      <c r="D167" s="3">
        <v>12432.5</v>
      </c>
      <c r="E167" s="3">
        <v>12220.1</v>
      </c>
      <c r="F167" s="3">
        <v>12323.45</v>
      </c>
      <c r="G167" s="3">
        <v>12360</v>
      </c>
      <c r="H167" s="3">
        <v>12345.2</v>
      </c>
      <c r="I167" s="3">
        <v>12344.16</v>
      </c>
      <c r="J167" s="3">
        <v>13680</v>
      </c>
      <c r="K167" s="3">
        <v>10725</v>
      </c>
      <c r="L167" s="4">
        <v>399571</v>
      </c>
      <c r="M167" s="3">
        <v>4932368752.1000004</v>
      </c>
      <c r="N167" s="4">
        <v>103645</v>
      </c>
      <c r="O167">
        <f t="shared" si="2"/>
        <v>1.7649278408237953E-3</v>
      </c>
    </row>
    <row r="168" spans="1:15" ht="14.25" customHeight="1" x14ac:dyDescent="0.3">
      <c r="A168" s="2">
        <v>45713</v>
      </c>
      <c r="B168" t="s">
        <v>15</v>
      </c>
      <c r="C168" s="3">
        <v>12388.75</v>
      </c>
      <c r="D168" s="3">
        <v>12507.4</v>
      </c>
      <c r="E168" s="3">
        <v>12350</v>
      </c>
      <c r="F168" s="3">
        <v>12345.2</v>
      </c>
      <c r="G168" s="3">
        <v>12448.65</v>
      </c>
      <c r="H168" s="3">
        <v>12476.35</v>
      </c>
      <c r="I168" s="3">
        <v>12448.06</v>
      </c>
      <c r="J168" s="3">
        <v>13680</v>
      </c>
      <c r="K168" s="3">
        <v>10725</v>
      </c>
      <c r="L168" s="4">
        <v>363355</v>
      </c>
      <c r="M168" s="3">
        <v>4523064813.5</v>
      </c>
      <c r="N168" s="4">
        <v>75766</v>
      </c>
      <c r="O168">
        <f t="shared" si="2"/>
        <v>1.0623562194213105E-2</v>
      </c>
    </row>
    <row r="169" spans="1:15" ht="14.25" customHeight="1" x14ac:dyDescent="0.3">
      <c r="A169" s="2">
        <v>45715</v>
      </c>
      <c r="B169" t="s">
        <v>15</v>
      </c>
      <c r="C169" s="3">
        <v>12531.7</v>
      </c>
      <c r="D169" s="3">
        <v>12550</v>
      </c>
      <c r="E169" s="3">
        <v>12312</v>
      </c>
      <c r="F169" s="3">
        <v>12476.35</v>
      </c>
      <c r="G169" s="3">
        <v>12322</v>
      </c>
      <c r="H169" s="3">
        <v>12380.6</v>
      </c>
      <c r="I169" s="3">
        <v>12386.76</v>
      </c>
      <c r="J169" s="3">
        <v>13680</v>
      </c>
      <c r="K169" s="3">
        <v>10725</v>
      </c>
      <c r="L169" s="4">
        <v>236805</v>
      </c>
      <c r="M169" s="3">
        <v>2933247718.75</v>
      </c>
      <c r="N169" s="4">
        <v>58991</v>
      </c>
      <c r="O169">
        <f t="shared" si="2"/>
        <v>-7.6745201922036495E-3</v>
      </c>
    </row>
    <row r="170" spans="1:15" ht="14.25" customHeight="1" x14ac:dyDescent="0.3">
      <c r="A170" s="2">
        <v>45716</v>
      </c>
      <c r="B170" t="s">
        <v>15</v>
      </c>
      <c r="C170" s="3">
        <v>12338.5</v>
      </c>
      <c r="D170" s="3">
        <v>12338.5</v>
      </c>
      <c r="E170" s="3">
        <v>11811.7</v>
      </c>
      <c r="F170" s="3">
        <v>12380.6</v>
      </c>
      <c r="G170" s="3">
        <v>11950</v>
      </c>
      <c r="H170" s="3">
        <v>11945.85</v>
      </c>
      <c r="I170" s="3">
        <v>11948.98</v>
      </c>
      <c r="J170" s="3">
        <v>13680</v>
      </c>
      <c r="K170" s="3">
        <v>10725</v>
      </c>
      <c r="L170" s="4">
        <v>605149</v>
      </c>
      <c r="M170" s="3">
        <v>7230913256.1999998</v>
      </c>
      <c r="N170" s="4">
        <v>105179</v>
      </c>
      <c r="O170">
        <f t="shared" si="2"/>
        <v>-3.5115422515871603E-2</v>
      </c>
    </row>
    <row r="171" spans="1:15" ht="14.25" customHeight="1" x14ac:dyDescent="0.3">
      <c r="A171" s="2">
        <v>45719</v>
      </c>
      <c r="B171" t="s">
        <v>15</v>
      </c>
      <c r="C171" s="3">
        <v>11886</v>
      </c>
      <c r="D171" s="3">
        <v>12059.45</v>
      </c>
      <c r="E171" s="3">
        <v>11757.75</v>
      </c>
      <c r="F171" s="3">
        <v>11945.85</v>
      </c>
      <c r="G171" s="3">
        <v>11815.5</v>
      </c>
      <c r="H171" s="3">
        <v>11775.6</v>
      </c>
      <c r="I171" s="3">
        <v>11880.61</v>
      </c>
      <c r="J171" s="3">
        <v>13680</v>
      </c>
      <c r="K171" s="3">
        <v>10725</v>
      </c>
      <c r="L171" s="4">
        <v>186884</v>
      </c>
      <c r="M171" s="3">
        <v>2220295563.8000002</v>
      </c>
      <c r="N171" s="4">
        <v>46079</v>
      </c>
      <c r="O171">
        <f t="shared" si="2"/>
        <v>-1.425181129848441E-2</v>
      </c>
    </row>
    <row r="172" spans="1:15" ht="14.25" customHeight="1" x14ac:dyDescent="0.3">
      <c r="A172" s="2">
        <v>45720</v>
      </c>
      <c r="B172" t="s">
        <v>15</v>
      </c>
      <c r="C172" s="3">
        <v>11690</v>
      </c>
      <c r="D172" s="3">
        <v>11724.25</v>
      </c>
      <c r="E172" s="3">
        <v>11591</v>
      </c>
      <c r="F172" s="3">
        <v>11775.6</v>
      </c>
      <c r="G172" s="3">
        <v>11615</v>
      </c>
      <c r="H172" s="3">
        <v>11616.25</v>
      </c>
      <c r="I172" s="3">
        <v>11641.24</v>
      </c>
      <c r="J172" s="3">
        <v>13680</v>
      </c>
      <c r="K172" s="3">
        <v>10725</v>
      </c>
      <c r="L172" s="4">
        <v>255726</v>
      </c>
      <c r="M172" s="3">
        <v>2976968579.8499999</v>
      </c>
      <c r="N172" s="4">
        <v>60537</v>
      </c>
      <c r="O172">
        <f t="shared" si="2"/>
        <v>-1.3532219165053191E-2</v>
      </c>
    </row>
    <row r="173" spans="1:15" ht="14.25" customHeight="1" x14ac:dyDescent="0.3">
      <c r="A173" s="2">
        <v>45721</v>
      </c>
      <c r="B173" t="s">
        <v>15</v>
      </c>
      <c r="C173" s="3">
        <v>11605</v>
      </c>
      <c r="D173" s="3">
        <v>11830</v>
      </c>
      <c r="E173" s="3">
        <v>11568.35</v>
      </c>
      <c r="F173" s="3">
        <v>11616.25</v>
      </c>
      <c r="G173" s="3">
        <v>11630</v>
      </c>
      <c r="H173" s="3">
        <v>11617.35</v>
      </c>
      <c r="I173" s="3">
        <v>11683.82</v>
      </c>
      <c r="J173" s="3">
        <v>13680</v>
      </c>
      <c r="K173" s="3">
        <v>10725</v>
      </c>
      <c r="L173" s="4">
        <v>349730</v>
      </c>
      <c r="M173" s="3">
        <v>4086183550.8000002</v>
      </c>
      <c r="N173" s="4">
        <v>47747</v>
      </c>
      <c r="O173">
        <f t="shared" si="2"/>
        <v>9.4694931669029494E-5</v>
      </c>
    </row>
    <row r="174" spans="1:15" ht="14.25" customHeight="1" x14ac:dyDescent="0.3">
      <c r="A174" s="2">
        <v>45722</v>
      </c>
      <c r="B174" t="s">
        <v>15</v>
      </c>
      <c r="C174" s="3">
        <v>11701</v>
      </c>
      <c r="D174" s="3">
        <v>11729.5</v>
      </c>
      <c r="E174" s="3">
        <v>11480</v>
      </c>
      <c r="F174" s="3">
        <v>11617.35</v>
      </c>
      <c r="G174" s="3">
        <v>11658</v>
      </c>
      <c r="H174" s="3">
        <v>11666.4</v>
      </c>
      <c r="I174" s="3">
        <v>11611.49</v>
      </c>
      <c r="J174" s="3">
        <v>13680</v>
      </c>
      <c r="K174" s="3">
        <v>10725</v>
      </c>
      <c r="L174" s="4">
        <v>315309</v>
      </c>
      <c r="M174" s="3">
        <v>3661208515.4000001</v>
      </c>
      <c r="N174" s="4">
        <v>70041</v>
      </c>
      <c r="O174">
        <f t="shared" si="2"/>
        <v>4.2221332748001283E-3</v>
      </c>
    </row>
    <row r="175" spans="1:15" ht="14.25" customHeight="1" x14ac:dyDescent="0.3">
      <c r="A175" s="2">
        <v>45723</v>
      </c>
      <c r="B175" t="s">
        <v>15</v>
      </c>
      <c r="C175" s="3">
        <v>11650</v>
      </c>
      <c r="D175" s="3">
        <v>11742.3</v>
      </c>
      <c r="E175" s="3">
        <v>11601</v>
      </c>
      <c r="F175" s="3">
        <v>11666.4</v>
      </c>
      <c r="G175" s="3">
        <v>11667.8</v>
      </c>
      <c r="H175" s="3">
        <v>11664.15</v>
      </c>
      <c r="I175" s="3">
        <v>11652.39</v>
      </c>
      <c r="J175" s="3">
        <v>13680</v>
      </c>
      <c r="K175" s="3">
        <v>10725</v>
      </c>
      <c r="L175" s="4">
        <v>259055</v>
      </c>
      <c r="M175" s="3">
        <v>3018608722.1999998</v>
      </c>
      <c r="N175" s="4">
        <v>40405</v>
      </c>
      <c r="O175">
        <f t="shared" si="2"/>
        <v>-1.9286155112116849E-4</v>
      </c>
    </row>
    <row r="176" spans="1:15" ht="14.25" customHeight="1" x14ac:dyDescent="0.3">
      <c r="A176" s="2">
        <v>45726</v>
      </c>
      <c r="B176" t="s">
        <v>15</v>
      </c>
      <c r="C176" s="3">
        <v>11600</v>
      </c>
      <c r="D176" s="3">
        <v>11697.9</v>
      </c>
      <c r="E176" s="3">
        <v>11533.65</v>
      </c>
      <c r="F176" s="3">
        <v>11664.15</v>
      </c>
      <c r="G176" s="3">
        <v>11571.4</v>
      </c>
      <c r="H176" s="3">
        <v>11586.05</v>
      </c>
      <c r="I176" s="3">
        <v>11615.35</v>
      </c>
      <c r="J176" s="3">
        <v>13680</v>
      </c>
      <c r="K176" s="3">
        <v>10725</v>
      </c>
      <c r="L176" s="4">
        <v>153894</v>
      </c>
      <c r="M176" s="3">
        <v>1787533102.5999999</v>
      </c>
      <c r="N176" s="4">
        <v>34457</v>
      </c>
      <c r="O176">
        <f t="shared" si="2"/>
        <v>-6.6957300789170547E-3</v>
      </c>
    </row>
    <row r="177" spans="1:15" ht="14.25" customHeight="1" x14ac:dyDescent="0.3">
      <c r="A177" s="2">
        <v>45727</v>
      </c>
      <c r="B177" t="s">
        <v>15</v>
      </c>
      <c r="C177" s="3">
        <v>11579.5</v>
      </c>
      <c r="D177" s="3">
        <v>11692</v>
      </c>
      <c r="E177" s="3">
        <v>11510</v>
      </c>
      <c r="F177" s="3">
        <v>11586.05</v>
      </c>
      <c r="G177" s="3">
        <v>11660</v>
      </c>
      <c r="H177" s="3">
        <v>11646.95</v>
      </c>
      <c r="I177" s="3">
        <v>11604.05</v>
      </c>
      <c r="J177" s="3">
        <v>13680</v>
      </c>
      <c r="K177" s="3">
        <v>10725</v>
      </c>
      <c r="L177" s="4">
        <v>245822</v>
      </c>
      <c r="M177" s="3">
        <v>2852530271.6999998</v>
      </c>
      <c r="N177" s="4">
        <v>57626</v>
      </c>
      <c r="O177">
        <f t="shared" si="2"/>
        <v>5.2563211793494298E-3</v>
      </c>
    </row>
    <row r="178" spans="1:15" ht="14.25" customHeight="1" x14ac:dyDescent="0.3">
      <c r="A178" s="2">
        <v>45728</v>
      </c>
      <c r="B178" t="s">
        <v>15</v>
      </c>
      <c r="C178" s="3">
        <v>11620.8</v>
      </c>
      <c r="D178" s="3">
        <v>11723.95</v>
      </c>
      <c r="E178" s="3">
        <v>11522</v>
      </c>
      <c r="F178" s="3">
        <v>11646.95</v>
      </c>
      <c r="G178" s="3">
        <v>11595</v>
      </c>
      <c r="H178" s="3">
        <v>11640.1</v>
      </c>
      <c r="I178" s="3">
        <v>11615.85</v>
      </c>
      <c r="J178" s="3">
        <v>13680</v>
      </c>
      <c r="K178" s="3">
        <v>10725</v>
      </c>
      <c r="L178" s="4">
        <v>249361</v>
      </c>
      <c r="M178" s="3">
        <v>2896538780.3499999</v>
      </c>
      <c r="N178" s="4">
        <v>40536</v>
      </c>
      <c r="O178">
        <f t="shared" si="2"/>
        <v>-5.8813680834899804E-4</v>
      </c>
    </row>
    <row r="179" spans="1:15" ht="14.25" customHeight="1" x14ac:dyDescent="0.3">
      <c r="A179" s="2">
        <v>45729</v>
      </c>
      <c r="B179" t="s">
        <v>15</v>
      </c>
      <c r="C179" s="3">
        <v>11634.8</v>
      </c>
      <c r="D179" s="3">
        <v>11685</v>
      </c>
      <c r="E179" s="3">
        <v>11489.75</v>
      </c>
      <c r="F179" s="3">
        <v>11640.1</v>
      </c>
      <c r="G179" s="3">
        <v>11519.6</v>
      </c>
      <c r="H179" s="3">
        <v>11513.8</v>
      </c>
      <c r="I179" s="3">
        <v>11576.03</v>
      </c>
      <c r="J179" s="3">
        <v>13680</v>
      </c>
      <c r="K179" s="3">
        <v>10725</v>
      </c>
      <c r="L179" s="4">
        <v>260736</v>
      </c>
      <c r="M179" s="3">
        <v>3018286469.5500002</v>
      </c>
      <c r="N179" s="4">
        <v>42350</v>
      </c>
      <c r="O179">
        <f t="shared" si="2"/>
        <v>-1.0850422247231647E-2</v>
      </c>
    </row>
    <row r="180" spans="1:15" ht="14.25" customHeight="1" x14ac:dyDescent="0.3">
      <c r="A180" s="2">
        <v>45733</v>
      </c>
      <c r="B180" t="s">
        <v>15</v>
      </c>
      <c r="C180" s="3">
        <v>11513.8</v>
      </c>
      <c r="D180" s="3">
        <v>11752.95</v>
      </c>
      <c r="E180" s="3">
        <v>11456.35</v>
      </c>
      <c r="F180" s="3">
        <v>11513.8</v>
      </c>
      <c r="G180" s="3">
        <v>11531.35</v>
      </c>
      <c r="H180" s="3">
        <v>11553.7</v>
      </c>
      <c r="I180" s="3">
        <v>11575.21</v>
      </c>
      <c r="J180" s="3">
        <v>13680</v>
      </c>
      <c r="K180" s="3">
        <v>10725</v>
      </c>
      <c r="L180" s="4">
        <v>275581</v>
      </c>
      <c r="M180" s="3">
        <v>3189909304.6500001</v>
      </c>
      <c r="N180" s="4">
        <v>52144</v>
      </c>
      <c r="O180">
        <f t="shared" si="2"/>
        <v>3.4654067293162518E-3</v>
      </c>
    </row>
    <row r="181" spans="1:15" ht="14.25" customHeight="1" x14ac:dyDescent="0.3">
      <c r="A181" s="2">
        <v>45734</v>
      </c>
      <c r="B181" t="s">
        <v>15</v>
      </c>
      <c r="C181" s="3">
        <v>11560.05</v>
      </c>
      <c r="D181" s="3">
        <v>11755.45</v>
      </c>
      <c r="E181" s="3">
        <v>11501</v>
      </c>
      <c r="F181" s="3">
        <v>11553.7</v>
      </c>
      <c r="G181" s="3">
        <v>11693</v>
      </c>
      <c r="H181" s="3">
        <v>11714.55</v>
      </c>
      <c r="I181" s="3">
        <v>11655.02</v>
      </c>
      <c r="J181" s="3">
        <v>13680</v>
      </c>
      <c r="K181" s="3">
        <v>10725</v>
      </c>
      <c r="L181" s="4">
        <v>373219</v>
      </c>
      <c r="M181" s="3">
        <v>4349876295.1000004</v>
      </c>
      <c r="N181" s="4">
        <v>72754</v>
      </c>
      <c r="O181">
        <f t="shared" si="2"/>
        <v>1.392194708188706E-2</v>
      </c>
    </row>
    <row r="182" spans="1:15" ht="14.25" customHeight="1" x14ac:dyDescent="0.3">
      <c r="A182" s="2">
        <v>45735</v>
      </c>
      <c r="B182" t="s">
        <v>15</v>
      </c>
      <c r="C182" s="3">
        <v>11700</v>
      </c>
      <c r="D182" s="3">
        <v>11714.45</v>
      </c>
      <c r="E182" s="3">
        <v>11547</v>
      </c>
      <c r="F182" s="3">
        <v>11714.55</v>
      </c>
      <c r="G182" s="3">
        <v>11615</v>
      </c>
      <c r="H182" s="3">
        <v>11615.55</v>
      </c>
      <c r="I182" s="3">
        <v>11618.99</v>
      </c>
      <c r="J182" s="3">
        <v>13680</v>
      </c>
      <c r="K182" s="3">
        <v>10725</v>
      </c>
      <c r="L182" s="4">
        <v>476555</v>
      </c>
      <c r="M182" s="3">
        <v>5537086611.6999998</v>
      </c>
      <c r="N182" s="4">
        <v>63268</v>
      </c>
      <c r="O182">
        <f t="shared" si="2"/>
        <v>-8.4510288487393889E-3</v>
      </c>
    </row>
    <row r="183" spans="1:15" ht="14.25" customHeight="1" x14ac:dyDescent="0.3">
      <c r="A183" s="2">
        <v>45736</v>
      </c>
      <c r="B183" t="s">
        <v>15</v>
      </c>
      <c r="C183" s="3">
        <v>11699.9</v>
      </c>
      <c r="D183" s="3">
        <v>11765</v>
      </c>
      <c r="E183" s="3">
        <v>11588</v>
      </c>
      <c r="F183" s="3">
        <v>11615.55</v>
      </c>
      <c r="G183" s="3">
        <v>11762</v>
      </c>
      <c r="H183" s="3">
        <v>11730.2</v>
      </c>
      <c r="I183" s="3">
        <v>11698.9</v>
      </c>
      <c r="J183" s="3">
        <v>13680</v>
      </c>
      <c r="K183" s="3">
        <v>10725</v>
      </c>
      <c r="L183" s="4">
        <v>379421</v>
      </c>
      <c r="M183" s="3">
        <v>4438809113.75</v>
      </c>
      <c r="N183" s="4">
        <v>75811</v>
      </c>
      <c r="O183">
        <f t="shared" si="2"/>
        <v>9.8703892626695652E-3</v>
      </c>
    </row>
    <row r="184" spans="1:15" ht="14.25" customHeight="1" x14ac:dyDescent="0.3">
      <c r="A184" s="2">
        <v>45737</v>
      </c>
      <c r="B184" t="s">
        <v>15</v>
      </c>
      <c r="C184" s="3">
        <v>11780</v>
      </c>
      <c r="D184" s="3">
        <v>11921.7</v>
      </c>
      <c r="E184" s="3">
        <v>11705.8</v>
      </c>
      <c r="F184" s="3">
        <v>11730.2</v>
      </c>
      <c r="G184" s="3">
        <v>11769.2</v>
      </c>
      <c r="H184" s="3">
        <v>11732.8</v>
      </c>
      <c r="I184" s="3">
        <v>11805.4</v>
      </c>
      <c r="J184" s="3">
        <v>13680</v>
      </c>
      <c r="K184" s="3">
        <v>10725</v>
      </c>
      <c r="L184" s="4">
        <v>560565</v>
      </c>
      <c r="M184" s="3">
        <v>6617691502.5500002</v>
      </c>
      <c r="N184" s="4">
        <v>73489</v>
      </c>
      <c r="O184">
        <f t="shared" si="2"/>
        <v>2.2165009974242081E-4</v>
      </c>
    </row>
    <row r="185" spans="1:15" ht="14.25" customHeight="1" x14ac:dyDescent="0.3">
      <c r="A185" s="2">
        <v>45740</v>
      </c>
      <c r="B185" t="s">
        <v>15</v>
      </c>
      <c r="C185" s="3">
        <v>11779.95</v>
      </c>
      <c r="D185" s="3">
        <v>11990</v>
      </c>
      <c r="E185" s="3">
        <v>11742.05</v>
      </c>
      <c r="F185" s="3">
        <v>11732.8</v>
      </c>
      <c r="G185" s="3">
        <v>11917</v>
      </c>
      <c r="H185" s="3">
        <v>11922.25</v>
      </c>
      <c r="I185" s="3">
        <v>11885.49</v>
      </c>
      <c r="J185" s="3">
        <v>13680</v>
      </c>
      <c r="K185" s="3">
        <v>10725</v>
      </c>
      <c r="L185" s="4">
        <v>359033</v>
      </c>
      <c r="M185" s="3">
        <v>4267282655.8499999</v>
      </c>
      <c r="N185" s="4">
        <v>84229</v>
      </c>
      <c r="O185">
        <f t="shared" si="2"/>
        <v>1.6147040774580727E-2</v>
      </c>
    </row>
    <row r="186" spans="1:15" ht="14.25" customHeight="1" x14ac:dyDescent="0.3">
      <c r="A186" s="2">
        <v>45741</v>
      </c>
      <c r="B186" t="s">
        <v>15</v>
      </c>
      <c r="C186" s="3">
        <v>11951.4</v>
      </c>
      <c r="D186" s="3">
        <v>12075.25</v>
      </c>
      <c r="E186" s="3">
        <v>11800</v>
      </c>
      <c r="F186" s="3">
        <v>11922.25</v>
      </c>
      <c r="G186" s="3">
        <v>11824.9</v>
      </c>
      <c r="H186" s="3">
        <v>11868.9</v>
      </c>
      <c r="I186" s="3">
        <v>11930.03</v>
      </c>
      <c r="J186" s="3">
        <v>13680</v>
      </c>
      <c r="K186" s="3">
        <v>10725</v>
      </c>
      <c r="L186" s="4">
        <v>514283</v>
      </c>
      <c r="M186" s="3">
        <v>6135410879.1499996</v>
      </c>
      <c r="N186" s="4">
        <v>72904</v>
      </c>
      <c r="O186">
        <f t="shared" si="2"/>
        <v>-4.4748264799010559E-3</v>
      </c>
    </row>
    <row r="187" spans="1:15" ht="14.25" customHeight="1" x14ac:dyDescent="0.3">
      <c r="A187" s="2">
        <v>45742</v>
      </c>
      <c r="B187" t="s">
        <v>15</v>
      </c>
      <c r="C187" s="3">
        <v>11807</v>
      </c>
      <c r="D187" s="3">
        <v>11868.9</v>
      </c>
      <c r="E187" s="3">
        <v>11710</v>
      </c>
      <c r="F187" s="3">
        <v>11868.9</v>
      </c>
      <c r="G187" s="3">
        <v>11745</v>
      </c>
      <c r="H187" s="3">
        <v>11734.3</v>
      </c>
      <c r="I187" s="3">
        <v>11773.65</v>
      </c>
      <c r="J187" s="3">
        <v>13680</v>
      </c>
      <c r="K187" s="3">
        <v>10725</v>
      </c>
      <c r="L187" s="4">
        <v>478517</v>
      </c>
      <c r="M187" s="3">
        <v>5633893032.9499998</v>
      </c>
      <c r="N187" s="4">
        <v>89350</v>
      </c>
      <c r="O187">
        <f t="shared" si="2"/>
        <v>-1.134056230990238E-2</v>
      </c>
    </row>
    <row r="188" spans="1:15" ht="14.25" customHeight="1" x14ac:dyDescent="0.3">
      <c r="A188" s="2">
        <v>45743</v>
      </c>
      <c r="B188" t="s">
        <v>15</v>
      </c>
      <c r="C188" s="3">
        <v>11773.15</v>
      </c>
      <c r="D188" s="3">
        <v>11898</v>
      </c>
      <c r="E188" s="3">
        <v>11638</v>
      </c>
      <c r="F188" s="3">
        <v>11734.3</v>
      </c>
      <c r="G188" s="3">
        <v>11700</v>
      </c>
      <c r="H188" s="3">
        <v>11721.95</v>
      </c>
      <c r="I188" s="3">
        <v>11738.73</v>
      </c>
      <c r="J188" s="3">
        <v>13680</v>
      </c>
      <c r="K188" s="3">
        <v>10725</v>
      </c>
      <c r="L188" s="4">
        <v>645787</v>
      </c>
      <c r="M188" s="3">
        <v>7580716422.0500002</v>
      </c>
      <c r="N188" s="4">
        <v>109418</v>
      </c>
      <c r="O188">
        <f t="shared" si="2"/>
        <v>-1.0524701089965781E-3</v>
      </c>
    </row>
    <row r="189" spans="1:15" ht="14.25" customHeight="1" x14ac:dyDescent="0.3">
      <c r="A189" s="2">
        <v>45744</v>
      </c>
      <c r="B189" t="s">
        <v>15</v>
      </c>
      <c r="C189" s="3">
        <v>11699.05</v>
      </c>
      <c r="D189" s="3">
        <v>11745.95</v>
      </c>
      <c r="E189" s="3">
        <v>11400.1</v>
      </c>
      <c r="F189" s="3">
        <v>11721.95</v>
      </c>
      <c r="G189" s="3">
        <v>11490.15</v>
      </c>
      <c r="H189" s="3">
        <v>11522.15</v>
      </c>
      <c r="I189" s="3">
        <v>11551.51</v>
      </c>
      <c r="J189" s="3">
        <v>13680</v>
      </c>
      <c r="K189" s="3">
        <v>10725</v>
      </c>
      <c r="L189" s="4">
        <v>541795</v>
      </c>
      <c r="M189" s="3">
        <v>6258548661.75</v>
      </c>
      <c r="N189" s="4">
        <v>124522</v>
      </c>
      <c r="O189">
        <f t="shared" si="2"/>
        <v>-1.7044945593523354E-2</v>
      </c>
    </row>
    <row r="190" spans="1:15" ht="14.25" customHeight="1" x14ac:dyDescent="0.3">
      <c r="A190" s="2">
        <v>45748</v>
      </c>
      <c r="B190" t="s">
        <v>15</v>
      </c>
      <c r="C190" s="3">
        <v>11480</v>
      </c>
      <c r="D190" s="3">
        <v>11545.8</v>
      </c>
      <c r="E190" s="3">
        <v>11290</v>
      </c>
      <c r="F190" s="3">
        <v>11522.15</v>
      </c>
      <c r="G190" s="3">
        <v>11455.25</v>
      </c>
      <c r="H190" s="3">
        <v>11481.1</v>
      </c>
      <c r="I190" s="3">
        <v>11415.76</v>
      </c>
      <c r="J190" s="3">
        <v>13680</v>
      </c>
      <c r="K190" s="3">
        <v>10725</v>
      </c>
      <c r="L190" s="4">
        <v>498244</v>
      </c>
      <c r="M190" s="3">
        <v>5687832377.1499996</v>
      </c>
      <c r="N190" s="4">
        <v>96268</v>
      </c>
      <c r="O190">
        <f t="shared" si="2"/>
        <v>-3.5627031413407459E-3</v>
      </c>
    </row>
    <row r="191" spans="1:15" ht="14.25" customHeight="1" x14ac:dyDescent="0.3">
      <c r="A191" s="2">
        <v>45749</v>
      </c>
      <c r="B191" t="s">
        <v>15</v>
      </c>
      <c r="C191" s="3">
        <v>11481.1</v>
      </c>
      <c r="D191" s="3">
        <v>11732</v>
      </c>
      <c r="E191" s="3">
        <v>11410.05</v>
      </c>
      <c r="F191" s="3">
        <v>11481.1</v>
      </c>
      <c r="G191" s="3">
        <v>11691</v>
      </c>
      <c r="H191" s="3">
        <v>11716.1</v>
      </c>
      <c r="I191" s="3">
        <v>11663.86</v>
      </c>
      <c r="J191" s="3">
        <v>13680</v>
      </c>
      <c r="K191" s="3">
        <v>10725</v>
      </c>
      <c r="L191" s="4">
        <v>452994</v>
      </c>
      <c r="M191" s="3">
        <v>5283658091.1000004</v>
      </c>
      <c r="N191" s="4">
        <v>80324</v>
      </c>
      <c r="O191">
        <f t="shared" si="2"/>
        <v>2.046842201531212E-2</v>
      </c>
    </row>
    <row r="192" spans="1:15" ht="14.25" customHeight="1" x14ac:dyDescent="0.3">
      <c r="A192" s="2">
        <v>45750</v>
      </c>
      <c r="B192" t="s">
        <v>15</v>
      </c>
      <c r="C192" s="3">
        <v>11630.5</v>
      </c>
      <c r="D192" s="3">
        <v>11802.95</v>
      </c>
      <c r="E192" s="3">
        <v>11611.05</v>
      </c>
      <c r="F192" s="3">
        <v>11716.1</v>
      </c>
      <c r="G192" s="3">
        <v>11646</v>
      </c>
      <c r="H192" s="3">
        <v>11688.1</v>
      </c>
      <c r="I192" s="3">
        <v>11706.81</v>
      </c>
      <c r="J192" s="3">
        <v>13680</v>
      </c>
      <c r="K192" s="3">
        <v>10725</v>
      </c>
      <c r="L192" s="4">
        <v>326624</v>
      </c>
      <c r="M192" s="3">
        <v>3823725316.1500001</v>
      </c>
      <c r="N192" s="4">
        <v>44000</v>
      </c>
      <c r="O192">
        <f t="shared" si="2"/>
        <v>-2.3898737634537089E-3</v>
      </c>
    </row>
    <row r="193" spans="1:15" ht="14.25" customHeight="1" x14ac:dyDescent="0.3">
      <c r="A193" s="2">
        <v>45751</v>
      </c>
      <c r="B193" t="s">
        <v>15</v>
      </c>
      <c r="C193" s="3">
        <v>11600</v>
      </c>
      <c r="D193" s="3">
        <v>11630</v>
      </c>
      <c r="E193" s="3">
        <v>11330</v>
      </c>
      <c r="F193" s="3">
        <v>11688.1</v>
      </c>
      <c r="G193" s="3">
        <v>11482</v>
      </c>
      <c r="H193" s="3">
        <v>11482</v>
      </c>
      <c r="I193" s="3">
        <v>11427.18</v>
      </c>
      <c r="J193" s="3">
        <v>13680</v>
      </c>
      <c r="K193" s="3">
        <v>10725</v>
      </c>
      <c r="L193" s="4">
        <v>355785</v>
      </c>
      <c r="M193" s="3">
        <v>4065618247.4000001</v>
      </c>
      <c r="N193" s="4">
        <v>59574</v>
      </c>
      <c r="O193">
        <f t="shared" si="2"/>
        <v>-1.7633319359006198E-2</v>
      </c>
    </row>
    <row r="194" spans="1:15" ht="14.25" customHeight="1" x14ac:dyDescent="0.3">
      <c r="A194" s="2">
        <v>45754</v>
      </c>
      <c r="B194" t="s">
        <v>15</v>
      </c>
      <c r="C194" s="3">
        <v>11105.6</v>
      </c>
      <c r="D194" s="3">
        <v>11358.5</v>
      </c>
      <c r="E194" s="3">
        <v>11059.45</v>
      </c>
      <c r="F194" s="3">
        <v>11482</v>
      </c>
      <c r="G194" s="3">
        <v>11352.95</v>
      </c>
      <c r="H194" s="3">
        <v>11329.75</v>
      </c>
      <c r="I194" s="3">
        <v>11224.77</v>
      </c>
      <c r="J194" s="3">
        <v>13680</v>
      </c>
      <c r="K194" s="3">
        <v>10725</v>
      </c>
      <c r="L194" s="4">
        <v>602353</v>
      </c>
      <c r="M194" s="3">
        <v>6761271433.8500004</v>
      </c>
      <c r="N194" s="4">
        <v>109199</v>
      </c>
      <c r="O194">
        <f t="shared" si="2"/>
        <v>-1.3259885037449922E-2</v>
      </c>
    </row>
    <row r="195" spans="1:15" ht="14.25" customHeight="1" x14ac:dyDescent="0.3">
      <c r="A195" s="2">
        <v>45755</v>
      </c>
      <c r="B195" t="s">
        <v>15</v>
      </c>
      <c r="C195" s="3">
        <v>11530</v>
      </c>
      <c r="D195" s="3">
        <v>11550.35</v>
      </c>
      <c r="E195" s="3">
        <v>11290.05</v>
      </c>
      <c r="F195" s="3">
        <v>11329.75</v>
      </c>
      <c r="G195" s="3">
        <v>11436</v>
      </c>
      <c r="H195" s="3">
        <v>11458.9</v>
      </c>
      <c r="I195" s="3">
        <v>11447.67</v>
      </c>
      <c r="J195" s="3">
        <v>13680</v>
      </c>
      <c r="K195" s="3">
        <v>10725</v>
      </c>
      <c r="L195" s="4">
        <v>629968</v>
      </c>
      <c r="M195" s="3">
        <v>7211668457.3000002</v>
      </c>
      <c r="N195" s="4">
        <v>93920</v>
      </c>
      <c r="O195">
        <f t="shared" ref="O195:O258" si="3">(H195-H194)/H194</f>
        <v>1.1399192391712054E-2</v>
      </c>
    </row>
    <row r="196" spans="1:15" ht="14.25" customHeight="1" x14ac:dyDescent="0.3">
      <c r="A196" s="2">
        <v>45756</v>
      </c>
      <c r="B196" t="s">
        <v>15</v>
      </c>
      <c r="C196" s="3">
        <v>11460.1</v>
      </c>
      <c r="D196" s="3">
        <v>11538.7</v>
      </c>
      <c r="E196" s="3">
        <v>11425</v>
      </c>
      <c r="F196" s="3">
        <v>11458.9</v>
      </c>
      <c r="G196" s="3">
        <v>11480</v>
      </c>
      <c r="H196" s="3">
        <v>11457.4</v>
      </c>
      <c r="I196" s="3">
        <v>11475.31</v>
      </c>
      <c r="J196" s="3">
        <v>13680</v>
      </c>
      <c r="K196" s="3">
        <v>10725</v>
      </c>
      <c r="L196" s="4">
        <v>255114</v>
      </c>
      <c r="M196" s="3">
        <v>2927511554.1999998</v>
      </c>
      <c r="N196" s="4">
        <v>50927</v>
      </c>
      <c r="O196">
        <f t="shared" si="3"/>
        <v>-1.3090261717965947E-4</v>
      </c>
    </row>
    <row r="197" spans="1:15" ht="14.25" customHeight="1" x14ac:dyDescent="0.3">
      <c r="A197" s="2">
        <v>45758</v>
      </c>
      <c r="B197" t="s">
        <v>15</v>
      </c>
      <c r="C197" s="3">
        <v>11480.35</v>
      </c>
      <c r="D197" s="3">
        <v>11678.75</v>
      </c>
      <c r="E197" s="3">
        <v>11480</v>
      </c>
      <c r="F197" s="3">
        <v>11457.4</v>
      </c>
      <c r="G197" s="3">
        <v>11609</v>
      </c>
      <c r="H197" s="3">
        <v>11599.05</v>
      </c>
      <c r="I197" s="3">
        <v>11603.45</v>
      </c>
      <c r="J197" s="3">
        <v>13680</v>
      </c>
      <c r="K197" s="3">
        <v>10725</v>
      </c>
      <c r="L197" s="4">
        <v>231420</v>
      </c>
      <c r="M197" s="3">
        <v>2685269869.9000001</v>
      </c>
      <c r="N197" s="4">
        <v>45734</v>
      </c>
      <c r="O197">
        <f t="shared" si="3"/>
        <v>1.236318885611043E-2</v>
      </c>
    </row>
    <row r="198" spans="1:15" ht="14.25" customHeight="1" x14ac:dyDescent="0.3">
      <c r="A198" s="2">
        <v>45762</v>
      </c>
      <c r="B198" t="s">
        <v>15</v>
      </c>
      <c r="C198" s="3">
        <v>11790</v>
      </c>
      <c r="D198" s="3">
        <v>11940</v>
      </c>
      <c r="E198" s="3">
        <v>11680</v>
      </c>
      <c r="F198" s="3">
        <v>11599.05</v>
      </c>
      <c r="G198" s="3">
        <v>11825</v>
      </c>
      <c r="H198" s="3">
        <v>11855</v>
      </c>
      <c r="I198" s="3">
        <v>11869.86</v>
      </c>
      <c r="J198" s="3">
        <v>13680</v>
      </c>
      <c r="K198" s="3">
        <v>10725</v>
      </c>
      <c r="L198" s="4">
        <v>458593</v>
      </c>
      <c r="M198" s="3">
        <v>5443434939</v>
      </c>
      <c r="N198" s="4">
        <v>68741</v>
      </c>
      <c r="O198">
        <f t="shared" si="3"/>
        <v>2.2066462339588221E-2</v>
      </c>
    </row>
    <row r="199" spans="1:15" ht="14.25" customHeight="1" x14ac:dyDescent="0.3">
      <c r="A199" s="2">
        <v>45763</v>
      </c>
      <c r="B199" t="s">
        <v>15</v>
      </c>
      <c r="C199" s="3">
        <v>11768</v>
      </c>
      <c r="D199" s="3">
        <v>11768</v>
      </c>
      <c r="E199" s="3">
        <v>11615</v>
      </c>
      <c r="F199" s="3">
        <v>11855</v>
      </c>
      <c r="G199" s="3">
        <v>11665</v>
      </c>
      <c r="H199" s="3">
        <v>11664</v>
      </c>
      <c r="I199" s="3">
        <v>11670.99</v>
      </c>
      <c r="J199" s="3">
        <v>13680</v>
      </c>
      <c r="K199" s="3">
        <v>10725</v>
      </c>
      <c r="L199" s="4">
        <v>470494</v>
      </c>
      <c r="M199" s="3">
        <v>5491129574</v>
      </c>
      <c r="N199" s="4">
        <v>68073</v>
      </c>
      <c r="O199">
        <f t="shared" si="3"/>
        <v>-1.6111345423871784E-2</v>
      </c>
    </row>
    <row r="200" spans="1:15" ht="14.25" customHeight="1" x14ac:dyDescent="0.3">
      <c r="A200" s="2">
        <v>45764</v>
      </c>
      <c r="B200" t="s">
        <v>15</v>
      </c>
      <c r="C200" s="3">
        <v>11664</v>
      </c>
      <c r="D200" s="3">
        <v>11728</v>
      </c>
      <c r="E200" s="3">
        <v>11525</v>
      </c>
      <c r="F200" s="3">
        <v>11664</v>
      </c>
      <c r="G200" s="3">
        <v>11665</v>
      </c>
      <c r="H200" s="3">
        <v>11695</v>
      </c>
      <c r="I200" s="3">
        <v>11645.95</v>
      </c>
      <c r="J200" s="3">
        <v>13680</v>
      </c>
      <c r="K200" s="3">
        <v>10725</v>
      </c>
      <c r="L200" s="4">
        <v>302146</v>
      </c>
      <c r="M200" s="3">
        <v>3518777343</v>
      </c>
      <c r="N200" s="4">
        <v>62794</v>
      </c>
      <c r="O200">
        <f t="shared" si="3"/>
        <v>2.657750342935528E-3</v>
      </c>
    </row>
    <row r="201" spans="1:15" ht="14.25" customHeight="1" x14ac:dyDescent="0.3">
      <c r="A201" s="2">
        <v>45768</v>
      </c>
      <c r="B201" t="s">
        <v>15</v>
      </c>
      <c r="C201" s="3">
        <v>11695</v>
      </c>
      <c r="D201" s="3">
        <v>11769</v>
      </c>
      <c r="E201" s="3">
        <v>11588</v>
      </c>
      <c r="F201" s="3">
        <v>11695</v>
      </c>
      <c r="G201" s="3">
        <v>11769</v>
      </c>
      <c r="H201" s="3">
        <v>11745</v>
      </c>
      <c r="I201" s="3">
        <v>11700.58</v>
      </c>
      <c r="J201" s="3">
        <v>13680</v>
      </c>
      <c r="K201" s="3">
        <v>10725</v>
      </c>
      <c r="L201" s="4">
        <v>318493</v>
      </c>
      <c r="M201" s="3">
        <v>3726551467</v>
      </c>
      <c r="N201" s="4">
        <v>49266</v>
      </c>
      <c r="O201">
        <f t="shared" si="3"/>
        <v>4.2753313381787093E-3</v>
      </c>
    </row>
    <row r="202" spans="1:15" ht="14.25" customHeight="1" x14ac:dyDescent="0.3">
      <c r="A202" s="2">
        <v>45769</v>
      </c>
      <c r="B202" t="s">
        <v>15</v>
      </c>
      <c r="C202" s="3">
        <v>11770</v>
      </c>
      <c r="D202" s="3">
        <v>11788</v>
      </c>
      <c r="E202" s="3">
        <v>11615</v>
      </c>
      <c r="F202" s="3">
        <v>11745</v>
      </c>
      <c r="G202" s="3">
        <v>11744</v>
      </c>
      <c r="H202" s="3">
        <v>11734</v>
      </c>
      <c r="I202" s="3">
        <v>11702.8</v>
      </c>
      <c r="J202" s="3">
        <v>13680</v>
      </c>
      <c r="K202" s="3">
        <v>10725</v>
      </c>
      <c r="L202" s="4">
        <v>516753</v>
      </c>
      <c r="M202" s="3">
        <v>6047456049</v>
      </c>
      <c r="N202" s="4">
        <v>102717</v>
      </c>
      <c r="O202">
        <f t="shared" si="3"/>
        <v>-9.3656875266070669E-4</v>
      </c>
    </row>
    <row r="203" spans="1:15" ht="14.25" customHeight="1" x14ac:dyDescent="0.3">
      <c r="A203" s="2">
        <v>45770</v>
      </c>
      <c r="B203" t="s">
        <v>15</v>
      </c>
      <c r="C203" s="3">
        <v>11799</v>
      </c>
      <c r="D203" s="3">
        <v>11971</v>
      </c>
      <c r="E203" s="3">
        <v>11729</v>
      </c>
      <c r="F203" s="3">
        <v>11734</v>
      </c>
      <c r="G203" s="3">
        <v>11900</v>
      </c>
      <c r="H203" s="3">
        <v>11907</v>
      </c>
      <c r="I203" s="3">
        <v>11827.33</v>
      </c>
      <c r="J203" s="3">
        <v>13680</v>
      </c>
      <c r="K203" s="3">
        <v>10725</v>
      </c>
      <c r="L203" s="4">
        <v>493839</v>
      </c>
      <c r="M203" s="3">
        <v>5840798795</v>
      </c>
      <c r="N203" s="4">
        <v>78908</v>
      </c>
      <c r="O203">
        <f t="shared" si="3"/>
        <v>1.4743480484063405E-2</v>
      </c>
    </row>
    <row r="204" spans="1:15" ht="14.25" customHeight="1" x14ac:dyDescent="0.3">
      <c r="A204" s="2">
        <v>45771</v>
      </c>
      <c r="B204" t="s">
        <v>15</v>
      </c>
      <c r="C204" s="3">
        <v>11940</v>
      </c>
      <c r="D204" s="3">
        <v>12040</v>
      </c>
      <c r="E204" s="3">
        <v>11858</v>
      </c>
      <c r="F204" s="3">
        <v>11907</v>
      </c>
      <c r="G204" s="3">
        <v>11901</v>
      </c>
      <c r="H204" s="3">
        <v>11894</v>
      </c>
      <c r="I204" s="3">
        <v>11917.68</v>
      </c>
      <c r="J204" s="3">
        <v>13680</v>
      </c>
      <c r="K204" s="3">
        <v>10725</v>
      </c>
      <c r="L204" s="4">
        <v>387863</v>
      </c>
      <c r="M204" s="3">
        <v>4622427333</v>
      </c>
      <c r="N204" s="4">
        <v>67998</v>
      </c>
      <c r="O204">
        <f t="shared" si="3"/>
        <v>-1.0917947425883934E-3</v>
      </c>
    </row>
    <row r="205" spans="1:15" ht="14.25" customHeight="1" x14ac:dyDescent="0.3">
      <c r="A205" s="2">
        <v>45772</v>
      </c>
      <c r="B205" t="s">
        <v>15</v>
      </c>
      <c r="C205" s="3">
        <v>11902</v>
      </c>
      <c r="D205" s="3">
        <v>12046</v>
      </c>
      <c r="E205" s="3">
        <v>11598</v>
      </c>
      <c r="F205" s="3">
        <v>11894</v>
      </c>
      <c r="G205" s="3">
        <v>11650</v>
      </c>
      <c r="H205" s="3">
        <v>11698</v>
      </c>
      <c r="I205" s="3">
        <v>11767.59</v>
      </c>
      <c r="J205" s="3">
        <v>13680</v>
      </c>
      <c r="K205" s="3">
        <v>10725</v>
      </c>
      <c r="L205" s="4">
        <v>906266</v>
      </c>
      <c r="M205" s="3">
        <v>10664569973</v>
      </c>
      <c r="N205" s="4">
        <v>130970</v>
      </c>
      <c r="O205">
        <f t="shared" si="3"/>
        <v>-1.6478896922818228E-2</v>
      </c>
    </row>
    <row r="206" spans="1:15" ht="14.25" customHeight="1" x14ac:dyDescent="0.3">
      <c r="A206" s="2">
        <v>45775</v>
      </c>
      <c r="B206" t="s">
        <v>15</v>
      </c>
      <c r="C206" s="3">
        <v>11428</v>
      </c>
      <c r="D206" s="3">
        <v>11896</v>
      </c>
      <c r="E206" s="3">
        <v>11289</v>
      </c>
      <c r="F206" s="3">
        <v>11698</v>
      </c>
      <c r="G206" s="3">
        <v>11809</v>
      </c>
      <c r="H206" s="3">
        <v>11846</v>
      </c>
      <c r="I206" s="3">
        <v>11702.99</v>
      </c>
      <c r="J206" s="3">
        <v>13680</v>
      </c>
      <c r="K206" s="3">
        <v>10725</v>
      </c>
      <c r="L206" s="4">
        <v>457303</v>
      </c>
      <c r="M206" s="3">
        <v>5351810411</v>
      </c>
      <c r="N206" s="4">
        <v>80996</v>
      </c>
      <c r="O206">
        <f t="shared" si="3"/>
        <v>1.2651735339374252E-2</v>
      </c>
    </row>
    <row r="207" spans="1:15" ht="14.25" customHeight="1" x14ac:dyDescent="0.3">
      <c r="A207" s="2">
        <v>45776</v>
      </c>
      <c r="B207" t="s">
        <v>15</v>
      </c>
      <c r="C207" s="3">
        <v>11812</v>
      </c>
      <c r="D207" s="3">
        <v>11940</v>
      </c>
      <c r="E207" s="3">
        <v>11741</v>
      </c>
      <c r="F207" s="3">
        <v>11846</v>
      </c>
      <c r="G207" s="3">
        <v>11810</v>
      </c>
      <c r="H207" s="3">
        <v>11841</v>
      </c>
      <c r="I207" s="3">
        <v>11826.38</v>
      </c>
      <c r="J207" s="3">
        <v>13680</v>
      </c>
      <c r="K207" s="3">
        <v>10725</v>
      </c>
      <c r="L207" s="4">
        <v>455596</v>
      </c>
      <c r="M207" s="3">
        <v>5388049220</v>
      </c>
      <c r="N207" s="4">
        <v>86819</v>
      </c>
      <c r="O207">
        <f t="shared" si="3"/>
        <v>-4.2208340368056729E-4</v>
      </c>
    </row>
    <row r="208" spans="1:15" ht="14.25" customHeight="1" x14ac:dyDescent="0.3">
      <c r="A208" s="2">
        <v>45777</v>
      </c>
      <c r="B208" t="s">
        <v>15</v>
      </c>
      <c r="C208" s="3">
        <v>11825</v>
      </c>
      <c r="D208" s="3">
        <v>12325</v>
      </c>
      <c r="E208" s="3">
        <v>11800</v>
      </c>
      <c r="F208" s="3">
        <v>11841</v>
      </c>
      <c r="G208" s="3">
        <v>12218</v>
      </c>
      <c r="H208" s="3">
        <v>12257</v>
      </c>
      <c r="I208" s="3">
        <v>12153.9</v>
      </c>
      <c r="J208" s="3">
        <v>13680</v>
      </c>
      <c r="K208" s="3">
        <v>10725</v>
      </c>
      <c r="L208" s="4">
        <v>967250</v>
      </c>
      <c r="M208" s="3">
        <v>11755859522</v>
      </c>
      <c r="N208" s="4">
        <v>105465</v>
      </c>
      <c r="O208">
        <f t="shared" si="3"/>
        <v>3.5132167891225405E-2</v>
      </c>
    </row>
    <row r="209" spans="1:15" ht="14.25" customHeight="1" x14ac:dyDescent="0.3">
      <c r="A209" s="2">
        <v>45779</v>
      </c>
      <c r="B209" t="s">
        <v>15</v>
      </c>
      <c r="C209" s="3">
        <v>12257</v>
      </c>
      <c r="D209" s="3">
        <v>12727</v>
      </c>
      <c r="E209" s="3">
        <v>12250</v>
      </c>
      <c r="F209" s="3">
        <v>12257</v>
      </c>
      <c r="G209" s="3">
        <v>12390</v>
      </c>
      <c r="H209" s="3">
        <v>12406</v>
      </c>
      <c r="I209" s="3">
        <v>12523.32</v>
      </c>
      <c r="J209" s="3">
        <v>13680</v>
      </c>
      <c r="K209" s="3">
        <v>10725</v>
      </c>
      <c r="L209" s="4">
        <v>786089</v>
      </c>
      <c r="M209" s="3">
        <v>9844447650</v>
      </c>
      <c r="N209" s="4">
        <v>157884</v>
      </c>
      <c r="O209">
        <f t="shared" si="3"/>
        <v>1.2156318838214898E-2</v>
      </c>
    </row>
    <row r="210" spans="1:15" ht="14.25" customHeight="1" x14ac:dyDescent="0.3">
      <c r="A210" s="2">
        <v>45782</v>
      </c>
      <c r="B210" t="s">
        <v>15</v>
      </c>
      <c r="C210" s="3">
        <v>12490</v>
      </c>
      <c r="D210" s="3">
        <v>12490</v>
      </c>
      <c r="E210" s="3">
        <v>12362</v>
      </c>
      <c r="F210" s="3">
        <v>12406</v>
      </c>
      <c r="G210" s="3">
        <v>12449</v>
      </c>
      <c r="H210" s="3">
        <v>12458</v>
      </c>
      <c r="I210" s="3">
        <v>12437.88</v>
      </c>
      <c r="J210" s="3">
        <v>13680</v>
      </c>
      <c r="K210" s="3">
        <v>10725</v>
      </c>
      <c r="L210" s="4">
        <v>270014</v>
      </c>
      <c r="M210" s="3">
        <v>3358401660</v>
      </c>
      <c r="N210" s="4">
        <v>49136</v>
      </c>
      <c r="O210">
        <f t="shared" si="3"/>
        <v>4.1915202321457356E-3</v>
      </c>
    </row>
    <row r="211" spans="1:15" ht="14.25" customHeight="1" x14ac:dyDescent="0.3">
      <c r="A211" s="2">
        <v>45783</v>
      </c>
      <c r="B211" t="s">
        <v>15</v>
      </c>
      <c r="C211" s="3">
        <v>12438</v>
      </c>
      <c r="D211" s="3">
        <v>12599</v>
      </c>
      <c r="E211" s="3">
        <v>12371</v>
      </c>
      <c r="F211" s="3">
        <v>12458</v>
      </c>
      <c r="G211" s="3">
        <v>12560</v>
      </c>
      <c r="H211" s="3">
        <v>12581</v>
      </c>
      <c r="I211" s="3">
        <v>12548.62</v>
      </c>
      <c r="J211" s="3">
        <v>13680</v>
      </c>
      <c r="K211" s="3">
        <v>10725</v>
      </c>
      <c r="L211" s="4">
        <v>414921</v>
      </c>
      <c r="M211" s="3">
        <v>5206687661</v>
      </c>
      <c r="N211" s="4">
        <v>65850</v>
      </c>
      <c r="O211">
        <f t="shared" si="3"/>
        <v>9.8731738641836576E-3</v>
      </c>
    </row>
    <row r="212" spans="1:15" ht="14.25" customHeight="1" x14ac:dyDescent="0.3">
      <c r="A212" s="2">
        <v>45784</v>
      </c>
      <c r="B212" t="s">
        <v>15</v>
      </c>
      <c r="C212" s="3">
        <v>12355</v>
      </c>
      <c r="D212" s="3">
        <v>12669</v>
      </c>
      <c r="E212" s="3">
        <v>12355</v>
      </c>
      <c r="F212" s="3">
        <v>12581</v>
      </c>
      <c r="G212" s="3">
        <v>12585</v>
      </c>
      <c r="H212" s="3">
        <v>12633</v>
      </c>
      <c r="I212" s="3">
        <v>12601.9</v>
      </c>
      <c r="J212" s="3">
        <v>13680</v>
      </c>
      <c r="K212" s="3">
        <v>10725</v>
      </c>
      <c r="L212" s="4">
        <v>303619</v>
      </c>
      <c r="M212" s="3">
        <v>3826175764</v>
      </c>
      <c r="N212" s="4">
        <v>61308</v>
      </c>
      <c r="O212">
        <f t="shared" si="3"/>
        <v>4.1332167554248471E-3</v>
      </c>
    </row>
    <row r="213" spans="1:15" ht="14.25" customHeight="1" x14ac:dyDescent="0.3">
      <c r="A213" s="2">
        <v>45785</v>
      </c>
      <c r="B213" t="s">
        <v>15</v>
      </c>
      <c r="C213" s="3">
        <v>12560</v>
      </c>
      <c r="D213" s="3">
        <v>12597</v>
      </c>
      <c r="E213" s="3">
        <v>12330</v>
      </c>
      <c r="F213" s="3">
        <v>12633</v>
      </c>
      <c r="G213" s="3">
        <v>12380</v>
      </c>
      <c r="H213" s="3">
        <v>12392</v>
      </c>
      <c r="I213" s="3">
        <v>12414.23</v>
      </c>
      <c r="J213" s="3">
        <v>13680</v>
      </c>
      <c r="K213" s="3">
        <v>10725</v>
      </c>
      <c r="L213" s="4">
        <v>485326</v>
      </c>
      <c r="M213" s="3">
        <v>6024946169</v>
      </c>
      <c r="N213" s="4">
        <v>80654</v>
      </c>
      <c r="O213">
        <f t="shared" si="3"/>
        <v>-1.9077020501860206E-2</v>
      </c>
    </row>
    <row r="214" spans="1:15" ht="14.25" customHeight="1" x14ac:dyDescent="0.3">
      <c r="A214" s="2">
        <v>45786</v>
      </c>
      <c r="B214" t="s">
        <v>15</v>
      </c>
      <c r="C214" s="3">
        <v>12135</v>
      </c>
      <c r="D214" s="3">
        <v>12360</v>
      </c>
      <c r="E214" s="3">
        <v>12115</v>
      </c>
      <c r="F214" s="3">
        <v>12392</v>
      </c>
      <c r="G214" s="3">
        <v>12245</v>
      </c>
      <c r="H214" s="3">
        <v>12250</v>
      </c>
      <c r="I214" s="3">
        <v>12263.65</v>
      </c>
      <c r="J214" s="3">
        <v>13680</v>
      </c>
      <c r="K214" s="3">
        <v>10725</v>
      </c>
      <c r="L214" s="4">
        <v>278112</v>
      </c>
      <c r="M214" s="3">
        <v>3410669230</v>
      </c>
      <c r="N214" s="4">
        <v>41889</v>
      </c>
      <c r="O214">
        <f t="shared" si="3"/>
        <v>-1.1459005810200129E-2</v>
      </c>
    </row>
    <row r="215" spans="1:15" ht="14.25" customHeight="1" x14ac:dyDescent="0.3">
      <c r="A215" s="2">
        <v>45789</v>
      </c>
      <c r="B215" t="s">
        <v>15</v>
      </c>
      <c r="C215" s="3">
        <v>12426</v>
      </c>
      <c r="D215" s="3">
        <v>12630</v>
      </c>
      <c r="E215" s="3">
        <v>12426</v>
      </c>
      <c r="F215" s="3">
        <v>12250</v>
      </c>
      <c r="G215" s="3">
        <v>12625</v>
      </c>
      <c r="H215" s="3">
        <v>12616</v>
      </c>
      <c r="I215" s="3">
        <v>12543.63</v>
      </c>
      <c r="J215" s="3">
        <v>13680</v>
      </c>
      <c r="K215" s="3">
        <v>10725</v>
      </c>
      <c r="L215" s="4">
        <v>185165</v>
      </c>
      <c r="M215" s="3">
        <v>2322641674</v>
      </c>
      <c r="N215" s="4">
        <v>37152</v>
      </c>
      <c r="O215">
        <f t="shared" si="3"/>
        <v>2.9877551020408163E-2</v>
      </c>
    </row>
    <row r="216" spans="1:15" ht="14.25" customHeight="1" x14ac:dyDescent="0.3">
      <c r="A216" s="2">
        <v>45790</v>
      </c>
      <c r="B216" t="s">
        <v>15</v>
      </c>
      <c r="C216" s="3">
        <v>12600</v>
      </c>
      <c r="D216" s="3">
        <v>12700</v>
      </c>
      <c r="E216" s="3">
        <v>12430</v>
      </c>
      <c r="F216" s="3">
        <v>12616</v>
      </c>
      <c r="G216" s="3">
        <v>12474</v>
      </c>
      <c r="H216" s="3">
        <v>12482</v>
      </c>
      <c r="I216" s="3">
        <v>12509.35</v>
      </c>
      <c r="J216" s="3">
        <v>13680</v>
      </c>
      <c r="K216" s="3">
        <v>10725</v>
      </c>
      <c r="L216" s="4">
        <v>378269</v>
      </c>
      <c r="M216" s="3">
        <v>4731899460</v>
      </c>
      <c r="N216" s="4">
        <v>86167</v>
      </c>
      <c r="O216">
        <f t="shared" si="3"/>
        <v>-1.062143310082435E-2</v>
      </c>
    </row>
    <row r="217" spans="1:15" ht="14.25" customHeight="1" x14ac:dyDescent="0.3">
      <c r="A217" s="2">
        <v>45791</v>
      </c>
      <c r="B217" t="s">
        <v>15</v>
      </c>
      <c r="C217" s="3">
        <v>12485</v>
      </c>
      <c r="D217" s="3">
        <v>12718</v>
      </c>
      <c r="E217" s="3">
        <v>12411</v>
      </c>
      <c r="F217" s="3">
        <v>12482</v>
      </c>
      <c r="G217" s="3">
        <v>12700</v>
      </c>
      <c r="H217" s="3">
        <v>12670</v>
      </c>
      <c r="I217" s="3">
        <v>12610.69</v>
      </c>
      <c r="J217" s="3">
        <v>13680</v>
      </c>
      <c r="K217" s="3">
        <v>10725</v>
      </c>
      <c r="L217" s="4">
        <v>306050</v>
      </c>
      <c r="M217" s="3">
        <v>3859501696</v>
      </c>
      <c r="N217" s="4">
        <v>46535</v>
      </c>
      <c r="O217">
        <f t="shared" si="3"/>
        <v>1.5061688831917962E-2</v>
      </c>
    </row>
    <row r="218" spans="1:15" ht="14.25" customHeight="1" x14ac:dyDescent="0.3">
      <c r="A218" s="2">
        <v>45792</v>
      </c>
      <c r="B218" t="s">
        <v>15</v>
      </c>
      <c r="C218" s="3">
        <v>12600</v>
      </c>
      <c r="D218" s="3">
        <v>13023</v>
      </c>
      <c r="E218" s="3">
        <v>12548</v>
      </c>
      <c r="F218" s="3">
        <v>12670</v>
      </c>
      <c r="G218" s="3">
        <v>12900</v>
      </c>
      <c r="H218" s="3">
        <v>12952</v>
      </c>
      <c r="I218" s="3">
        <v>12817.67</v>
      </c>
      <c r="J218" s="3">
        <v>13680</v>
      </c>
      <c r="K218" s="3">
        <v>10725</v>
      </c>
      <c r="L218" s="4">
        <v>561496</v>
      </c>
      <c r="M218" s="3">
        <v>7197073020</v>
      </c>
      <c r="N218" s="4">
        <v>100567</v>
      </c>
      <c r="O218">
        <f t="shared" si="3"/>
        <v>2.2257300710339385E-2</v>
      </c>
    </row>
    <row r="219" spans="1:15" ht="14.25" customHeight="1" x14ac:dyDescent="0.3">
      <c r="A219" s="2">
        <v>45793</v>
      </c>
      <c r="B219" t="s">
        <v>15</v>
      </c>
      <c r="C219" s="3">
        <v>12950</v>
      </c>
      <c r="D219" s="3">
        <v>13086</v>
      </c>
      <c r="E219" s="3">
        <v>12912</v>
      </c>
      <c r="F219" s="3">
        <v>12952</v>
      </c>
      <c r="G219" s="3">
        <v>13000</v>
      </c>
      <c r="H219" s="3">
        <v>12995</v>
      </c>
      <c r="I219" s="3">
        <v>12992.64</v>
      </c>
      <c r="J219" s="3">
        <v>13680</v>
      </c>
      <c r="K219" s="3">
        <v>10725</v>
      </c>
      <c r="L219" s="4">
        <v>425275</v>
      </c>
      <c r="M219" s="3">
        <v>5525445635</v>
      </c>
      <c r="N219" s="4">
        <v>62548</v>
      </c>
      <c r="O219">
        <f t="shared" si="3"/>
        <v>3.3199505867819641E-3</v>
      </c>
    </row>
    <row r="220" spans="1:15" ht="14.25" customHeight="1" x14ac:dyDescent="0.3">
      <c r="A220" s="2">
        <v>45796</v>
      </c>
      <c r="B220" t="s">
        <v>15</v>
      </c>
      <c r="C220" s="3">
        <v>12990</v>
      </c>
      <c r="D220" s="3">
        <v>13046</v>
      </c>
      <c r="E220" s="3">
        <v>12930</v>
      </c>
      <c r="F220" s="3">
        <v>12995</v>
      </c>
      <c r="G220" s="3">
        <v>12950</v>
      </c>
      <c r="H220" s="3">
        <v>12989</v>
      </c>
      <c r="I220" s="3">
        <v>12984.04</v>
      </c>
      <c r="J220" s="3">
        <v>13680</v>
      </c>
      <c r="K220" s="3">
        <v>10725</v>
      </c>
      <c r="L220" s="4">
        <v>244277</v>
      </c>
      <c r="M220" s="3">
        <v>3171703409</v>
      </c>
      <c r="N220" s="4">
        <v>36934</v>
      </c>
      <c r="O220">
        <f t="shared" si="3"/>
        <v>-4.61716044632551E-4</v>
      </c>
    </row>
    <row r="221" spans="1:15" ht="14.25" customHeight="1" x14ac:dyDescent="0.3">
      <c r="A221" s="2">
        <v>45797</v>
      </c>
      <c r="B221" t="s">
        <v>15</v>
      </c>
      <c r="C221" s="3">
        <v>13005</v>
      </c>
      <c r="D221" s="3">
        <v>13010</v>
      </c>
      <c r="E221" s="3">
        <v>12610</v>
      </c>
      <c r="F221" s="3">
        <v>12989</v>
      </c>
      <c r="G221" s="3">
        <v>12640</v>
      </c>
      <c r="H221" s="3">
        <v>12638</v>
      </c>
      <c r="I221" s="3">
        <v>12722.47</v>
      </c>
      <c r="J221" s="3">
        <v>13680</v>
      </c>
      <c r="K221" s="3">
        <v>10725</v>
      </c>
      <c r="L221" s="4">
        <v>361111</v>
      </c>
      <c r="M221" s="3">
        <v>4594223997</v>
      </c>
      <c r="N221" s="4">
        <v>55237</v>
      </c>
      <c r="O221">
        <f t="shared" si="3"/>
        <v>-2.7022865501578258E-2</v>
      </c>
    </row>
    <row r="222" spans="1:15" ht="14.25" customHeight="1" x14ac:dyDescent="0.3">
      <c r="A222" s="2">
        <v>45798</v>
      </c>
      <c r="B222" t="s">
        <v>15</v>
      </c>
      <c r="C222" s="3">
        <v>12675</v>
      </c>
      <c r="D222" s="3">
        <v>12808</v>
      </c>
      <c r="E222" s="3">
        <v>12594</v>
      </c>
      <c r="F222" s="3">
        <v>12638</v>
      </c>
      <c r="G222" s="3">
        <v>12618</v>
      </c>
      <c r="H222" s="3">
        <v>12615</v>
      </c>
      <c r="I222" s="3">
        <v>12675.43</v>
      </c>
      <c r="J222" s="3">
        <v>13680</v>
      </c>
      <c r="K222" s="3">
        <v>10725</v>
      </c>
      <c r="L222" s="4">
        <v>209104</v>
      </c>
      <c r="M222" s="3">
        <v>2650482871</v>
      </c>
      <c r="N222" s="4">
        <v>37683</v>
      </c>
      <c r="O222">
        <f t="shared" si="3"/>
        <v>-1.8199082133248932E-3</v>
      </c>
    </row>
    <row r="223" spans="1:15" ht="14.25" customHeight="1" x14ac:dyDescent="0.3">
      <c r="A223" s="2">
        <v>45799</v>
      </c>
      <c r="B223" t="s">
        <v>15</v>
      </c>
      <c r="C223" s="3">
        <v>12611</v>
      </c>
      <c r="D223" s="3">
        <v>12611</v>
      </c>
      <c r="E223" s="3">
        <v>12395</v>
      </c>
      <c r="F223" s="3">
        <v>12615</v>
      </c>
      <c r="G223" s="3">
        <v>12440</v>
      </c>
      <c r="H223" s="3">
        <v>12445</v>
      </c>
      <c r="I223" s="3">
        <v>12451.65</v>
      </c>
      <c r="J223" s="3">
        <v>13680</v>
      </c>
      <c r="K223" s="3">
        <v>10725</v>
      </c>
      <c r="L223" s="4">
        <v>434848</v>
      </c>
      <c r="M223" s="3">
        <v>5414576614</v>
      </c>
      <c r="N223" s="4">
        <v>70625</v>
      </c>
      <c r="O223">
        <f t="shared" si="3"/>
        <v>-1.3476020610384463E-2</v>
      </c>
    </row>
    <row r="224" spans="1:15" ht="14.25" customHeight="1" x14ac:dyDescent="0.3">
      <c r="A224" s="2">
        <v>45800</v>
      </c>
      <c r="B224" t="s">
        <v>15</v>
      </c>
      <c r="C224" s="3">
        <v>12450</v>
      </c>
      <c r="D224" s="3">
        <v>12495</v>
      </c>
      <c r="E224" s="3">
        <v>12423</v>
      </c>
      <c r="F224" s="3">
        <v>12445</v>
      </c>
      <c r="G224" s="3">
        <v>12460</v>
      </c>
      <c r="H224" s="3">
        <v>12453</v>
      </c>
      <c r="I224" s="3">
        <v>12459.85</v>
      </c>
      <c r="J224" s="3">
        <v>13680</v>
      </c>
      <c r="K224" s="3">
        <v>10725</v>
      </c>
      <c r="L224" s="4">
        <v>169465</v>
      </c>
      <c r="M224" s="3">
        <v>2111507730</v>
      </c>
      <c r="N224" s="4">
        <v>25943</v>
      </c>
      <c r="O224">
        <f t="shared" si="3"/>
        <v>6.4282844515869823E-4</v>
      </c>
    </row>
    <row r="225" spans="1:15" ht="14.25" customHeight="1" x14ac:dyDescent="0.3">
      <c r="A225" s="2">
        <v>45803</v>
      </c>
      <c r="B225" t="s">
        <v>15</v>
      </c>
      <c r="C225" s="3">
        <v>12455</v>
      </c>
      <c r="D225" s="3">
        <v>12539</v>
      </c>
      <c r="E225" s="3">
        <v>12391</v>
      </c>
      <c r="F225" s="3">
        <v>12453</v>
      </c>
      <c r="G225" s="3">
        <v>12427</v>
      </c>
      <c r="H225" s="3">
        <v>12421</v>
      </c>
      <c r="I225" s="3">
        <v>12456.74</v>
      </c>
      <c r="J225" s="3">
        <v>13680</v>
      </c>
      <c r="K225" s="3">
        <v>10725</v>
      </c>
      <c r="L225" s="4">
        <v>214703</v>
      </c>
      <c r="M225" s="3">
        <v>2674499541</v>
      </c>
      <c r="N225" s="4">
        <v>35302</v>
      </c>
      <c r="O225">
        <f t="shared" si="3"/>
        <v>-2.5696619288524854E-3</v>
      </c>
    </row>
    <row r="226" spans="1:15" ht="14.25" customHeight="1" x14ac:dyDescent="0.3">
      <c r="A226" s="2">
        <v>45804</v>
      </c>
      <c r="B226" t="s">
        <v>15</v>
      </c>
      <c r="C226" s="3">
        <v>12421</v>
      </c>
      <c r="D226" s="3">
        <v>12479</v>
      </c>
      <c r="E226" s="3">
        <v>12290</v>
      </c>
      <c r="F226" s="3">
        <v>12421</v>
      </c>
      <c r="G226" s="3">
        <v>12366</v>
      </c>
      <c r="H226" s="3">
        <v>12414</v>
      </c>
      <c r="I226" s="3">
        <v>12378.87</v>
      </c>
      <c r="J226" s="3">
        <v>13680</v>
      </c>
      <c r="K226" s="3">
        <v>10725</v>
      </c>
      <c r="L226" s="4">
        <v>344679</v>
      </c>
      <c r="M226" s="3">
        <v>4266737102</v>
      </c>
      <c r="N226" s="4">
        <v>78400</v>
      </c>
      <c r="O226">
        <f t="shared" si="3"/>
        <v>-5.6356171000724578E-4</v>
      </c>
    </row>
    <row r="227" spans="1:15" ht="14.25" customHeight="1" x14ac:dyDescent="0.3">
      <c r="A227" s="2">
        <v>45805</v>
      </c>
      <c r="B227" t="s">
        <v>15</v>
      </c>
      <c r="C227" s="3">
        <v>12414</v>
      </c>
      <c r="D227" s="3">
        <v>12415</v>
      </c>
      <c r="E227" s="3">
        <v>12305</v>
      </c>
      <c r="F227" s="3">
        <v>12414</v>
      </c>
      <c r="G227" s="3">
        <v>12315</v>
      </c>
      <c r="H227" s="3">
        <v>12331</v>
      </c>
      <c r="I227" s="3">
        <v>12347.05</v>
      </c>
      <c r="J227" s="3">
        <v>13680</v>
      </c>
      <c r="K227" s="3">
        <v>10725</v>
      </c>
      <c r="L227" s="4">
        <v>178181</v>
      </c>
      <c r="M227" s="3">
        <v>2200009599</v>
      </c>
      <c r="N227" s="4">
        <v>29345</v>
      </c>
      <c r="O227">
        <f t="shared" si="3"/>
        <v>-6.6859996777831479E-3</v>
      </c>
    </row>
    <row r="228" spans="1:15" ht="14.25" customHeight="1" x14ac:dyDescent="0.3">
      <c r="A228" s="2">
        <v>45806</v>
      </c>
      <c r="B228" t="s">
        <v>15</v>
      </c>
      <c r="C228" s="3">
        <v>12340</v>
      </c>
      <c r="D228" s="3">
        <v>12428</v>
      </c>
      <c r="E228" s="3">
        <v>12266</v>
      </c>
      <c r="F228" s="3">
        <v>12331</v>
      </c>
      <c r="G228" s="3">
        <v>12427</v>
      </c>
      <c r="H228" s="3">
        <v>12392</v>
      </c>
      <c r="I228" s="3">
        <v>12360.19</v>
      </c>
      <c r="J228" s="3">
        <v>13680</v>
      </c>
      <c r="K228" s="3">
        <v>10725</v>
      </c>
      <c r="L228" s="4">
        <v>191097</v>
      </c>
      <c r="M228" s="3">
        <v>2361995351</v>
      </c>
      <c r="N228" s="4">
        <v>41645</v>
      </c>
      <c r="O228">
        <f t="shared" si="3"/>
        <v>4.9468818425107454E-3</v>
      </c>
    </row>
    <row r="229" spans="1:15" ht="14.25" customHeight="1" x14ac:dyDescent="0.3">
      <c r="A229" s="2">
        <v>45807</v>
      </c>
      <c r="B229" t="s">
        <v>15</v>
      </c>
      <c r="C229" s="3">
        <v>12392</v>
      </c>
      <c r="D229" s="3">
        <v>12490</v>
      </c>
      <c r="E229" s="3">
        <v>12251</v>
      </c>
      <c r="F229" s="3">
        <v>12392</v>
      </c>
      <c r="G229" s="3">
        <v>12323</v>
      </c>
      <c r="H229" s="3">
        <v>12319</v>
      </c>
      <c r="I229" s="3">
        <v>12329.84</v>
      </c>
      <c r="J229" s="3">
        <v>13680</v>
      </c>
      <c r="K229" s="3">
        <v>10725</v>
      </c>
      <c r="L229" s="4">
        <v>351353</v>
      </c>
      <c r="M229" s="3">
        <v>4332124765</v>
      </c>
      <c r="N229" s="4">
        <v>44433</v>
      </c>
      <c r="O229">
        <f t="shared" si="3"/>
        <v>-5.8908973531310522E-3</v>
      </c>
    </row>
    <row r="230" spans="1:15" ht="14.25" customHeight="1" x14ac:dyDescent="0.3">
      <c r="A230" s="2">
        <v>45810</v>
      </c>
      <c r="B230" t="s">
        <v>15</v>
      </c>
      <c r="C230" s="3">
        <v>12161</v>
      </c>
      <c r="D230" s="3">
        <v>12319</v>
      </c>
      <c r="E230" s="3">
        <v>12132</v>
      </c>
      <c r="F230" s="3">
        <v>12319</v>
      </c>
      <c r="G230" s="3">
        <v>12273</v>
      </c>
      <c r="H230" s="3">
        <v>12290</v>
      </c>
      <c r="I230" s="3">
        <v>12233.98</v>
      </c>
      <c r="J230" s="3">
        <v>13680</v>
      </c>
      <c r="K230" s="3">
        <v>10725</v>
      </c>
      <c r="L230" s="4">
        <v>264972</v>
      </c>
      <c r="M230" s="3">
        <v>3241662264</v>
      </c>
      <c r="N230" s="4">
        <v>46395</v>
      </c>
      <c r="O230">
        <f t="shared" si="3"/>
        <v>-2.3540871824011688E-3</v>
      </c>
    </row>
    <row r="231" spans="1:15" ht="14.25" customHeight="1" x14ac:dyDescent="0.3">
      <c r="A231" s="2">
        <v>45811</v>
      </c>
      <c r="B231" t="s">
        <v>15</v>
      </c>
      <c r="C231" s="3">
        <v>12273</v>
      </c>
      <c r="D231" s="3">
        <v>12350</v>
      </c>
      <c r="E231" s="3">
        <v>12060</v>
      </c>
      <c r="F231" s="3">
        <v>12290</v>
      </c>
      <c r="G231" s="3">
        <v>12130</v>
      </c>
      <c r="H231" s="3">
        <v>12128</v>
      </c>
      <c r="I231" s="3">
        <v>12158.1</v>
      </c>
      <c r="J231" s="3">
        <v>13680</v>
      </c>
      <c r="K231" s="3">
        <v>10725</v>
      </c>
      <c r="L231" s="4">
        <v>369114</v>
      </c>
      <c r="M231" s="3">
        <v>4487724941</v>
      </c>
      <c r="N231" s="4">
        <v>58050</v>
      </c>
      <c r="O231">
        <f t="shared" si="3"/>
        <v>-1.3181448331977217E-2</v>
      </c>
    </row>
    <row r="232" spans="1:15" ht="14.25" customHeight="1" x14ac:dyDescent="0.3">
      <c r="A232" s="2">
        <v>45812</v>
      </c>
      <c r="B232" t="s">
        <v>15</v>
      </c>
      <c r="C232" s="3">
        <v>12128</v>
      </c>
      <c r="D232" s="3">
        <v>12245</v>
      </c>
      <c r="E232" s="3">
        <v>12128</v>
      </c>
      <c r="F232" s="3">
        <v>12128</v>
      </c>
      <c r="G232" s="3">
        <v>12188</v>
      </c>
      <c r="H232" s="3">
        <v>12163</v>
      </c>
      <c r="I232" s="3">
        <v>12183.68</v>
      </c>
      <c r="J232" s="3">
        <v>13680</v>
      </c>
      <c r="K232" s="3">
        <v>10725</v>
      </c>
      <c r="L232" s="4">
        <v>205846</v>
      </c>
      <c r="M232" s="3">
        <v>2507961126</v>
      </c>
      <c r="N232" s="4">
        <v>35477</v>
      </c>
      <c r="O232">
        <f t="shared" si="3"/>
        <v>2.8858839050131925E-3</v>
      </c>
    </row>
    <row r="233" spans="1:15" ht="14.25" customHeight="1" x14ac:dyDescent="0.3">
      <c r="A233" s="2">
        <v>45813</v>
      </c>
      <c r="B233" t="s">
        <v>15</v>
      </c>
      <c r="C233" s="3">
        <v>12200</v>
      </c>
      <c r="D233" s="3">
        <v>12257</v>
      </c>
      <c r="E233" s="3">
        <v>12016</v>
      </c>
      <c r="F233" s="3">
        <v>12163</v>
      </c>
      <c r="G233" s="3">
        <v>12132</v>
      </c>
      <c r="H233" s="3">
        <v>12126</v>
      </c>
      <c r="I233" s="3">
        <v>12115.28</v>
      </c>
      <c r="J233" s="3">
        <v>13680</v>
      </c>
      <c r="K233" s="3">
        <v>10725</v>
      </c>
      <c r="L233" s="4">
        <v>319783</v>
      </c>
      <c r="M233" s="3">
        <v>3874261406</v>
      </c>
      <c r="N233" s="4">
        <v>59856</v>
      </c>
      <c r="O233">
        <f t="shared" si="3"/>
        <v>-3.0420126613499958E-3</v>
      </c>
    </row>
    <row r="234" spans="1:15" ht="14.25" customHeight="1" x14ac:dyDescent="0.3">
      <c r="A234" s="2">
        <v>45814</v>
      </c>
      <c r="B234" t="s">
        <v>15</v>
      </c>
      <c r="C234" s="3">
        <v>12139</v>
      </c>
      <c r="D234" s="3">
        <v>12535</v>
      </c>
      <c r="E234" s="3">
        <v>12100</v>
      </c>
      <c r="F234" s="3">
        <v>12126</v>
      </c>
      <c r="G234" s="3">
        <v>12463</v>
      </c>
      <c r="H234" s="3">
        <v>12462</v>
      </c>
      <c r="I234" s="3">
        <v>12415.83</v>
      </c>
      <c r="J234" s="3">
        <v>13680</v>
      </c>
      <c r="K234" s="3">
        <v>10725</v>
      </c>
      <c r="L234" s="4">
        <v>456129</v>
      </c>
      <c r="M234" s="3">
        <v>5663220423</v>
      </c>
      <c r="N234" s="4">
        <v>59302</v>
      </c>
      <c r="O234">
        <f t="shared" si="3"/>
        <v>2.7709054923305294E-2</v>
      </c>
    </row>
    <row r="235" spans="1:15" ht="14.25" customHeight="1" x14ac:dyDescent="0.3">
      <c r="A235" s="2">
        <v>45817</v>
      </c>
      <c r="B235" t="s">
        <v>15</v>
      </c>
      <c r="C235" s="3">
        <v>12505</v>
      </c>
      <c r="D235" s="3">
        <v>12660</v>
      </c>
      <c r="E235" s="3">
        <v>12466</v>
      </c>
      <c r="F235" s="3">
        <v>12462</v>
      </c>
      <c r="G235" s="3">
        <v>12649</v>
      </c>
      <c r="H235" s="3">
        <v>12637</v>
      </c>
      <c r="I235" s="3">
        <v>12570.67</v>
      </c>
      <c r="J235" s="3">
        <v>13680</v>
      </c>
      <c r="K235" s="3">
        <v>10725</v>
      </c>
      <c r="L235" s="4">
        <v>323443</v>
      </c>
      <c r="M235" s="3">
        <v>4065896094</v>
      </c>
      <c r="N235" s="4">
        <v>39735</v>
      </c>
      <c r="O235">
        <f t="shared" si="3"/>
        <v>1.4042689776921842E-2</v>
      </c>
    </row>
    <row r="236" spans="1:15" ht="14.25" customHeight="1" x14ac:dyDescent="0.3">
      <c r="A236" s="2">
        <v>45818</v>
      </c>
      <c r="B236" t="s">
        <v>15</v>
      </c>
      <c r="C236" s="3">
        <v>12660</v>
      </c>
      <c r="D236" s="3">
        <v>12744</v>
      </c>
      <c r="E236" s="3">
        <v>12461</v>
      </c>
      <c r="F236" s="3">
        <v>12637</v>
      </c>
      <c r="G236" s="3">
        <v>12472</v>
      </c>
      <c r="H236" s="3">
        <v>12520</v>
      </c>
      <c r="I236" s="3">
        <v>12580</v>
      </c>
      <c r="J236" s="3">
        <v>13680</v>
      </c>
      <c r="K236" s="3">
        <v>10725</v>
      </c>
      <c r="L236" s="4">
        <v>325292</v>
      </c>
      <c r="M236" s="3">
        <v>4092172883</v>
      </c>
      <c r="N236" s="4">
        <v>42686</v>
      </c>
      <c r="O236">
        <f t="shared" si="3"/>
        <v>-9.2585265490227105E-3</v>
      </c>
    </row>
    <row r="237" spans="1:15" ht="14.25" customHeight="1" x14ac:dyDescent="0.3">
      <c r="A237" s="2">
        <v>45819</v>
      </c>
      <c r="B237" t="s">
        <v>15</v>
      </c>
      <c r="C237" s="3">
        <v>12470</v>
      </c>
      <c r="D237" s="3">
        <v>12560</v>
      </c>
      <c r="E237" s="3">
        <v>12427</v>
      </c>
      <c r="F237" s="3">
        <v>12520</v>
      </c>
      <c r="G237" s="3">
        <v>12481</v>
      </c>
      <c r="H237" s="3">
        <v>12452</v>
      </c>
      <c r="I237" s="3">
        <v>12472.81</v>
      </c>
      <c r="J237" s="3">
        <v>13680</v>
      </c>
      <c r="K237" s="3">
        <v>10725</v>
      </c>
      <c r="L237" s="4">
        <v>306061</v>
      </c>
      <c r="M237" s="3">
        <v>3817439767</v>
      </c>
      <c r="N237" s="4">
        <v>38758</v>
      </c>
      <c r="O237">
        <f t="shared" si="3"/>
        <v>-5.4313099041533542E-3</v>
      </c>
    </row>
    <row r="238" spans="1:15" ht="14.25" customHeight="1" x14ac:dyDescent="0.3">
      <c r="A238" s="2">
        <v>45820</v>
      </c>
      <c r="B238" t="s">
        <v>15</v>
      </c>
      <c r="C238" s="3">
        <v>12459</v>
      </c>
      <c r="D238" s="3">
        <v>12490</v>
      </c>
      <c r="E238" s="3">
        <v>12307</v>
      </c>
      <c r="F238" s="3">
        <v>12452</v>
      </c>
      <c r="G238" s="3">
        <v>12360</v>
      </c>
      <c r="H238" s="3">
        <v>12390</v>
      </c>
      <c r="I238" s="3">
        <v>12385.55</v>
      </c>
      <c r="J238" s="3">
        <v>13680</v>
      </c>
      <c r="K238" s="3">
        <v>10725</v>
      </c>
      <c r="L238" s="4">
        <v>347339</v>
      </c>
      <c r="M238" s="3">
        <v>4301985558</v>
      </c>
      <c r="N238" s="4">
        <v>54513</v>
      </c>
      <c r="O238">
        <f t="shared" si="3"/>
        <v>-4.979119820109219E-3</v>
      </c>
    </row>
    <row r="239" spans="1:15" ht="14.25" customHeight="1" x14ac:dyDescent="0.3">
      <c r="A239" s="2">
        <v>45821</v>
      </c>
      <c r="B239" t="s">
        <v>15</v>
      </c>
      <c r="C239" s="3">
        <v>12200</v>
      </c>
      <c r="D239" s="3">
        <v>12425</v>
      </c>
      <c r="E239" s="3">
        <v>12176</v>
      </c>
      <c r="F239" s="3">
        <v>12390</v>
      </c>
      <c r="G239" s="3">
        <v>12405</v>
      </c>
      <c r="H239" s="3">
        <v>12408</v>
      </c>
      <c r="I239" s="3">
        <v>12362.3</v>
      </c>
      <c r="J239" s="3">
        <v>13680</v>
      </c>
      <c r="K239" s="3">
        <v>10725</v>
      </c>
      <c r="L239" s="4">
        <v>385493</v>
      </c>
      <c r="M239" s="3">
        <v>4765581259</v>
      </c>
      <c r="N239" s="4">
        <v>39760</v>
      </c>
      <c r="O239">
        <f t="shared" si="3"/>
        <v>1.4527845036319612E-3</v>
      </c>
    </row>
    <row r="240" spans="1:15" ht="14.25" customHeight="1" x14ac:dyDescent="0.3">
      <c r="A240" s="2">
        <v>45824</v>
      </c>
      <c r="B240" t="s">
        <v>15</v>
      </c>
      <c r="C240" s="3">
        <v>12404</v>
      </c>
      <c r="D240" s="3">
        <v>12567</v>
      </c>
      <c r="E240" s="3">
        <v>12336</v>
      </c>
      <c r="F240" s="3">
        <v>12408</v>
      </c>
      <c r="G240" s="3">
        <v>12522</v>
      </c>
      <c r="H240" s="3">
        <v>12530</v>
      </c>
      <c r="I240" s="3">
        <v>12516.53</v>
      </c>
      <c r="J240" s="3">
        <v>13680</v>
      </c>
      <c r="K240" s="3">
        <v>10725</v>
      </c>
      <c r="L240" s="4">
        <v>184242</v>
      </c>
      <c r="M240" s="3">
        <v>2306069963</v>
      </c>
      <c r="N240" s="4">
        <v>29029</v>
      </c>
      <c r="O240">
        <f t="shared" si="3"/>
        <v>9.8323662153449384E-3</v>
      </c>
    </row>
    <row r="241" spans="1:15" ht="14.25" customHeight="1" x14ac:dyDescent="0.3">
      <c r="A241" s="2">
        <v>45825</v>
      </c>
      <c r="B241" t="s">
        <v>15</v>
      </c>
      <c r="C241" s="3">
        <v>12529</v>
      </c>
      <c r="D241" s="3">
        <v>12615</v>
      </c>
      <c r="E241" s="3">
        <v>12470</v>
      </c>
      <c r="F241" s="3">
        <v>12530</v>
      </c>
      <c r="G241" s="3">
        <v>12598</v>
      </c>
      <c r="H241" s="3">
        <v>12595</v>
      </c>
      <c r="I241" s="3">
        <v>12559.8</v>
      </c>
      <c r="J241" s="3">
        <v>13680</v>
      </c>
      <c r="K241" s="3">
        <v>10725</v>
      </c>
      <c r="L241" s="4">
        <v>226597</v>
      </c>
      <c r="M241" s="3">
        <v>2846012814</v>
      </c>
      <c r="N241" s="4">
        <v>44599</v>
      </c>
      <c r="O241">
        <f t="shared" si="3"/>
        <v>5.1875498802873106E-3</v>
      </c>
    </row>
    <row r="242" spans="1:15" ht="14.25" customHeight="1" x14ac:dyDescent="0.3">
      <c r="A242" s="2">
        <v>45826</v>
      </c>
      <c r="B242" t="s">
        <v>15</v>
      </c>
      <c r="C242" s="3">
        <v>12620</v>
      </c>
      <c r="D242" s="3">
        <v>12880</v>
      </c>
      <c r="E242" s="3">
        <v>12550</v>
      </c>
      <c r="F242" s="3">
        <v>12595</v>
      </c>
      <c r="G242" s="3">
        <v>12750</v>
      </c>
      <c r="H242" s="3">
        <v>12748</v>
      </c>
      <c r="I242" s="3">
        <v>12770.92</v>
      </c>
      <c r="J242" s="3">
        <v>13680</v>
      </c>
      <c r="K242" s="3">
        <v>10725</v>
      </c>
      <c r="L242" s="4">
        <v>467738</v>
      </c>
      <c r="M242" s="3">
        <v>5973442300</v>
      </c>
      <c r="N242" s="4">
        <v>76681</v>
      </c>
      <c r="O242">
        <f t="shared" si="3"/>
        <v>1.2147677649861056E-2</v>
      </c>
    </row>
    <row r="243" spans="1:15" ht="14.25" customHeight="1" x14ac:dyDescent="0.3">
      <c r="A243" s="2">
        <v>45827</v>
      </c>
      <c r="B243" t="s">
        <v>15</v>
      </c>
      <c r="C243" s="3">
        <v>12750</v>
      </c>
      <c r="D243" s="3">
        <v>12825</v>
      </c>
      <c r="E243" s="3">
        <v>12714</v>
      </c>
      <c r="F243" s="3">
        <v>12748</v>
      </c>
      <c r="G243" s="3">
        <v>12782</v>
      </c>
      <c r="H243" s="3">
        <v>12806</v>
      </c>
      <c r="I243" s="3">
        <v>12793.65</v>
      </c>
      <c r="J243" s="3">
        <v>13680</v>
      </c>
      <c r="K243" s="3">
        <v>10725</v>
      </c>
      <c r="L243" s="4">
        <v>339117</v>
      </c>
      <c r="M243" s="3">
        <v>4338545598</v>
      </c>
      <c r="N243" s="4">
        <v>48493</v>
      </c>
      <c r="O243">
        <f t="shared" si="3"/>
        <v>4.5497332914967055E-3</v>
      </c>
    </row>
    <row r="244" spans="1:15" ht="14.25" customHeight="1" x14ac:dyDescent="0.3">
      <c r="A244" s="2">
        <v>45828</v>
      </c>
      <c r="B244" t="s">
        <v>15</v>
      </c>
      <c r="C244" s="3">
        <v>12809</v>
      </c>
      <c r="D244" s="3">
        <v>12890</v>
      </c>
      <c r="E244" s="3">
        <v>12728</v>
      </c>
      <c r="F244" s="3">
        <v>12806</v>
      </c>
      <c r="G244" s="3">
        <v>12787</v>
      </c>
      <c r="H244" s="3">
        <v>12791</v>
      </c>
      <c r="I244" s="3">
        <v>12788.05</v>
      </c>
      <c r="J244" s="3">
        <v>13680</v>
      </c>
      <c r="K244" s="3">
        <v>10725</v>
      </c>
      <c r="L244" s="4">
        <v>652128</v>
      </c>
      <c r="M244" s="3">
        <v>8339442760</v>
      </c>
      <c r="N244" s="4">
        <v>70038</v>
      </c>
      <c r="O244">
        <f t="shared" si="3"/>
        <v>-1.1713259409651725E-3</v>
      </c>
    </row>
    <row r="245" spans="1:15" ht="14.25" customHeight="1" x14ac:dyDescent="0.3">
      <c r="A245" s="2">
        <v>45831</v>
      </c>
      <c r="B245" t="s">
        <v>15</v>
      </c>
      <c r="C245" s="3">
        <v>12771</v>
      </c>
      <c r="D245" s="3">
        <v>12786</v>
      </c>
      <c r="E245" s="3">
        <v>12666</v>
      </c>
      <c r="F245" s="3">
        <v>12791</v>
      </c>
      <c r="G245" s="3">
        <v>12693</v>
      </c>
      <c r="H245" s="3">
        <v>12699</v>
      </c>
      <c r="I245" s="3">
        <v>12707.97</v>
      </c>
      <c r="J245" s="3">
        <v>13680</v>
      </c>
      <c r="K245" s="3">
        <v>10725</v>
      </c>
      <c r="L245" s="4">
        <v>192037</v>
      </c>
      <c r="M245" s="3">
        <v>2440399581</v>
      </c>
      <c r="N245" s="4">
        <v>34740</v>
      </c>
      <c r="O245">
        <f t="shared" si="3"/>
        <v>-7.1925572668282388E-3</v>
      </c>
    </row>
    <row r="246" spans="1:15" ht="14.25" customHeight="1" x14ac:dyDescent="0.3">
      <c r="A246" s="2">
        <v>45832</v>
      </c>
      <c r="B246" t="s">
        <v>15</v>
      </c>
      <c r="C246" s="3">
        <v>12830</v>
      </c>
      <c r="D246" s="3">
        <v>12855</v>
      </c>
      <c r="E246" s="3">
        <v>12553</v>
      </c>
      <c r="F246" s="3">
        <v>12699</v>
      </c>
      <c r="G246" s="3">
        <v>12620</v>
      </c>
      <c r="H246" s="3">
        <v>12611</v>
      </c>
      <c r="I246" s="3">
        <v>12685.37</v>
      </c>
      <c r="J246" s="3">
        <v>13680</v>
      </c>
      <c r="K246" s="3">
        <v>10725</v>
      </c>
      <c r="L246" s="4">
        <v>332717</v>
      </c>
      <c r="M246" s="3">
        <v>4220639513</v>
      </c>
      <c r="N246" s="4">
        <v>65250</v>
      </c>
      <c r="O246">
        <f t="shared" si="3"/>
        <v>-6.9296795023230176E-3</v>
      </c>
    </row>
    <row r="247" spans="1:15" ht="14.25" customHeight="1" x14ac:dyDescent="0.3">
      <c r="A247" s="2">
        <v>45833</v>
      </c>
      <c r="B247" t="s">
        <v>15</v>
      </c>
      <c r="C247" s="3">
        <v>12684</v>
      </c>
      <c r="D247" s="3">
        <v>12807</v>
      </c>
      <c r="E247" s="3">
        <v>12617</v>
      </c>
      <c r="F247" s="3">
        <v>12611</v>
      </c>
      <c r="G247" s="3">
        <v>12760</v>
      </c>
      <c r="H247" s="3">
        <v>12767</v>
      </c>
      <c r="I247" s="3">
        <v>12741.69</v>
      </c>
      <c r="J247" s="3">
        <v>13680</v>
      </c>
      <c r="K247" s="3">
        <v>10725</v>
      </c>
      <c r="L247" s="4">
        <v>316536</v>
      </c>
      <c r="M247" s="3">
        <v>4033202447</v>
      </c>
      <c r="N247" s="4">
        <v>55008</v>
      </c>
      <c r="O247">
        <f t="shared" si="3"/>
        <v>1.2370153040995957E-2</v>
      </c>
    </row>
    <row r="248" spans="1:15" ht="14.25" customHeight="1" x14ac:dyDescent="0.3">
      <c r="A248" s="2">
        <v>45834</v>
      </c>
      <c r="B248" t="s">
        <v>15</v>
      </c>
      <c r="C248" s="3">
        <v>12780</v>
      </c>
      <c r="D248" s="3">
        <v>12848</v>
      </c>
      <c r="E248" s="3">
        <v>12689</v>
      </c>
      <c r="F248" s="3">
        <v>12767</v>
      </c>
      <c r="G248" s="3">
        <v>12734</v>
      </c>
      <c r="H248" s="3">
        <v>12715</v>
      </c>
      <c r="I248" s="3">
        <v>12741.13</v>
      </c>
      <c r="J248" s="3">
        <v>13680</v>
      </c>
      <c r="K248" s="3">
        <v>10725</v>
      </c>
      <c r="L248" s="4">
        <v>354735</v>
      </c>
      <c r="M248" s="3">
        <v>4519725996</v>
      </c>
      <c r="N248" s="4">
        <v>50705</v>
      </c>
      <c r="O248">
        <f t="shared" si="3"/>
        <v>-4.0730007049424293E-3</v>
      </c>
    </row>
    <row r="249" spans="1:15" ht="14.25" customHeight="1" x14ac:dyDescent="0.3">
      <c r="A249" s="2">
        <v>45835</v>
      </c>
      <c r="B249" t="s">
        <v>15</v>
      </c>
      <c r="C249" s="3">
        <v>12750</v>
      </c>
      <c r="D249" s="3">
        <v>12799</v>
      </c>
      <c r="E249" s="3">
        <v>12621</v>
      </c>
      <c r="F249" s="3">
        <v>12715</v>
      </c>
      <c r="G249" s="3">
        <v>12667</v>
      </c>
      <c r="H249" s="3">
        <v>12642</v>
      </c>
      <c r="I249" s="3">
        <v>12678.52</v>
      </c>
      <c r="J249" s="3">
        <v>13680</v>
      </c>
      <c r="K249" s="3">
        <v>10725</v>
      </c>
      <c r="L249" s="4">
        <v>346403</v>
      </c>
      <c r="M249" s="3">
        <v>4391877993</v>
      </c>
      <c r="N249" s="4">
        <v>80776</v>
      </c>
      <c r="O249">
        <f t="shared" si="3"/>
        <v>-5.7412504915454188E-3</v>
      </c>
    </row>
    <row r="250" spans="1:15" ht="14.25" customHeight="1" x14ac:dyDescent="0.3">
      <c r="A250" s="2">
        <v>45838</v>
      </c>
      <c r="B250" t="s">
        <v>15</v>
      </c>
      <c r="C250" s="3">
        <v>12667</v>
      </c>
      <c r="D250" s="3">
        <v>12675</v>
      </c>
      <c r="E250" s="3">
        <v>12332</v>
      </c>
      <c r="F250" s="3">
        <v>12642</v>
      </c>
      <c r="G250" s="3">
        <v>12406</v>
      </c>
      <c r="H250" s="3">
        <v>12400</v>
      </c>
      <c r="I250" s="3">
        <v>12455.02</v>
      </c>
      <c r="J250" s="3">
        <v>13680</v>
      </c>
      <c r="K250" s="3">
        <v>10725</v>
      </c>
      <c r="L250" s="4">
        <v>448956</v>
      </c>
      <c r="M250" s="3">
        <v>5591754684</v>
      </c>
      <c r="N250" s="4">
        <v>75415</v>
      </c>
      <c r="O250">
        <f t="shared" si="3"/>
        <v>-1.9142540737225124E-2</v>
      </c>
    </row>
    <row r="251" spans="1:15" ht="14.25" customHeight="1" x14ac:dyDescent="0.3">
      <c r="A251" s="2">
        <v>45839</v>
      </c>
      <c r="B251" t="s">
        <v>15</v>
      </c>
      <c r="C251" s="3">
        <v>12450</v>
      </c>
      <c r="D251" s="3">
        <v>12459</v>
      </c>
      <c r="E251" s="3">
        <v>12320</v>
      </c>
      <c r="F251" s="3">
        <v>12400</v>
      </c>
      <c r="G251" s="3">
        <v>12432</v>
      </c>
      <c r="H251" s="3">
        <v>12442</v>
      </c>
      <c r="I251" s="3">
        <v>12412.03</v>
      </c>
      <c r="J251" s="3">
        <v>13680</v>
      </c>
      <c r="K251" s="3">
        <v>10725</v>
      </c>
      <c r="L251" s="4">
        <v>283481</v>
      </c>
      <c r="M251" s="3">
        <v>3518573297</v>
      </c>
      <c r="N251" s="4">
        <v>53573</v>
      </c>
      <c r="O251">
        <f t="shared" si="3"/>
        <v>3.3870967741935483E-3</v>
      </c>
    </row>
    <row r="252" spans="1:15" ht="14.25" customHeight="1" x14ac:dyDescent="0.3">
      <c r="A252" s="2">
        <v>45840</v>
      </c>
      <c r="B252" t="s">
        <v>15</v>
      </c>
      <c r="C252" s="3">
        <v>12380</v>
      </c>
      <c r="D252" s="3">
        <v>12643</v>
      </c>
      <c r="E252" s="3">
        <v>12359</v>
      </c>
      <c r="F252" s="3">
        <v>12442</v>
      </c>
      <c r="G252" s="3">
        <v>12615</v>
      </c>
      <c r="H252" s="3">
        <v>12622</v>
      </c>
      <c r="I252" s="3">
        <v>12544.16</v>
      </c>
      <c r="J252" s="3">
        <v>13680</v>
      </c>
      <c r="K252" s="3">
        <v>10725</v>
      </c>
      <c r="L252" s="4">
        <v>609735</v>
      </c>
      <c r="M252" s="3">
        <v>7648614659</v>
      </c>
      <c r="N252" s="4">
        <v>67518</v>
      </c>
      <c r="O252">
        <f t="shared" si="3"/>
        <v>1.446712747146761E-2</v>
      </c>
    </row>
    <row r="253" spans="1:15" ht="14.25" customHeight="1" x14ac:dyDescent="0.3">
      <c r="A253" s="2">
        <v>45841</v>
      </c>
      <c r="B253" t="s">
        <v>15</v>
      </c>
      <c r="C253" s="3">
        <v>12630</v>
      </c>
      <c r="D253" s="3">
        <v>12820</v>
      </c>
      <c r="E253" s="3">
        <v>12590</v>
      </c>
      <c r="F253" s="3">
        <v>12622</v>
      </c>
      <c r="G253" s="3">
        <v>12750</v>
      </c>
      <c r="H253" s="3">
        <v>12752</v>
      </c>
      <c r="I253" s="3">
        <v>12746.65</v>
      </c>
      <c r="J253" s="3">
        <v>13680</v>
      </c>
      <c r="K253" s="3">
        <v>10725</v>
      </c>
      <c r="L253" s="4">
        <v>606221</v>
      </c>
      <c r="M253" s="3">
        <v>7727285261</v>
      </c>
      <c r="N253" s="4">
        <v>88815</v>
      </c>
      <c r="O253">
        <f t="shared" si="3"/>
        <v>1.0299477103470131E-2</v>
      </c>
    </row>
    <row r="254" spans="1:15" ht="14.25" customHeight="1" x14ac:dyDescent="0.3">
      <c r="A254" s="2">
        <v>45842</v>
      </c>
      <c r="B254" t="s">
        <v>15</v>
      </c>
      <c r="C254" s="3">
        <v>12715</v>
      </c>
      <c r="D254" s="3">
        <v>12748</v>
      </c>
      <c r="E254" s="3">
        <v>12608</v>
      </c>
      <c r="F254" s="3">
        <v>12752</v>
      </c>
      <c r="G254" s="3">
        <v>12647</v>
      </c>
      <c r="H254" s="3">
        <v>12646</v>
      </c>
      <c r="I254" s="3">
        <v>12643.58</v>
      </c>
      <c r="J254" s="3">
        <v>13680</v>
      </c>
      <c r="K254" s="3">
        <v>10725</v>
      </c>
      <c r="L254" s="4">
        <v>225607</v>
      </c>
      <c r="M254" s="3">
        <v>2852480073</v>
      </c>
      <c r="N254" s="4">
        <v>44264</v>
      </c>
      <c r="O254">
        <f t="shared" si="3"/>
        <v>-8.3124215809284811E-3</v>
      </c>
    </row>
    <row r="255" spans="1:15" ht="14.25" customHeight="1" x14ac:dyDescent="0.3">
      <c r="A255" s="2">
        <v>45845</v>
      </c>
      <c r="B255" t="s">
        <v>15</v>
      </c>
      <c r="C255" s="3">
        <v>12647</v>
      </c>
      <c r="D255" s="3">
        <v>12670</v>
      </c>
      <c r="E255" s="3">
        <v>12471</v>
      </c>
      <c r="F255" s="3">
        <v>12646</v>
      </c>
      <c r="G255" s="3">
        <v>12507</v>
      </c>
      <c r="H255" s="3">
        <v>12520</v>
      </c>
      <c r="I255" s="3">
        <v>12520.87</v>
      </c>
      <c r="J255" s="3">
        <v>13680</v>
      </c>
      <c r="K255" s="3">
        <v>10725</v>
      </c>
      <c r="L255" s="4">
        <v>220116</v>
      </c>
      <c r="M255" s="3">
        <v>2756043198</v>
      </c>
      <c r="N255" s="4">
        <v>48336</v>
      </c>
      <c r="O255">
        <f t="shared" si="3"/>
        <v>-9.9636248616163207E-3</v>
      </c>
    </row>
    <row r="256" spans="1:15" ht="14.25" customHeight="1" x14ac:dyDescent="0.3">
      <c r="A256" s="2">
        <v>45846</v>
      </c>
      <c r="B256" t="s">
        <v>15</v>
      </c>
      <c r="C256" s="3">
        <v>12525</v>
      </c>
      <c r="D256" s="3">
        <v>12555</v>
      </c>
      <c r="E256" s="3">
        <v>12359</v>
      </c>
      <c r="F256" s="3">
        <v>12520</v>
      </c>
      <c r="G256" s="3">
        <v>12435</v>
      </c>
      <c r="H256" s="3">
        <v>12414</v>
      </c>
      <c r="I256" s="3">
        <v>12414.18</v>
      </c>
      <c r="J256" s="3">
        <v>13680</v>
      </c>
      <c r="K256" s="3">
        <v>10725</v>
      </c>
      <c r="L256" s="4">
        <v>241050</v>
      </c>
      <c r="M256" s="3">
        <v>2992436939</v>
      </c>
      <c r="N256" s="4">
        <v>36530</v>
      </c>
      <c r="O256">
        <f t="shared" si="3"/>
        <v>-8.4664536741214051E-3</v>
      </c>
    </row>
    <row r="257" spans="1:15" ht="14.25" customHeight="1" x14ac:dyDescent="0.3">
      <c r="A257" s="2">
        <v>45847</v>
      </c>
      <c r="B257" t="s">
        <v>15</v>
      </c>
      <c r="C257" s="3">
        <v>12435</v>
      </c>
      <c r="D257" s="3">
        <v>12540</v>
      </c>
      <c r="E257" s="3">
        <v>12430</v>
      </c>
      <c r="F257" s="3">
        <v>12414</v>
      </c>
      <c r="G257" s="3">
        <v>12453</v>
      </c>
      <c r="H257" s="3">
        <v>12470</v>
      </c>
      <c r="I257" s="3">
        <v>12479.64</v>
      </c>
      <c r="J257" s="3">
        <v>13680</v>
      </c>
      <c r="K257" s="3">
        <v>10725</v>
      </c>
      <c r="L257" s="4">
        <v>174203</v>
      </c>
      <c r="M257" s="3">
        <v>2173990741</v>
      </c>
      <c r="N257" s="4">
        <v>34715</v>
      </c>
      <c r="O257">
        <f t="shared" si="3"/>
        <v>4.5110359271789916E-3</v>
      </c>
    </row>
    <row r="258" spans="1:15" ht="14.25" customHeight="1" x14ac:dyDescent="0.3">
      <c r="A258" s="2">
        <v>45848</v>
      </c>
      <c r="B258" t="s">
        <v>15</v>
      </c>
      <c r="C258" s="3">
        <v>12500</v>
      </c>
      <c r="D258" s="3">
        <v>12670</v>
      </c>
      <c r="E258" s="3">
        <v>12401</v>
      </c>
      <c r="F258" s="3">
        <v>12470</v>
      </c>
      <c r="G258" s="3">
        <v>12644</v>
      </c>
      <c r="H258" s="3">
        <v>12650</v>
      </c>
      <c r="I258" s="3">
        <v>12598.36</v>
      </c>
      <c r="J258" s="3">
        <v>13680</v>
      </c>
      <c r="K258" s="3">
        <v>10725</v>
      </c>
      <c r="L258" s="4">
        <v>277325</v>
      </c>
      <c r="M258" s="3">
        <v>3493839715</v>
      </c>
      <c r="N258" s="4">
        <v>44249</v>
      </c>
      <c r="O258">
        <f t="shared" si="3"/>
        <v>1.4434643143544507E-2</v>
      </c>
    </row>
    <row r="259" spans="1:15" ht="14.25" customHeight="1" x14ac:dyDescent="0.3">
      <c r="A259" s="2">
        <v>45849</v>
      </c>
      <c r="B259" t="s">
        <v>15</v>
      </c>
      <c r="C259" s="3">
        <v>12640</v>
      </c>
      <c r="D259" s="3">
        <v>12685</v>
      </c>
      <c r="E259" s="3">
        <v>12521</v>
      </c>
      <c r="F259" s="3">
        <v>12650</v>
      </c>
      <c r="G259" s="3">
        <v>12585</v>
      </c>
      <c r="H259" s="3">
        <v>12574</v>
      </c>
      <c r="I259" s="3">
        <v>12572.25</v>
      </c>
      <c r="J259" s="3">
        <v>13680</v>
      </c>
      <c r="K259" s="3">
        <v>10725</v>
      </c>
      <c r="L259" s="4">
        <v>194420</v>
      </c>
      <c r="M259" s="3">
        <v>2444295993</v>
      </c>
      <c r="N259" s="4">
        <v>41643</v>
      </c>
      <c r="O259">
        <f t="shared" ref="O259:O322" si="4">(H259-H258)/H258</f>
        <v>-6.0079051383399211E-3</v>
      </c>
    </row>
    <row r="260" spans="1:15" ht="14.25" customHeight="1" x14ac:dyDescent="0.3">
      <c r="A260" s="2">
        <v>45852</v>
      </c>
      <c r="B260" t="s">
        <v>15</v>
      </c>
      <c r="C260" s="3">
        <v>12590</v>
      </c>
      <c r="D260" s="3">
        <v>12616</v>
      </c>
      <c r="E260" s="3">
        <v>12431</v>
      </c>
      <c r="F260" s="3">
        <v>12574</v>
      </c>
      <c r="G260" s="3">
        <v>12534</v>
      </c>
      <c r="H260" s="3">
        <v>12514</v>
      </c>
      <c r="I260" s="3">
        <v>12509.48</v>
      </c>
      <c r="J260" s="3">
        <v>13680</v>
      </c>
      <c r="K260" s="3">
        <v>10725</v>
      </c>
      <c r="L260" s="4">
        <v>246737</v>
      </c>
      <c r="M260" s="3">
        <v>3086552445</v>
      </c>
      <c r="N260" s="4">
        <v>38640</v>
      </c>
      <c r="O260">
        <f t="shared" si="4"/>
        <v>-4.7717512327024019E-3</v>
      </c>
    </row>
    <row r="261" spans="1:15" ht="14.25" customHeight="1" x14ac:dyDescent="0.3">
      <c r="A261" s="2">
        <v>45853</v>
      </c>
      <c r="B261" t="s">
        <v>15</v>
      </c>
      <c r="C261" s="3">
        <v>12481</v>
      </c>
      <c r="D261" s="3">
        <v>12598</v>
      </c>
      <c r="E261" s="3">
        <v>12481</v>
      </c>
      <c r="F261" s="3">
        <v>12514</v>
      </c>
      <c r="G261" s="3">
        <v>12545</v>
      </c>
      <c r="H261" s="3">
        <v>12536</v>
      </c>
      <c r="I261" s="3">
        <v>12538.33</v>
      </c>
      <c r="J261" s="3">
        <v>13680</v>
      </c>
      <c r="K261" s="3">
        <v>10725</v>
      </c>
      <c r="L261" s="4">
        <v>147377</v>
      </c>
      <c r="M261" s="3">
        <v>1847860810</v>
      </c>
      <c r="N261" s="4">
        <v>30834</v>
      </c>
      <c r="O261">
        <f t="shared" si="4"/>
        <v>1.758031005274093E-3</v>
      </c>
    </row>
    <row r="262" spans="1:15" ht="14.25" customHeight="1" x14ac:dyDescent="0.3">
      <c r="A262" s="2">
        <v>45854</v>
      </c>
      <c r="B262" t="s">
        <v>15</v>
      </c>
      <c r="C262" s="3">
        <v>12536</v>
      </c>
      <c r="D262" s="3">
        <v>12571</v>
      </c>
      <c r="E262" s="3">
        <v>12439</v>
      </c>
      <c r="F262" s="3">
        <v>12536</v>
      </c>
      <c r="G262" s="3">
        <v>12569</v>
      </c>
      <c r="H262" s="3">
        <v>12564</v>
      </c>
      <c r="I262" s="3">
        <v>12511.87</v>
      </c>
      <c r="J262" s="3">
        <v>13680</v>
      </c>
      <c r="K262" s="3">
        <v>10725</v>
      </c>
      <c r="L262" s="4">
        <v>204480</v>
      </c>
      <c r="M262" s="3">
        <v>2558428073</v>
      </c>
      <c r="N262" s="4">
        <v>37086</v>
      </c>
      <c r="O262">
        <f t="shared" si="4"/>
        <v>2.2335673261008296E-3</v>
      </c>
    </row>
    <row r="263" spans="1:15" ht="14.25" customHeight="1" x14ac:dyDescent="0.3">
      <c r="A263" s="2">
        <v>45855</v>
      </c>
      <c r="B263" t="s">
        <v>15</v>
      </c>
      <c r="C263" s="3">
        <v>12569</v>
      </c>
      <c r="D263" s="3">
        <v>12627</v>
      </c>
      <c r="E263" s="3">
        <v>12463</v>
      </c>
      <c r="F263" s="3">
        <v>12564</v>
      </c>
      <c r="G263" s="3">
        <v>12492</v>
      </c>
      <c r="H263" s="3">
        <v>12476</v>
      </c>
      <c r="I263" s="3">
        <v>12528.95</v>
      </c>
      <c r="J263" s="3">
        <v>13680</v>
      </c>
      <c r="K263" s="3">
        <v>10725</v>
      </c>
      <c r="L263" s="4">
        <v>189207</v>
      </c>
      <c r="M263" s="3">
        <v>2370565635</v>
      </c>
      <c r="N263" s="4">
        <v>40988</v>
      </c>
      <c r="O263">
        <f t="shared" si="4"/>
        <v>-7.0041388092964025E-3</v>
      </c>
    </row>
    <row r="264" spans="1:15" ht="14.25" customHeight="1" x14ac:dyDescent="0.3">
      <c r="A264" s="2">
        <v>45856</v>
      </c>
      <c r="B264" t="s">
        <v>15</v>
      </c>
      <c r="C264" s="3">
        <v>12525</v>
      </c>
      <c r="D264" s="3">
        <v>12527</v>
      </c>
      <c r="E264" s="3">
        <v>12370</v>
      </c>
      <c r="F264" s="3">
        <v>12476</v>
      </c>
      <c r="G264" s="3">
        <v>12424</v>
      </c>
      <c r="H264" s="3">
        <v>12419</v>
      </c>
      <c r="I264" s="3">
        <v>12423.69</v>
      </c>
      <c r="J264" s="3">
        <v>13680</v>
      </c>
      <c r="K264" s="3">
        <v>10725</v>
      </c>
      <c r="L264" s="4">
        <v>124068</v>
      </c>
      <c r="M264" s="3">
        <v>1541382207</v>
      </c>
      <c r="N264" s="4">
        <v>21217</v>
      </c>
      <c r="O264">
        <f t="shared" si="4"/>
        <v>-4.5687720423212572E-3</v>
      </c>
    </row>
    <row r="265" spans="1:15" ht="14.25" customHeight="1" x14ac:dyDescent="0.3">
      <c r="A265" s="2">
        <v>45859</v>
      </c>
      <c r="B265" t="s">
        <v>15</v>
      </c>
      <c r="C265" s="3">
        <v>12431</v>
      </c>
      <c r="D265" s="3">
        <v>12478</v>
      </c>
      <c r="E265" s="3">
        <v>12342</v>
      </c>
      <c r="F265" s="3">
        <v>12419</v>
      </c>
      <c r="G265" s="3">
        <v>12385</v>
      </c>
      <c r="H265" s="3">
        <v>12405</v>
      </c>
      <c r="I265" s="3">
        <v>12394.86</v>
      </c>
      <c r="J265" s="3">
        <v>13680</v>
      </c>
      <c r="K265" s="3">
        <v>10725</v>
      </c>
      <c r="L265" s="4">
        <v>232066</v>
      </c>
      <c r="M265" s="3">
        <v>2876425473</v>
      </c>
      <c r="N265" s="4">
        <v>44842</v>
      </c>
      <c r="O265">
        <f t="shared" si="4"/>
        <v>-1.1273049359851841E-3</v>
      </c>
    </row>
    <row r="266" spans="1:15" ht="14.25" customHeight="1" x14ac:dyDescent="0.3">
      <c r="A266" s="2">
        <v>45860</v>
      </c>
      <c r="B266" t="s">
        <v>15</v>
      </c>
      <c r="C266" s="3">
        <v>12449</v>
      </c>
      <c r="D266" s="3">
        <v>12530</v>
      </c>
      <c r="E266" s="3">
        <v>12319</v>
      </c>
      <c r="F266" s="3">
        <v>12405</v>
      </c>
      <c r="G266" s="3">
        <v>12504</v>
      </c>
      <c r="H266" s="3">
        <v>12492</v>
      </c>
      <c r="I266" s="3">
        <v>12435.29</v>
      </c>
      <c r="J266" s="3">
        <v>13680</v>
      </c>
      <c r="K266" s="3">
        <v>10725</v>
      </c>
      <c r="L266" s="4">
        <v>169006</v>
      </c>
      <c r="M266" s="3">
        <v>2101638620</v>
      </c>
      <c r="N266" s="4">
        <v>38928</v>
      </c>
      <c r="O266">
        <f t="shared" si="4"/>
        <v>7.0133010882708589E-3</v>
      </c>
    </row>
    <row r="267" spans="1:15" ht="14.25" customHeight="1" x14ac:dyDescent="0.3">
      <c r="A267" s="2">
        <v>45861</v>
      </c>
      <c r="B267" t="s">
        <v>15</v>
      </c>
      <c r="C267" s="3">
        <v>12540</v>
      </c>
      <c r="D267" s="3">
        <v>12719</v>
      </c>
      <c r="E267" s="3">
        <v>12540</v>
      </c>
      <c r="F267" s="3">
        <v>12492</v>
      </c>
      <c r="G267" s="3">
        <v>12638</v>
      </c>
      <c r="H267" s="3">
        <v>12627</v>
      </c>
      <c r="I267" s="3">
        <v>12649.16</v>
      </c>
      <c r="J267" s="3">
        <v>13680</v>
      </c>
      <c r="K267" s="3">
        <v>10725</v>
      </c>
      <c r="L267" s="4">
        <v>342005</v>
      </c>
      <c r="M267" s="3">
        <v>4326076177</v>
      </c>
      <c r="N267" s="4">
        <v>45794</v>
      </c>
      <c r="O267">
        <f t="shared" si="4"/>
        <v>1.0806916426512969E-2</v>
      </c>
    </row>
    <row r="268" spans="1:15" ht="14.25" customHeight="1" x14ac:dyDescent="0.3">
      <c r="A268" s="2">
        <v>45862</v>
      </c>
      <c r="B268" t="s">
        <v>15</v>
      </c>
      <c r="C268" s="3">
        <v>12648</v>
      </c>
      <c r="D268" s="3">
        <v>12661</v>
      </c>
      <c r="E268" s="3">
        <v>12519</v>
      </c>
      <c r="F268" s="3">
        <v>12627</v>
      </c>
      <c r="G268" s="3">
        <v>12565</v>
      </c>
      <c r="H268" s="3">
        <v>12557</v>
      </c>
      <c r="I268" s="3">
        <v>12580.83</v>
      </c>
      <c r="J268" s="3">
        <v>13680</v>
      </c>
      <c r="K268" s="3">
        <v>10725</v>
      </c>
      <c r="L268" s="4">
        <v>157163</v>
      </c>
      <c r="M268" s="3">
        <v>1977240460</v>
      </c>
      <c r="N268" s="4">
        <v>37229</v>
      </c>
      <c r="O268">
        <f t="shared" si="4"/>
        <v>-5.5436762493070403E-3</v>
      </c>
    </row>
    <row r="269" spans="1:15" ht="14.25" customHeight="1" x14ac:dyDescent="0.3">
      <c r="A269" s="2">
        <v>45863</v>
      </c>
      <c r="B269" t="s">
        <v>15</v>
      </c>
      <c r="C269" s="3">
        <v>12545</v>
      </c>
      <c r="D269" s="3">
        <v>12557</v>
      </c>
      <c r="E269" s="3">
        <v>12357</v>
      </c>
      <c r="F269" s="3">
        <v>12557</v>
      </c>
      <c r="G269" s="3">
        <v>12385</v>
      </c>
      <c r="H269" s="3">
        <v>12404</v>
      </c>
      <c r="I269" s="3">
        <v>12418.29</v>
      </c>
      <c r="J269" s="3">
        <v>13680</v>
      </c>
      <c r="K269" s="3">
        <v>10725</v>
      </c>
      <c r="L269" s="4">
        <v>260700</v>
      </c>
      <c r="M269" s="3">
        <v>3237449240</v>
      </c>
      <c r="N269" s="4">
        <v>42048</v>
      </c>
      <c r="O269">
        <f t="shared" si="4"/>
        <v>-1.2184438958349924E-2</v>
      </c>
    </row>
    <row r="270" spans="1:15" ht="14.25" customHeight="1" x14ac:dyDescent="0.3">
      <c r="A270" s="2">
        <v>45866</v>
      </c>
      <c r="B270" t="s">
        <v>15</v>
      </c>
      <c r="C270" s="3">
        <v>12371</v>
      </c>
      <c r="D270" s="3">
        <v>12535</v>
      </c>
      <c r="E270" s="3">
        <v>12302</v>
      </c>
      <c r="F270" s="3">
        <v>12404</v>
      </c>
      <c r="G270" s="3">
        <v>12335</v>
      </c>
      <c r="H270" s="3">
        <v>12340</v>
      </c>
      <c r="I270" s="3">
        <v>12410.95</v>
      </c>
      <c r="J270" s="3">
        <v>13680</v>
      </c>
      <c r="K270" s="3">
        <v>10725</v>
      </c>
      <c r="L270" s="4">
        <v>292879</v>
      </c>
      <c r="M270" s="3">
        <v>3634907654</v>
      </c>
      <c r="N270" s="4">
        <v>51251</v>
      </c>
      <c r="O270">
        <f t="shared" si="4"/>
        <v>-5.1596259271202835E-3</v>
      </c>
    </row>
    <row r="271" spans="1:15" ht="14.25" customHeight="1" x14ac:dyDescent="0.3">
      <c r="A271" s="2">
        <v>45867</v>
      </c>
      <c r="B271" t="s">
        <v>15</v>
      </c>
      <c r="C271" s="3">
        <v>12340</v>
      </c>
      <c r="D271" s="3">
        <v>12507</v>
      </c>
      <c r="E271" s="3">
        <v>12268</v>
      </c>
      <c r="F271" s="3">
        <v>12340</v>
      </c>
      <c r="G271" s="3">
        <v>12488</v>
      </c>
      <c r="H271" s="3">
        <v>12469</v>
      </c>
      <c r="I271" s="3">
        <v>12395.17</v>
      </c>
      <c r="J271" s="3">
        <v>13680</v>
      </c>
      <c r="K271" s="3">
        <v>10725</v>
      </c>
      <c r="L271" s="4">
        <v>285115</v>
      </c>
      <c r="M271" s="3">
        <v>3534049999</v>
      </c>
      <c r="N271" s="4">
        <v>44636</v>
      </c>
      <c r="O271">
        <f t="shared" si="4"/>
        <v>1.0453808752025931E-2</v>
      </c>
    </row>
    <row r="272" spans="1:15" ht="14.25" customHeight="1" x14ac:dyDescent="0.3">
      <c r="A272" s="2">
        <v>45868</v>
      </c>
      <c r="B272" t="s">
        <v>15</v>
      </c>
      <c r="C272" s="3">
        <v>12431</v>
      </c>
      <c r="D272" s="3">
        <v>12643</v>
      </c>
      <c r="E272" s="3">
        <v>12420</v>
      </c>
      <c r="F272" s="3">
        <v>12469</v>
      </c>
      <c r="G272" s="3">
        <v>12588</v>
      </c>
      <c r="H272" s="3">
        <v>12618</v>
      </c>
      <c r="I272" s="3">
        <v>12575.09</v>
      </c>
      <c r="J272" s="3">
        <v>13680</v>
      </c>
      <c r="K272" s="3">
        <v>10725</v>
      </c>
      <c r="L272" s="4">
        <v>203847</v>
      </c>
      <c r="M272" s="3">
        <v>2563395216</v>
      </c>
      <c r="N272" s="4">
        <v>44622</v>
      </c>
      <c r="O272">
        <f t="shared" si="4"/>
        <v>1.1949635095035688E-2</v>
      </c>
    </row>
    <row r="273" spans="1:15" ht="14.25" customHeight="1" x14ac:dyDescent="0.3">
      <c r="A273" s="2">
        <v>45869</v>
      </c>
      <c r="B273" t="s">
        <v>15</v>
      </c>
      <c r="C273" s="3">
        <v>12506</v>
      </c>
      <c r="D273" s="3">
        <v>12760</v>
      </c>
      <c r="E273" s="3">
        <v>12464</v>
      </c>
      <c r="F273" s="3">
        <v>12618</v>
      </c>
      <c r="G273" s="3">
        <v>12521</v>
      </c>
      <c r="H273" s="3">
        <v>12608</v>
      </c>
      <c r="I273" s="3">
        <v>12574.65</v>
      </c>
      <c r="J273" s="3">
        <v>13680</v>
      </c>
      <c r="K273" s="3">
        <v>10725</v>
      </c>
      <c r="L273" s="4">
        <v>709783</v>
      </c>
      <c r="M273" s="3">
        <v>8925274901</v>
      </c>
      <c r="N273" s="4">
        <v>106063</v>
      </c>
      <c r="O273">
        <f t="shared" si="4"/>
        <v>-7.9251862418766843E-4</v>
      </c>
    </row>
    <row r="274" spans="1:15" ht="14.25" customHeight="1" x14ac:dyDescent="0.3">
      <c r="A274" s="2">
        <v>45870</v>
      </c>
      <c r="B274" t="s">
        <v>15</v>
      </c>
      <c r="C274" s="3">
        <v>12521</v>
      </c>
      <c r="D274" s="3">
        <v>12779</v>
      </c>
      <c r="E274" s="3">
        <v>12273</v>
      </c>
      <c r="F274" s="3">
        <v>12608</v>
      </c>
      <c r="G274" s="3">
        <v>12275</v>
      </c>
      <c r="H274" s="3">
        <v>12302</v>
      </c>
      <c r="I274" s="3">
        <v>12478.12</v>
      </c>
      <c r="J274" s="3">
        <v>13680</v>
      </c>
      <c r="K274" s="3">
        <v>10725</v>
      </c>
      <c r="L274" s="4">
        <v>346024</v>
      </c>
      <c r="M274" s="3">
        <v>4317729270</v>
      </c>
      <c r="N274" s="4">
        <v>68394</v>
      </c>
      <c r="O274">
        <f t="shared" si="4"/>
        <v>-2.4270304568527919E-2</v>
      </c>
    </row>
    <row r="275" spans="1:15" ht="14.25" customHeight="1" x14ac:dyDescent="0.3">
      <c r="A275" s="2">
        <v>45873</v>
      </c>
      <c r="B275" t="s">
        <v>15</v>
      </c>
      <c r="C275" s="3">
        <v>12326</v>
      </c>
      <c r="D275" s="3">
        <v>12425</v>
      </c>
      <c r="E275" s="3">
        <v>12225</v>
      </c>
      <c r="F275" s="3">
        <v>12302</v>
      </c>
      <c r="G275" s="3">
        <v>12357</v>
      </c>
      <c r="H275" s="3">
        <v>12365</v>
      </c>
      <c r="I275" s="3">
        <v>12328.72</v>
      </c>
      <c r="J275" s="3">
        <v>13541.65</v>
      </c>
      <c r="K275" s="3">
        <v>10725</v>
      </c>
      <c r="L275" s="4">
        <v>255693</v>
      </c>
      <c r="M275" s="3">
        <v>3152367752</v>
      </c>
      <c r="N275" s="4">
        <v>60870</v>
      </c>
      <c r="O275">
        <f t="shared" si="4"/>
        <v>5.1211185173142574E-3</v>
      </c>
    </row>
    <row r="276" spans="1:15" ht="14.25" customHeight="1" x14ac:dyDescent="0.3">
      <c r="A276" s="2">
        <v>45874</v>
      </c>
      <c r="B276" t="s">
        <v>15</v>
      </c>
      <c r="C276" s="3">
        <v>12400</v>
      </c>
      <c r="D276" s="3">
        <v>12577</v>
      </c>
      <c r="E276" s="3">
        <v>12370</v>
      </c>
      <c r="F276" s="3">
        <v>12365</v>
      </c>
      <c r="G276" s="3">
        <v>12543</v>
      </c>
      <c r="H276" s="3">
        <v>12537</v>
      </c>
      <c r="I276" s="3">
        <v>12512.87</v>
      </c>
      <c r="J276" s="3">
        <v>13541.65</v>
      </c>
      <c r="K276" s="3">
        <v>10725</v>
      </c>
      <c r="L276" s="4">
        <v>233560</v>
      </c>
      <c r="M276" s="3">
        <v>2922504951</v>
      </c>
      <c r="N276" s="4">
        <v>43967</v>
      </c>
      <c r="O276">
        <f t="shared" si="4"/>
        <v>1.391023048928427E-2</v>
      </c>
    </row>
    <row r="277" spans="1:15" ht="14.25" customHeight="1" x14ac:dyDescent="0.3">
      <c r="A277" s="2">
        <v>45875</v>
      </c>
      <c r="B277" t="s">
        <v>15</v>
      </c>
      <c r="C277" s="3">
        <v>12570</v>
      </c>
      <c r="D277" s="3">
        <v>12619</v>
      </c>
      <c r="E277" s="3">
        <v>12483</v>
      </c>
      <c r="F277" s="3">
        <v>12537</v>
      </c>
      <c r="G277" s="3">
        <v>12510</v>
      </c>
      <c r="H277" s="3">
        <v>12524</v>
      </c>
      <c r="I277" s="3">
        <v>12536.79</v>
      </c>
      <c r="J277" s="3">
        <v>13541.65</v>
      </c>
      <c r="K277" s="3">
        <v>10725</v>
      </c>
      <c r="L277" s="4">
        <v>151608</v>
      </c>
      <c r="M277" s="3">
        <v>1900677480</v>
      </c>
      <c r="N277" s="4">
        <v>31122</v>
      </c>
      <c r="O277">
        <f t="shared" si="4"/>
        <v>-1.0369306851718912E-3</v>
      </c>
    </row>
    <row r="278" spans="1:15" ht="14.25" customHeight="1" x14ac:dyDescent="0.3">
      <c r="A278" s="2">
        <v>45876</v>
      </c>
      <c r="B278" t="s">
        <v>15</v>
      </c>
      <c r="C278" s="3">
        <v>12525</v>
      </c>
      <c r="D278" s="3">
        <v>12654</v>
      </c>
      <c r="E278" s="3">
        <v>12429</v>
      </c>
      <c r="F278" s="3">
        <v>12524</v>
      </c>
      <c r="G278" s="3">
        <v>12625</v>
      </c>
      <c r="H278" s="3">
        <v>12632</v>
      </c>
      <c r="I278" s="3">
        <v>12546.68</v>
      </c>
      <c r="J278" s="3">
        <v>13541.65</v>
      </c>
      <c r="K278" s="3">
        <v>10725</v>
      </c>
      <c r="L278" s="4">
        <v>173393</v>
      </c>
      <c r="M278" s="3">
        <v>2175506521</v>
      </c>
      <c r="N278" s="4">
        <v>35095</v>
      </c>
      <c r="O278">
        <f t="shared" si="4"/>
        <v>8.6234429894602362E-3</v>
      </c>
    </row>
    <row r="279" spans="1:15" ht="14.25" customHeight="1" x14ac:dyDescent="0.3">
      <c r="A279" s="2">
        <v>45877</v>
      </c>
      <c r="B279" t="s">
        <v>15</v>
      </c>
      <c r="C279" s="3">
        <v>12630</v>
      </c>
      <c r="D279" s="3">
        <v>12725</v>
      </c>
      <c r="E279" s="3">
        <v>12564</v>
      </c>
      <c r="F279" s="3">
        <v>12632</v>
      </c>
      <c r="G279" s="3">
        <v>12567</v>
      </c>
      <c r="H279" s="3">
        <v>12590</v>
      </c>
      <c r="I279" s="3">
        <v>12631.48</v>
      </c>
      <c r="J279" s="3">
        <v>13541.65</v>
      </c>
      <c r="K279" s="3">
        <v>10725</v>
      </c>
      <c r="L279" s="4">
        <v>247048</v>
      </c>
      <c r="M279" s="3">
        <v>3120582057</v>
      </c>
      <c r="N279" s="4">
        <v>42222</v>
      </c>
      <c r="O279">
        <f t="shared" si="4"/>
        <v>-3.324889170360988E-3</v>
      </c>
    </row>
    <row r="280" spans="1:15" ht="14.25" customHeight="1" x14ac:dyDescent="0.3">
      <c r="A280" s="2">
        <v>45880</v>
      </c>
      <c r="B280" t="s">
        <v>15</v>
      </c>
      <c r="C280" s="3">
        <v>12585</v>
      </c>
      <c r="D280" s="3">
        <v>12734</v>
      </c>
      <c r="E280" s="3">
        <v>12482</v>
      </c>
      <c r="F280" s="3">
        <v>12590</v>
      </c>
      <c r="G280" s="3">
        <v>12583</v>
      </c>
      <c r="H280" s="3">
        <v>12597</v>
      </c>
      <c r="I280" s="3">
        <v>12564.22</v>
      </c>
      <c r="J280" s="3">
        <v>13541.65</v>
      </c>
      <c r="K280" s="3">
        <v>10725</v>
      </c>
      <c r="L280" s="4">
        <v>187230</v>
      </c>
      <c r="M280" s="3">
        <v>2352398674</v>
      </c>
      <c r="N280" s="4">
        <v>42810</v>
      </c>
      <c r="O280">
        <f t="shared" si="4"/>
        <v>5.5599682287529786E-4</v>
      </c>
    </row>
    <row r="281" spans="1:15" ht="14.25" customHeight="1" x14ac:dyDescent="0.3">
      <c r="A281" s="2">
        <v>45881</v>
      </c>
      <c r="B281" t="s">
        <v>15</v>
      </c>
      <c r="C281" s="3">
        <v>12620</v>
      </c>
      <c r="D281" s="3">
        <v>12959</v>
      </c>
      <c r="E281" s="3">
        <v>12606</v>
      </c>
      <c r="F281" s="3">
        <v>12597</v>
      </c>
      <c r="G281" s="3">
        <v>12847</v>
      </c>
      <c r="H281" s="3">
        <v>12840</v>
      </c>
      <c r="I281" s="3">
        <v>12857.67</v>
      </c>
      <c r="J281" s="3">
        <v>13541.65</v>
      </c>
      <c r="K281" s="3">
        <v>10725</v>
      </c>
      <c r="L281" s="4">
        <v>504476</v>
      </c>
      <c r="M281" s="3">
        <v>6486386920</v>
      </c>
      <c r="N281" s="4">
        <v>90513</v>
      </c>
      <c r="O281">
        <f t="shared" si="4"/>
        <v>1.9290307216003812E-2</v>
      </c>
    </row>
    <row r="282" spans="1:15" ht="14.25" customHeight="1" x14ac:dyDescent="0.3">
      <c r="A282" s="2">
        <v>45882</v>
      </c>
      <c r="B282" t="s">
        <v>15</v>
      </c>
      <c r="C282" s="3">
        <v>12840</v>
      </c>
      <c r="D282" s="3">
        <v>12925</v>
      </c>
      <c r="E282" s="3">
        <v>12752</v>
      </c>
      <c r="F282" s="3">
        <v>12840</v>
      </c>
      <c r="G282" s="3">
        <v>12839</v>
      </c>
      <c r="H282" s="3">
        <v>12834</v>
      </c>
      <c r="I282" s="3">
        <v>12852.17</v>
      </c>
      <c r="J282" s="3">
        <v>13541.65</v>
      </c>
      <c r="K282" s="3">
        <v>10725</v>
      </c>
      <c r="L282" s="4">
        <v>252065</v>
      </c>
      <c r="M282" s="3">
        <v>3239581920</v>
      </c>
      <c r="N282" s="4">
        <v>50617</v>
      </c>
      <c r="O282">
        <f t="shared" si="4"/>
        <v>-4.6728971962616824E-4</v>
      </c>
    </row>
    <row r="283" spans="1:15" ht="14.25" customHeight="1" x14ac:dyDescent="0.3">
      <c r="A283" s="2">
        <v>45883</v>
      </c>
      <c r="B283" t="s">
        <v>15</v>
      </c>
      <c r="C283" s="3">
        <v>12864</v>
      </c>
      <c r="D283" s="3">
        <v>12956</v>
      </c>
      <c r="E283" s="3">
        <v>12825</v>
      </c>
      <c r="F283" s="3">
        <v>12834</v>
      </c>
      <c r="G283" s="3">
        <v>12905</v>
      </c>
      <c r="H283" s="3">
        <v>12936</v>
      </c>
      <c r="I283" s="3">
        <v>12902.63</v>
      </c>
      <c r="J283" s="3">
        <v>13541.65</v>
      </c>
      <c r="K283" s="3">
        <v>10725</v>
      </c>
      <c r="L283" s="4">
        <v>318580</v>
      </c>
      <c r="M283" s="3">
        <v>4110520647</v>
      </c>
      <c r="N283" s="4">
        <v>55973</v>
      </c>
      <c r="O283">
        <f t="shared" si="4"/>
        <v>7.9476390836839637E-3</v>
      </c>
    </row>
    <row r="284" spans="1:15" ht="14.25" customHeight="1" x14ac:dyDescent="0.3">
      <c r="A284" s="2">
        <v>45887</v>
      </c>
      <c r="B284" t="s">
        <v>15</v>
      </c>
      <c r="C284" s="3">
        <v>13703</v>
      </c>
      <c r="D284" s="3">
        <v>14125</v>
      </c>
      <c r="E284" s="3">
        <v>13664</v>
      </c>
      <c r="F284" s="3">
        <v>12936</v>
      </c>
      <c r="G284" s="3">
        <v>14090</v>
      </c>
      <c r="H284" s="3">
        <v>14068</v>
      </c>
      <c r="I284" s="3">
        <v>13938.19</v>
      </c>
      <c r="J284" s="3">
        <v>14125</v>
      </c>
      <c r="K284" s="3">
        <v>10725</v>
      </c>
      <c r="L284" s="4">
        <v>2154781</v>
      </c>
      <c r="M284" s="3">
        <v>30033753915</v>
      </c>
      <c r="N284" s="4">
        <v>279326</v>
      </c>
      <c r="O284">
        <f t="shared" si="4"/>
        <v>8.7507730364873221E-2</v>
      </c>
    </row>
    <row r="285" spans="1:15" ht="14.25" customHeight="1" x14ac:dyDescent="0.3">
      <c r="A285" s="2">
        <v>45888</v>
      </c>
      <c r="B285" t="s">
        <v>15</v>
      </c>
      <c r="C285" s="3">
        <v>14070</v>
      </c>
      <c r="D285" s="3">
        <v>14270</v>
      </c>
      <c r="E285" s="3">
        <v>13979</v>
      </c>
      <c r="F285" s="3">
        <v>14068</v>
      </c>
      <c r="G285" s="3">
        <v>14235</v>
      </c>
      <c r="H285" s="3">
        <v>14250</v>
      </c>
      <c r="I285" s="3">
        <v>14161.15</v>
      </c>
      <c r="J285" s="3">
        <v>14270</v>
      </c>
      <c r="K285" s="3">
        <v>10725</v>
      </c>
      <c r="L285" s="4">
        <v>906623</v>
      </c>
      <c r="M285" s="3">
        <v>12838824248</v>
      </c>
      <c r="N285" s="4">
        <v>154240</v>
      </c>
      <c r="O285">
        <f t="shared" si="4"/>
        <v>1.2937162354279216E-2</v>
      </c>
    </row>
    <row r="286" spans="1:15" ht="14.25" customHeight="1" x14ac:dyDescent="0.3">
      <c r="A286" s="2">
        <v>45889</v>
      </c>
      <c r="B286" t="s">
        <v>15</v>
      </c>
      <c r="C286" s="3">
        <v>14362</v>
      </c>
      <c r="D286" s="3">
        <v>14362</v>
      </c>
      <c r="E286" s="3">
        <v>14200</v>
      </c>
      <c r="F286" s="3">
        <v>14250</v>
      </c>
      <c r="G286" s="3">
        <v>14220</v>
      </c>
      <c r="H286" s="3">
        <v>14221</v>
      </c>
      <c r="I286" s="3">
        <v>14253.63</v>
      </c>
      <c r="J286" s="3">
        <v>14362</v>
      </c>
      <c r="K286" s="3">
        <v>10725</v>
      </c>
      <c r="L286" s="4">
        <v>391425</v>
      </c>
      <c r="M286" s="3">
        <v>5579225853</v>
      </c>
      <c r="N286" s="4">
        <v>73246</v>
      </c>
      <c r="O286">
        <f t="shared" si="4"/>
        <v>-2.0350877192982456E-3</v>
      </c>
    </row>
    <row r="287" spans="1:15" ht="14.25" customHeight="1" x14ac:dyDescent="0.3">
      <c r="A287" s="2">
        <v>45890</v>
      </c>
      <c r="B287" t="s">
        <v>15</v>
      </c>
      <c r="C287" s="3">
        <v>14219</v>
      </c>
      <c r="D287" s="3">
        <v>14401</v>
      </c>
      <c r="E287" s="3">
        <v>14156</v>
      </c>
      <c r="F287" s="3">
        <v>14221</v>
      </c>
      <c r="G287" s="3">
        <v>14280</v>
      </c>
      <c r="H287" s="3">
        <v>14280</v>
      </c>
      <c r="I287" s="3">
        <v>14278.88</v>
      </c>
      <c r="J287" s="3">
        <v>14401</v>
      </c>
      <c r="K287" s="3">
        <v>10725</v>
      </c>
      <c r="L287" s="4">
        <v>513460</v>
      </c>
      <c r="M287" s="3">
        <v>7331631252</v>
      </c>
      <c r="N287" s="4">
        <v>126872</v>
      </c>
      <c r="O287">
        <f t="shared" si="4"/>
        <v>4.1487940369875536E-3</v>
      </c>
    </row>
    <row r="288" spans="1:15" ht="14.25" customHeight="1" x14ac:dyDescent="0.3">
      <c r="A288" s="2">
        <v>45891</v>
      </c>
      <c r="B288" t="s">
        <v>15</v>
      </c>
      <c r="C288" s="3">
        <v>14349</v>
      </c>
      <c r="D288" s="3">
        <v>14370</v>
      </c>
      <c r="E288" s="3">
        <v>14230</v>
      </c>
      <c r="F288" s="3">
        <v>14280</v>
      </c>
      <c r="G288" s="3">
        <v>14370</v>
      </c>
      <c r="H288" s="3">
        <v>14349</v>
      </c>
      <c r="I288" s="3">
        <v>14324.59</v>
      </c>
      <c r="J288" s="3">
        <v>14401</v>
      </c>
      <c r="K288" s="3">
        <v>10725</v>
      </c>
      <c r="L288" s="4">
        <v>458935</v>
      </c>
      <c r="M288" s="3">
        <v>6574057277</v>
      </c>
      <c r="N288" s="4">
        <v>103050</v>
      </c>
      <c r="O288">
        <f t="shared" si="4"/>
        <v>4.8319327731092439E-3</v>
      </c>
    </row>
    <row r="289" spans="1:15" ht="14.25" customHeight="1" x14ac:dyDescent="0.3">
      <c r="A289" s="2">
        <v>45894</v>
      </c>
      <c r="B289" t="s">
        <v>15</v>
      </c>
      <c r="C289" s="3">
        <v>14401</v>
      </c>
      <c r="D289" s="3">
        <v>14478</v>
      </c>
      <c r="E289" s="3">
        <v>14280</v>
      </c>
      <c r="F289" s="3">
        <v>14349</v>
      </c>
      <c r="G289" s="3">
        <v>14450</v>
      </c>
      <c r="H289" s="3">
        <v>14452</v>
      </c>
      <c r="I289" s="3">
        <v>14400.31</v>
      </c>
      <c r="J289" s="3">
        <v>14478</v>
      </c>
      <c r="K289" s="3">
        <v>10725</v>
      </c>
      <c r="L289" s="4">
        <v>357110</v>
      </c>
      <c r="M289" s="3">
        <v>5142495582</v>
      </c>
      <c r="N289" s="4">
        <v>63692</v>
      </c>
      <c r="O289">
        <f t="shared" si="4"/>
        <v>7.1782005714683952E-3</v>
      </c>
    </row>
    <row r="290" spans="1:15" ht="14.25" customHeight="1" x14ac:dyDescent="0.3">
      <c r="A290" s="2">
        <v>45895</v>
      </c>
      <c r="B290" t="s">
        <v>15</v>
      </c>
      <c r="C290" s="3">
        <v>14452</v>
      </c>
      <c r="D290" s="3">
        <v>14825</v>
      </c>
      <c r="E290" s="3">
        <v>14391</v>
      </c>
      <c r="F290" s="3">
        <v>14452</v>
      </c>
      <c r="G290" s="3">
        <v>14720</v>
      </c>
      <c r="H290" s="3">
        <v>14714</v>
      </c>
      <c r="I290" s="3">
        <v>14669.48</v>
      </c>
      <c r="J290" s="3">
        <v>14825</v>
      </c>
      <c r="K290" s="3">
        <v>10725</v>
      </c>
      <c r="L290" s="4">
        <v>962974</v>
      </c>
      <c r="M290" s="3">
        <v>14126332347</v>
      </c>
      <c r="N290" s="4">
        <v>141393</v>
      </c>
      <c r="O290">
        <f t="shared" si="4"/>
        <v>1.8128978688070854E-2</v>
      </c>
    </row>
    <row r="291" spans="1:15" ht="14.25" customHeight="1" x14ac:dyDescent="0.3">
      <c r="A291" s="2">
        <v>45897</v>
      </c>
      <c r="B291" t="s">
        <v>15</v>
      </c>
      <c r="C291" s="3">
        <v>14895</v>
      </c>
      <c r="D291" s="3">
        <v>14895</v>
      </c>
      <c r="E291" s="3">
        <v>14625</v>
      </c>
      <c r="F291" s="3">
        <v>14714</v>
      </c>
      <c r="G291" s="3">
        <v>14798</v>
      </c>
      <c r="H291" s="3">
        <v>14752</v>
      </c>
      <c r="I291" s="3">
        <v>14744.28</v>
      </c>
      <c r="J291" s="3">
        <v>14895</v>
      </c>
      <c r="K291" s="3">
        <v>10725</v>
      </c>
      <c r="L291" s="4">
        <v>666635</v>
      </c>
      <c r="M291" s="3">
        <v>9829050429</v>
      </c>
      <c r="N291" s="4">
        <v>114042</v>
      </c>
      <c r="O291">
        <f t="shared" si="4"/>
        <v>2.5825744189207555E-3</v>
      </c>
    </row>
    <row r="292" spans="1:15" ht="14.25" customHeight="1" x14ac:dyDescent="0.3">
      <c r="A292" s="2">
        <v>45898</v>
      </c>
      <c r="B292" t="s">
        <v>15</v>
      </c>
      <c r="C292" s="3">
        <v>14750</v>
      </c>
      <c r="D292" s="3">
        <v>14850</v>
      </c>
      <c r="E292" s="3">
        <v>14692</v>
      </c>
      <c r="F292" s="3">
        <v>14752</v>
      </c>
      <c r="G292" s="3">
        <v>14790</v>
      </c>
      <c r="H292" s="3">
        <v>14791</v>
      </c>
      <c r="I292" s="3">
        <v>14773.55</v>
      </c>
      <c r="J292" s="3">
        <v>14895</v>
      </c>
      <c r="K292" s="3">
        <v>10725</v>
      </c>
      <c r="L292" s="4">
        <v>621560</v>
      </c>
      <c r="M292" s="3">
        <v>9182645808</v>
      </c>
      <c r="N292" s="4">
        <v>120028</v>
      </c>
      <c r="O292">
        <f t="shared" si="4"/>
        <v>2.6437093275488068E-3</v>
      </c>
    </row>
    <row r="293" spans="1:15" ht="14.25" customHeight="1" x14ac:dyDescent="0.3">
      <c r="A293" s="2">
        <v>45901</v>
      </c>
      <c r="B293" t="s">
        <v>15</v>
      </c>
      <c r="C293" s="3">
        <v>14790</v>
      </c>
      <c r="D293" s="3">
        <v>14938</v>
      </c>
      <c r="E293" s="3">
        <v>14654</v>
      </c>
      <c r="F293" s="3">
        <v>14791</v>
      </c>
      <c r="G293" s="3">
        <v>14865</v>
      </c>
      <c r="H293" s="3">
        <v>14887</v>
      </c>
      <c r="I293" s="3">
        <v>14818.81</v>
      </c>
      <c r="J293" s="3">
        <v>14938</v>
      </c>
      <c r="K293" s="3">
        <v>10725</v>
      </c>
      <c r="L293" s="4">
        <v>572927</v>
      </c>
      <c r="M293" s="3">
        <v>8490094719</v>
      </c>
      <c r="N293" s="4">
        <v>84752</v>
      </c>
      <c r="O293">
        <f t="shared" si="4"/>
        <v>6.4904333716449191E-3</v>
      </c>
    </row>
    <row r="294" spans="1:15" ht="14.25" customHeight="1" x14ac:dyDescent="0.3">
      <c r="A294" s="2">
        <v>45902</v>
      </c>
      <c r="B294" t="s">
        <v>15</v>
      </c>
      <c r="C294" s="3">
        <v>14859</v>
      </c>
      <c r="D294" s="3">
        <v>14934</v>
      </c>
      <c r="E294" s="3">
        <v>14783</v>
      </c>
      <c r="F294" s="3">
        <v>14887</v>
      </c>
      <c r="G294" s="3">
        <v>14848</v>
      </c>
      <c r="H294" s="3">
        <v>14842</v>
      </c>
      <c r="I294" s="3">
        <v>14862.16</v>
      </c>
      <c r="J294" s="3">
        <v>14938</v>
      </c>
      <c r="K294" s="3">
        <v>10725</v>
      </c>
      <c r="L294" s="4">
        <v>379167</v>
      </c>
      <c r="M294" s="3">
        <v>5635238875</v>
      </c>
      <c r="N294" s="4">
        <v>63082</v>
      </c>
      <c r="O294">
        <f t="shared" si="4"/>
        <v>-3.0227715456438505E-3</v>
      </c>
    </row>
    <row r="295" spans="1:15" ht="14.25" customHeight="1" x14ac:dyDescent="0.3">
      <c r="A295" s="2">
        <v>45903</v>
      </c>
      <c r="B295" t="s">
        <v>15</v>
      </c>
      <c r="C295" s="3">
        <v>14875</v>
      </c>
      <c r="D295" s="3">
        <v>14991</v>
      </c>
      <c r="E295" s="3">
        <v>14750</v>
      </c>
      <c r="F295" s="3">
        <v>14842</v>
      </c>
      <c r="G295" s="3">
        <v>14911</v>
      </c>
      <c r="H295" s="3">
        <v>14927</v>
      </c>
      <c r="I295" s="3">
        <v>14902.26</v>
      </c>
      <c r="J295" s="3">
        <v>14991</v>
      </c>
      <c r="K295" s="3">
        <v>10725</v>
      </c>
      <c r="L295" s="4">
        <v>561656</v>
      </c>
      <c r="M295" s="3">
        <v>8369943170</v>
      </c>
      <c r="N295" s="4">
        <v>57170</v>
      </c>
      <c r="O295">
        <f t="shared" si="4"/>
        <v>5.7269909715671743E-3</v>
      </c>
    </row>
    <row r="296" spans="1:15" ht="14.25" customHeight="1" x14ac:dyDescent="0.3">
      <c r="A296" s="2">
        <v>45904</v>
      </c>
      <c r="B296" t="s">
        <v>15</v>
      </c>
      <c r="C296" s="3">
        <v>15240</v>
      </c>
      <c r="D296" s="3">
        <v>15240</v>
      </c>
      <c r="E296" s="3">
        <v>14630</v>
      </c>
      <c r="F296" s="3">
        <v>14927</v>
      </c>
      <c r="G296" s="3">
        <v>14680</v>
      </c>
      <c r="H296" s="3">
        <v>14662</v>
      </c>
      <c r="I296" s="3">
        <v>14852.46</v>
      </c>
      <c r="J296" s="3">
        <v>15240</v>
      </c>
      <c r="K296" s="3">
        <v>10725</v>
      </c>
      <c r="L296" s="4">
        <v>784369</v>
      </c>
      <c r="M296" s="3">
        <v>11649810635</v>
      </c>
      <c r="N296" s="4">
        <v>132255</v>
      </c>
      <c r="O296">
        <f t="shared" si="4"/>
        <v>-1.7753064915924165E-2</v>
      </c>
    </row>
    <row r="297" spans="1:15" ht="14.25" customHeight="1" x14ac:dyDescent="0.3">
      <c r="A297" s="2">
        <v>45905</v>
      </c>
      <c r="B297" t="s">
        <v>15</v>
      </c>
      <c r="C297" s="3">
        <v>14740</v>
      </c>
      <c r="D297" s="3">
        <v>14957</v>
      </c>
      <c r="E297" s="3">
        <v>14701</v>
      </c>
      <c r="F297" s="3">
        <v>14662</v>
      </c>
      <c r="G297" s="3">
        <v>14903</v>
      </c>
      <c r="H297" s="3">
        <v>14895</v>
      </c>
      <c r="I297" s="3">
        <v>14829.09</v>
      </c>
      <c r="J297" s="3">
        <v>15240</v>
      </c>
      <c r="K297" s="3">
        <v>10725</v>
      </c>
      <c r="L297" s="4">
        <v>473806</v>
      </c>
      <c r="M297" s="3">
        <v>7026110833</v>
      </c>
      <c r="N297" s="4">
        <v>74445</v>
      </c>
      <c r="O297">
        <f t="shared" si="4"/>
        <v>1.5891419997271859E-2</v>
      </c>
    </row>
    <row r="298" spans="1:15" ht="14.25" customHeight="1" x14ac:dyDescent="0.3">
      <c r="A298" s="2">
        <v>45908</v>
      </c>
      <c r="B298" t="s">
        <v>15</v>
      </c>
      <c r="C298" s="3">
        <v>14921</v>
      </c>
      <c r="D298" s="3">
        <v>15319</v>
      </c>
      <c r="E298" s="3">
        <v>14850</v>
      </c>
      <c r="F298" s="3">
        <v>14895</v>
      </c>
      <c r="G298" s="3">
        <v>15256</v>
      </c>
      <c r="H298" s="3">
        <v>15258</v>
      </c>
      <c r="I298" s="3">
        <v>15178.18</v>
      </c>
      <c r="J298" s="3">
        <v>15319</v>
      </c>
      <c r="K298" s="3">
        <v>10725</v>
      </c>
      <c r="L298" s="4">
        <v>691077</v>
      </c>
      <c r="M298" s="3">
        <v>10489293330</v>
      </c>
      <c r="N298" s="4">
        <v>117092</v>
      </c>
      <c r="O298">
        <f t="shared" si="4"/>
        <v>2.4370594159113797E-2</v>
      </c>
    </row>
    <row r="299" spans="1:15" ht="14.25" customHeight="1" x14ac:dyDescent="0.3">
      <c r="A299" s="2">
        <v>45909</v>
      </c>
      <c r="B299" t="s">
        <v>15</v>
      </c>
      <c r="C299" s="3">
        <v>15249</v>
      </c>
      <c r="D299" s="3">
        <v>15384</v>
      </c>
      <c r="E299" s="3">
        <v>15201</v>
      </c>
      <c r="F299" s="3">
        <v>15258</v>
      </c>
      <c r="G299" s="3">
        <v>15339</v>
      </c>
      <c r="H299" s="3">
        <v>15365</v>
      </c>
      <c r="I299" s="3">
        <v>15310.67</v>
      </c>
      <c r="J299" s="3">
        <v>15384</v>
      </c>
      <c r="K299" s="3">
        <v>10725</v>
      </c>
      <c r="L299" s="4">
        <v>605860</v>
      </c>
      <c r="M299" s="3">
        <v>9276125259</v>
      </c>
      <c r="N299" s="4">
        <v>75284</v>
      </c>
      <c r="O299">
        <f t="shared" si="4"/>
        <v>7.0127146414995416E-3</v>
      </c>
    </row>
    <row r="300" spans="1:15" ht="14.25" customHeight="1" x14ac:dyDescent="0.3">
      <c r="A300" s="2">
        <v>45910</v>
      </c>
      <c r="B300" t="s">
        <v>15</v>
      </c>
      <c r="C300" s="3">
        <v>15366</v>
      </c>
      <c r="D300" s="3">
        <v>15384</v>
      </c>
      <c r="E300" s="3">
        <v>15072</v>
      </c>
      <c r="F300" s="3">
        <v>15365</v>
      </c>
      <c r="G300" s="3">
        <v>15134</v>
      </c>
      <c r="H300" s="3">
        <v>15108</v>
      </c>
      <c r="I300" s="3">
        <v>15189.25</v>
      </c>
      <c r="J300" s="3">
        <v>15384</v>
      </c>
      <c r="K300" s="3">
        <v>10725</v>
      </c>
      <c r="L300" s="4">
        <v>489062</v>
      </c>
      <c r="M300" s="3">
        <v>7428485424</v>
      </c>
      <c r="N300" s="4">
        <v>95671</v>
      </c>
      <c r="O300">
        <f t="shared" si="4"/>
        <v>-1.672632606573381E-2</v>
      </c>
    </row>
    <row r="301" spans="1:15" ht="14.25" customHeight="1" x14ac:dyDescent="0.3">
      <c r="A301" s="2">
        <v>45911</v>
      </c>
      <c r="B301" t="s">
        <v>15</v>
      </c>
      <c r="C301" s="3">
        <v>15111</v>
      </c>
      <c r="D301" s="3">
        <v>15191</v>
      </c>
      <c r="E301" s="3">
        <v>15038</v>
      </c>
      <c r="F301" s="3">
        <v>15108</v>
      </c>
      <c r="G301" s="3">
        <v>15119</v>
      </c>
      <c r="H301" s="3">
        <v>15095</v>
      </c>
      <c r="I301" s="3">
        <v>15103.21</v>
      </c>
      <c r="J301" s="3">
        <v>15384</v>
      </c>
      <c r="K301" s="3">
        <v>10725</v>
      </c>
      <c r="L301" s="4">
        <v>657161</v>
      </c>
      <c r="M301" s="3">
        <v>9925241316</v>
      </c>
      <c r="N301" s="4">
        <v>81386</v>
      </c>
      <c r="O301">
        <f t="shared" si="4"/>
        <v>-8.6047127349748477E-4</v>
      </c>
    </row>
    <row r="302" spans="1:15" ht="14.25" customHeight="1" x14ac:dyDescent="0.3">
      <c r="A302" s="2">
        <v>45912</v>
      </c>
      <c r="B302" t="s">
        <v>15</v>
      </c>
      <c r="C302" s="3">
        <v>15160</v>
      </c>
      <c r="D302" s="3">
        <v>15373</v>
      </c>
      <c r="E302" s="3">
        <v>15153</v>
      </c>
      <c r="F302" s="3">
        <v>15095</v>
      </c>
      <c r="G302" s="3">
        <v>15307</v>
      </c>
      <c r="H302" s="3">
        <v>15325</v>
      </c>
      <c r="I302" s="3">
        <v>15311.6</v>
      </c>
      <c r="J302" s="3">
        <v>15384</v>
      </c>
      <c r="K302" s="3">
        <v>10725</v>
      </c>
      <c r="L302" s="4">
        <v>420101</v>
      </c>
      <c r="M302" s="3">
        <v>6432420385</v>
      </c>
      <c r="N302" s="4">
        <v>67135</v>
      </c>
      <c r="O302">
        <f t="shared" si="4"/>
        <v>1.5236833388539251E-2</v>
      </c>
    </row>
    <row r="303" spans="1:15" ht="14.25" customHeight="1" x14ac:dyDescent="0.3">
      <c r="A303" s="2">
        <v>45915</v>
      </c>
      <c r="B303" t="s">
        <v>15</v>
      </c>
      <c r="C303" s="3">
        <v>15350</v>
      </c>
      <c r="D303" s="3">
        <v>15378</v>
      </c>
      <c r="E303" s="3">
        <v>15249</v>
      </c>
      <c r="F303" s="3">
        <v>15325</v>
      </c>
      <c r="G303" s="3">
        <v>15277</v>
      </c>
      <c r="H303" s="3">
        <v>15265</v>
      </c>
      <c r="I303" s="3">
        <v>15295.13</v>
      </c>
      <c r="J303" s="3">
        <v>15384</v>
      </c>
      <c r="K303" s="3">
        <v>10725</v>
      </c>
      <c r="L303" s="4">
        <v>170587</v>
      </c>
      <c r="M303" s="3">
        <v>2609150923</v>
      </c>
      <c r="N303" s="4">
        <v>29191</v>
      </c>
      <c r="O303">
        <f t="shared" si="4"/>
        <v>-3.9151712887438824E-3</v>
      </c>
    </row>
    <row r="304" spans="1:15" ht="14.25" customHeight="1" x14ac:dyDescent="0.3">
      <c r="A304" s="2">
        <v>45916</v>
      </c>
      <c r="B304" t="s">
        <v>15</v>
      </c>
      <c r="C304" s="3">
        <v>15300</v>
      </c>
      <c r="D304" s="3">
        <v>15594</v>
      </c>
      <c r="E304" s="3">
        <v>15284</v>
      </c>
      <c r="F304" s="3">
        <v>15265</v>
      </c>
      <c r="G304" s="3">
        <v>15592</v>
      </c>
      <c r="H304" s="3">
        <v>15573</v>
      </c>
      <c r="I304" s="3">
        <v>15459.79</v>
      </c>
      <c r="J304" s="3">
        <v>15594</v>
      </c>
      <c r="K304" s="3">
        <v>10725</v>
      </c>
      <c r="L304" s="4">
        <v>381944</v>
      </c>
      <c r="M304" s="3">
        <v>5904774595</v>
      </c>
      <c r="N304" s="4">
        <v>63143</v>
      </c>
      <c r="O304">
        <f t="shared" si="4"/>
        <v>2.0176875204716671E-2</v>
      </c>
    </row>
    <row r="305" spans="1:15" ht="14.25" customHeight="1" x14ac:dyDescent="0.3">
      <c r="A305" s="2">
        <v>45917</v>
      </c>
      <c r="B305" t="s">
        <v>15</v>
      </c>
      <c r="C305" s="3">
        <v>15592</v>
      </c>
      <c r="D305" s="3">
        <v>15818</v>
      </c>
      <c r="E305" s="3">
        <v>15570</v>
      </c>
      <c r="F305" s="3">
        <v>15573</v>
      </c>
      <c r="G305" s="3">
        <v>15790</v>
      </c>
      <c r="H305" s="3">
        <v>15801</v>
      </c>
      <c r="I305" s="3">
        <v>15732.13</v>
      </c>
      <c r="J305" s="3">
        <v>15818</v>
      </c>
      <c r="K305" s="3">
        <v>10725</v>
      </c>
      <c r="L305" s="4">
        <v>624986</v>
      </c>
      <c r="M305" s="3">
        <v>9832357992</v>
      </c>
      <c r="N305" s="4">
        <v>92349</v>
      </c>
      <c r="O305">
        <f t="shared" si="4"/>
        <v>1.4640724330572143E-2</v>
      </c>
    </row>
    <row r="306" spans="1:15" ht="14.25" customHeight="1" x14ac:dyDescent="0.3">
      <c r="A306" s="2">
        <v>45918</v>
      </c>
      <c r="B306" t="s">
        <v>15</v>
      </c>
      <c r="C306" s="3">
        <v>15916</v>
      </c>
      <c r="D306" s="3">
        <v>15939</v>
      </c>
      <c r="E306" s="3">
        <v>15703</v>
      </c>
      <c r="F306" s="3">
        <v>15801</v>
      </c>
      <c r="G306" s="3">
        <v>15840</v>
      </c>
      <c r="H306" s="3">
        <v>15817</v>
      </c>
      <c r="I306" s="3">
        <v>15821.81</v>
      </c>
      <c r="J306" s="3">
        <v>15939</v>
      </c>
      <c r="K306" s="3">
        <v>10725</v>
      </c>
      <c r="L306" s="4">
        <v>642175</v>
      </c>
      <c r="M306" s="3">
        <v>10160368757</v>
      </c>
      <c r="N306" s="4">
        <v>112026</v>
      </c>
      <c r="O306">
        <f t="shared" si="4"/>
        <v>1.012594139611417E-3</v>
      </c>
    </row>
    <row r="307" spans="1:15" ht="14.25" customHeight="1" x14ac:dyDescent="0.3">
      <c r="A307" s="2">
        <v>45919</v>
      </c>
      <c r="B307" t="s">
        <v>15</v>
      </c>
      <c r="C307" s="3">
        <v>16000</v>
      </c>
      <c r="D307" s="3">
        <v>16060</v>
      </c>
      <c r="E307" s="3">
        <v>15811</v>
      </c>
      <c r="F307" s="3">
        <v>15817</v>
      </c>
      <c r="G307" s="3">
        <v>15880</v>
      </c>
      <c r="H307" s="3">
        <v>15864</v>
      </c>
      <c r="I307" s="3">
        <v>15885.75</v>
      </c>
      <c r="J307" s="3">
        <v>16060</v>
      </c>
      <c r="K307" s="3">
        <v>10725</v>
      </c>
      <c r="L307" s="4">
        <v>652443</v>
      </c>
      <c r="M307" s="3">
        <v>10364547118</v>
      </c>
      <c r="N307" s="4">
        <v>62166</v>
      </c>
      <c r="O307">
        <f t="shared" si="4"/>
        <v>2.9714863754188533E-3</v>
      </c>
    </row>
    <row r="308" spans="1:15" ht="14.25" customHeight="1" x14ac:dyDescent="0.3">
      <c r="A308" s="2">
        <v>45922</v>
      </c>
      <c r="B308" t="s">
        <v>15</v>
      </c>
      <c r="C308" s="3">
        <v>15879</v>
      </c>
      <c r="D308" s="3">
        <v>16000</v>
      </c>
      <c r="E308" s="3">
        <v>15779</v>
      </c>
      <c r="F308" s="3">
        <v>15864</v>
      </c>
      <c r="G308" s="3">
        <v>15779</v>
      </c>
      <c r="H308" s="3">
        <v>15816</v>
      </c>
      <c r="I308" s="3">
        <v>15904.26</v>
      </c>
      <c r="J308" s="3">
        <v>16060</v>
      </c>
      <c r="K308" s="3">
        <v>10725</v>
      </c>
      <c r="L308" s="4">
        <v>302234</v>
      </c>
      <c r="M308" s="3">
        <v>4806806833</v>
      </c>
      <c r="N308" s="4">
        <v>60022</v>
      </c>
      <c r="O308">
        <f t="shared" si="4"/>
        <v>-3.0257186081694403E-3</v>
      </c>
    </row>
    <row r="309" spans="1:15" ht="14.25" customHeight="1" x14ac:dyDescent="0.3">
      <c r="A309" s="2">
        <v>45923</v>
      </c>
      <c r="B309" t="s">
        <v>15</v>
      </c>
      <c r="C309" s="3">
        <v>16120</v>
      </c>
      <c r="D309" s="3">
        <v>16325</v>
      </c>
      <c r="E309" s="3">
        <v>16031</v>
      </c>
      <c r="F309" s="3">
        <v>15816</v>
      </c>
      <c r="G309" s="3">
        <v>16083</v>
      </c>
      <c r="H309" s="3">
        <v>16097</v>
      </c>
      <c r="I309" s="3">
        <v>16148.86</v>
      </c>
      <c r="J309" s="3">
        <v>16325</v>
      </c>
      <c r="K309" s="3">
        <v>10725</v>
      </c>
      <c r="L309" s="4">
        <v>873114</v>
      </c>
      <c r="M309" s="3">
        <v>14099794364</v>
      </c>
      <c r="N309" s="4">
        <v>132040</v>
      </c>
      <c r="O309">
        <f t="shared" si="4"/>
        <v>1.7766818411734952E-2</v>
      </c>
    </row>
    <row r="310" spans="1:15" ht="14.25" customHeight="1" x14ac:dyDescent="0.3">
      <c r="A310" s="2">
        <v>45924</v>
      </c>
      <c r="B310" t="s">
        <v>15</v>
      </c>
      <c r="C310" s="3">
        <v>16188</v>
      </c>
      <c r="D310" s="3">
        <v>16375</v>
      </c>
      <c r="E310" s="3">
        <v>16063</v>
      </c>
      <c r="F310" s="3">
        <v>16097</v>
      </c>
      <c r="G310" s="3">
        <v>16254</v>
      </c>
      <c r="H310" s="3">
        <v>16249</v>
      </c>
      <c r="I310" s="3">
        <v>16240.09</v>
      </c>
      <c r="J310" s="3">
        <v>16375</v>
      </c>
      <c r="K310" s="3">
        <v>10725</v>
      </c>
      <c r="L310" s="4">
        <v>663647</v>
      </c>
      <c r="M310" s="3">
        <v>10777689205</v>
      </c>
      <c r="N310" s="4">
        <v>105290</v>
      </c>
      <c r="O310">
        <f t="shared" si="4"/>
        <v>9.4427533080698265E-3</v>
      </c>
    </row>
    <row r="311" spans="1:15" ht="14.25" customHeight="1" x14ac:dyDescent="0.3">
      <c r="A311" s="2">
        <v>45925</v>
      </c>
      <c r="B311" t="s">
        <v>15</v>
      </c>
      <c r="C311" s="3">
        <v>16249</v>
      </c>
      <c r="D311" s="3">
        <v>16370</v>
      </c>
      <c r="E311" s="3">
        <v>16067</v>
      </c>
      <c r="F311" s="3">
        <v>16249</v>
      </c>
      <c r="G311" s="3">
        <v>16236</v>
      </c>
      <c r="H311" s="3">
        <v>16269</v>
      </c>
      <c r="I311" s="3">
        <v>16232.37</v>
      </c>
      <c r="J311" s="3">
        <v>16375</v>
      </c>
      <c r="K311" s="3">
        <v>10725</v>
      </c>
      <c r="L311" s="4">
        <v>490262</v>
      </c>
      <c r="M311" s="3">
        <v>7958113355</v>
      </c>
      <c r="N311" s="4">
        <v>79885</v>
      </c>
      <c r="O311">
        <f t="shared" si="4"/>
        <v>1.2308449750753892E-3</v>
      </c>
    </row>
    <row r="312" spans="1:15" ht="14.25" customHeight="1" x14ac:dyDescent="0.3">
      <c r="A312" s="2">
        <v>45926</v>
      </c>
      <c r="B312" t="s">
        <v>15</v>
      </c>
      <c r="C312" s="3">
        <v>16235</v>
      </c>
      <c r="D312" s="3">
        <v>16435</v>
      </c>
      <c r="E312" s="3">
        <v>16202</v>
      </c>
      <c r="F312" s="3">
        <v>16269</v>
      </c>
      <c r="G312" s="3">
        <v>16307</v>
      </c>
      <c r="H312" s="3">
        <v>16286</v>
      </c>
      <c r="I312" s="3">
        <v>16356.06</v>
      </c>
      <c r="J312" s="3">
        <v>16435</v>
      </c>
      <c r="K312" s="3">
        <v>10725</v>
      </c>
      <c r="L312" s="4">
        <v>490957</v>
      </c>
      <c r="M312" s="3">
        <v>8030122303</v>
      </c>
      <c r="N312" s="4">
        <v>103824</v>
      </c>
      <c r="O312">
        <f t="shared" si="4"/>
        <v>1.0449320794148381E-3</v>
      </c>
    </row>
    <row r="313" spans="1:15" ht="14.25" customHeight="1" x14ac:dyDescent="0.3">
      <c r="A313" s="2">
        <v>45929</v>
      </c>
      <c r="B313" t="s">
        <v>15</v>
      </c>
      <c r="C313" s="3">
        <v>16300</v>
      </c>
      <c r="D313" s="3">
        <v>16340</v>
      </c>
      <c r="E313" s="3">
        <v>15950</v>
      </c>
      <c r="F313" s="3">
        <v>16286</v>
      </c>
      <c r="G313" s="3">
        <v>16000</v>
      </c>
      <c r="H313" s="3">
        <v>15984</v>
      </c>
      <c r="I313" s="3">
        <v>16070.28</v>
      </c>
      <c r="J313" s="3">
        <v>16435</v>
      </c>
      <c r="K313" s="3">
        <v>10725</v>
      </c>
      <c r="L313" s="4">
        <v>627326</v>
      </c>
      <c r="M313" s="3">
        <v>10081302827</v>
      </c>
      <c r="N313" s="4">
        <v>106920</v>
      </c>
      <c r="O313">
        <f t="shared" si="4"/>
        <v>-1.8543534323959228E-2</v>
      </c>
    </row>
    <row r="314" spans="1:15" ht="14.25" customHeight="1" x14ac:dyDescent="0.3">
      <c r="A314" s="2">
        <v>45930</v>
      </c>
      <c r="B314" t="s">
        <v>15</v>
      </c>
      <c r="C314" s="3">
        <v>15985</v>
      </c>
      <c r="D314" s="3">
        <v>16054</v>
      </c>
      <c r="E314" s="3">
        <v>15921</v>
      </c>
      <c r="F314" s="3">
        <v>15984</v>
      </c>
      <c r="G314" s="3">
        <v>16035</v>
      </c>
      <c r="H314" s="3">
        <v>16029</v>
      </c>
      <c r="I314" s="3">
        <v>15999.63</v>
      </c>
      <c r="J314" s="3">
        <v>16435</v>
      </c>
      <c r="K314" s="3">
        <v>10725</v>
      </c>
      <c r="L314" s="4">
        <v>390006</v>
      </c>
      <c r="M314" s="3">
        <v>6239952133</v>
      </c>
      <c r="N314" s="4">
        <v>60117</v>
      </c>
      <c r="O314">
        <f t="shared" si="4"/>
        <v>2.8153153153153152E-3</v>
      </c>
    </row>
    <row r="315" spans="1:15" ht="14.25" customHeight="1" x14ac:dyDescent="0.3">
      <c r="A315" s="2">
        <v>45931</v>
      </c>
      <c r="B315" t="s">
        <v>15</v>
      </c>
      <c r="C315" s="3">
        <v>16026</v>
      </c>
      <c r="D315" s="3">
        <v>16109</v>
      </c>
      <c r="E315" s="3">
        <v>15850</v>
      </c>
      <c r="F315" s="3">
        <v>16029</v>
      </c>
      <c r="G315" s="3">
        <v>15970</v>
      </c>
      <c r="H315" s="3">
        <v>15965</v>
      </c>
      <c r="I315" s="3">
        <v>15934.15</v>
      </c>
      <c r="J315" s="3">
        <v>16435</v>
      </c>
      <c r="K315" s="3">
        <v>10725</v>
      </c>
      <c r="L315" s="4">
        <v>426075</v>
      </c>
      <c r="M315" s="3">
        <v>6789144839</v>
      </c>
      <c r="N315" s="4">
        <v>68436</v>
      </c>
      <c r="O315">
        <f t="shared" si="4"/>
        <v>-3.9927631168507078E-3</v>
      </c>
    </row>
    <row r="316" spans="1:15" ht="14.25" customHeight="1" x14ac:dyDescent="0.3">
      <c r="A316" s="2">
        <v>45933</v>
      </c>
      <c r="B316" t="s">
        <v>15</v>
      </c>
      <c r="C316" s="3">
        <v>15949</v>
      </c>
      <c r="D316" s="3">
        <v>16025</v>
      </c>
      <c r="E316" s="3">
        <v>15736</v>
      </c>
      <c r="F316" s="3">
        <v>15965</v>
      </c>
      <c r="G316" s="3">
        <v>15808</v>
      </c>
      <c r="H316" s="3">
        <v>15806</v>
      </c>
      <c r="I316" s="3">
        <v>15823.16</v>
      </c>
      <c r="J316" s="3">
        <v>16435</v>
      </c>
      <c r="K316" s="3">
        <v>10725</v>
      </c>
      <c r="L316" s="4">
        <v>470216</v>
      </c>
      <c r="M316" s="3">
        <v>7440301086</v>
      </c>
      <c r="N316" s="4">
        <v>68052</v>
      </c>
      <c r="O316">
        <f t="shared" si="4"/>
        <v>-9.9592859379893511E-3</v>
      </c>
    </row>
    <row r="317" spans="1:15" ht="14.25" customHeight="1" x14ac:dyDescent="0.3">
      <c r="A317" s="2">
        <v>45936</v>
      </c>
      <c r="B317" t="s">
        <v>15</v>
      </c>
      <c r="C317" s="3">
        <v>15840</v>
      </c>
      <c r="D317" s="3">
        <v>16057</v>
      </c>
      <c r="E317" s="3">
        <v>15708</v>
      </c>
      <c r="F317" s="3">
        <v>15806</v>
      </c>
      <c r="G317" s="3">
        <v>16001</v>
      </c>
      <c r="H317" s="3">
        <v>15998</v>
      </c>
      <c r="I317" s="3">
        <v>15962.12</v>
      </c>
      <c r="J317" s="3">
        <v>16435</v>
      </c>
      <c r="K317" s="3">
        <v>10725</v>
      </c>
      <c r="L317" s="4">
        <v>268497</v>
      </c>
      <c r="M317" s="3">
        <v>4285780255</v>
      </c>
      <c r="N317" s="4">
        <v>53647</v>
      </c>
      <c r="O317">
        <f t="shared" si="4"/>
        <v>1.2147285840819942E-2</v>
      </c>
    </row>
    <row r="318" spans="1:15" ht="14.25" customHeight="1" x14ac:dyDescent="0.3">
      <c r="A318" s="2">
        <v>45937</v>
      </c>
      <c r="B318" t="s">
        <v>15</v>
      </c>
      <c r="C318" s="3">
        <v>16014</v>
      </c>
      <c r="D318" s="3">
        <v>16159</v>
      </c>
      <c r="E318" s="3">
        <v>15977</v>
      </c>
      <c r="F318" s="3">
        <v>15998</v>
      </c>
      <c r="G318" s="3">
        <v>16092</v>
      </c>
      <c r="H318" s="3">
        <v>16108</v>
      </c>
      <c r="I318" s="3">
        <v>16108.24</v>
      </c>
      <c r="J318" s="3">
        <v>16435</v>
      </c>
      <c r="K318" s="3">
        <v>10725</v>
      </c>
      <c r="L318" s="4">
        <v>330326</v>
      </c>
      <c r="M318" s="3">
        <v>5320971490</v>
      </c>
      <c r="N318" s="4">
        <v>52517</v>
      </c>
      <c r="O318">
        <f t="shared" si="4"/>
        <v>6.8758594824353042E-3</v>
      </c>
    </row>
    <row r="319" spans="1:15" ht="14.25" customHeight="1" x14ac:dyDescent="0.3">
      <c r="A319" s="2">
        <v>45938</v>
      </c>
      <c r="B319" t="s">
        <v>15</v>
      </c>
      <c r="C319" s="3">
        <v>16108</v>
      </c>
      <c r="D319" s="3">
        <v>16236</v>
      </c>
      <c r="E319" s="3">
        <v>15979</v>
      </c>
      <c r="F319" s="3">
        <v>16108</v>
      </c>
      <c r="G319" s="3">
        <v>16014</v>
      </c>
      <c r="H319" s="3">
        <v>16012</v>
      </c>
      <c r="I319" s="3">
        <v>16125.3</v>
      </c>
      <c r="J319" s="3">
        <v>16435</v>
      </c>
      <c r="K319" s="3">
        <v>10725</v>
      </c>
      <c r="L319" s="4">
        <v>306518</v>
      </c>
      <c r="M319" s="3">
        <v>4942694838</v>
      </c>
      <c r="N319" s="4">
        <v>48172</v>
      </c>
      <c r="O319">
        <f t="shared" si="4"/>
        <v>-5.9597715420908869E-3</v>
      </c>
    </row>
    <row r="320" spans="1:15" ht="14.25" customHeight="1" x14ac:dyDescent="0.3">
      <c r="A320" s="2">
        <v>45939</v>
      </c>
      <c r="B320" t="s">
        <v>15</v>
      </c>
      <c r="C320" s="3">
        <v>16070</v>
      </c>
      <c r="D320" s="3">
        <v>16075</v>
      </c>
      <c r="E320" s="3">
        <v>15853</v>
      </c>
      <c r="F320" s="3">
        <v>16012</v>
      </c>
      <c r="G320" s="3">
        <v>15948</v>
      </c>
      <c r="H320" s="3">
        <v>15985</v>
      </c>
      <c r="I320" s="3">
        <v>15943.31</v>
      </c>
      <c r="J320" s="3">
        <v>16435</v>
      </c>
      <c r="K320" s="3">
        <v>10725</v>
      </c>
      <c r="L320" s="4">
        <v>300499</v>
      </c>
      <c r="M320" s="3">
        <v>4790949910</v>
      </c>
      <c r="N320" s="4">
        <v>53385</v>
      </c>
      <c r="O320">
        <f t="shared" si="4"/>
        <v>-1.6862353235073695E-3</v>
      </c>
    </row>
    <row r="321" spans="1:15" ht="14.25" customHeight="1" x14ac:dyDescent="0.3">
      <c r="A321" s="2">
        <v>45940</v>
      </c>
      <c r="B321" t="s">
        <v>15</v>
      </c>
      <c r="C321" s="3">
        <v>15980</v>
      </c>
      <c r="D321" s="3">
        <v>16315</v>
      </c>
      <c r="E321" s="3">
        <v>15911</v>
      </c>
      <c r="F321" s="3">
        <v>15985</v>
      </c>
      <c r="G321" s="3">
        <v>16285</v>
      </c>
      <c r="H321" s="3">
        <v>16265</v>
      </c>
      <c r="I321" s="3">
        <v>16173.69</v>
      </c>
      <c r="J321" s="3">
        <v>16435</v>
      </c>
      <c r="K321" s="3">
        <v>10725</v>
      </c>
      <c r="L321" s="4">
        <v>423031</v>
      </c>
      <c r="M321" s="3">
        <v>6841972205</v>
      </c>
      <c r="N321" s="4">
        <v>85744</v>
      </c>
      <c r="O321">
        <f t="shared" si="4"/>
        <v>1.7516421645292463E-2</v>
      </c>
    </row>
    <row r="322" spans="1:15" ht="14.25" customHeight="1" x14ac:dyDescent="0.3">
      <c r="A322" s="2">
        <v>45943</v>
      </c>
      <c r="B322" t="s">
        <v>15</v>
      </c>
      <c r="C322" s="3">
        <v>16264</v>
      </c>
      <c r="D322" s="3">
        <v>16432</v>
      </c>
      <c r="E322" s="3">
        <v>16218</v>
      </c>
      <c r="F322" s="3">
        <v>16265</v>
      </c>
      <c r="G322" s="3">
        <v>16320</v>
      </c>
      <c r="H322" s="3">
        <v>16323</v>
      </c>
      <c r="I322" s="3">
        <v>16332.27</v>
      </c>
      <c r="J322" s="3">
        <v>16435</v>
      </c>
      <c r="K322" s="3">
        <v>10725</v>
      </c>
      <c r="L322" s="4">
        <v>337617</v>
      </c>
      <c r="M322" s="3">
        <v>5514050574</v>
      </c>
      <c r="N322" s="4">
        <v>56986</v>
      </c>
      <c r="O322">
        <f t="shared" si="4"/>
        <v>3.5659391331079003E-3</v>
      </c>
    </row>
    <row r="323" spans="1:15" ht="14.25" customHeight="1" x14ac:dyDescent="0.3">
      <c r="A323" s="2">
        <v>45944</v>
      </c>
      <c r="B323" t="s">
        <v>15</v>
      </c>
      <c r="C323" s="3">
        <v>16350</v>
      </c>
      <c r="D323" s="3">
        <v>16350</v>
      </c>
      <c r="E323" s="3">
        <v>16121</v>
      </c>
      <c r="F323" s="3">
        <v>16323</v>
      </c>
      <c r="G323" s="3">
        <v>16300</v>
      </c>
      <c r="H323" s="3">
        <v>16261</v>
      </c>
      <c r="I323" s="3">
        <v>16217.7</v>
      </c>
      <c r="J323" s="3">
        <v>16435</v>
      </c>
      <c r="K323" s="3">
        <v>10725</v>
      </c>
      <c r="L323" s="4">
        <v>307925</v>
      </c>
      <c r="M323" s="3">
        <v>4993834187</v>
      </c>
      <c r="N323" s="4">
        <v>63401</v>
      </c>
      <c r="O323">
        <f t="shared" ref="O323:O386" si="5">(H323-H322)/H322</f>
        <v>-3.7983213869999389E-3</v>
      </c>
    </row>
    <row r="324" spans="1:15" ht="14.25" customHeight="1" x14ac:dyDescent="0.3">
      <c r="A324" s="2">
        <v>45945</v>
      </c>
      <c r="B324" t="s">
        <v>15</v>
      </c>
      <c r="C324" s="3">
        <v>16300</v>
      </c>
      <c r="D324" s="3">
        <v>16380</v>
      </c>
      <c r="E324" s="3">
        <v>16200</v>
      </c>
      <c r="F324" s="3">
        <v>16261</v>
      </c>
      <c r="G324" s="3">
        <v>16218</v>
      </c>
      <c r="H324" s="3">
        <v>16212</v>
      </c>
      <c r="I324" s="3">
        <v>16286.65</v>
      </c>
      <c r="J324" s="3">
        <v>16435</v>
      </c>
      <c r="K324" s="3">
        <v>10725</v>
      </c>
      <c r="L324" s="4">
        <v>266435</v>
      </c>
      <c r="M324" s="3">
        <v>4339334831</v>
      </c>
      <c r="N324" s="4">
        <v>43992</v>
      </c>
      <c r="O324">
        <f t="shared" si="5"/>
        <v>-3.0133448127421438E-3</v>
      </c>
    </row>
    <row r="325" spans="1:15" ht="14.25" customHeight="1" x14ac:dyDescent="0.3">
      <c r="A325" s="2">
        <v>45946</v>
      </c>
      <c r="B325" t="s">
        <v>15</v>
      </c>
      <c r="C325" s="3">
        <v>16246</v>
      </c>
      <c r="D325" s="3">
        <v>16332</v>
      </c>
      <c r="E325" s="3">
        <v>16200</v>
      </c>
      <c r="F325" s="3">
        <v>16212</v>
      </c>
      <c r="G325" s="3">
        <v>16295</v>
      </c>
      <c r="H325" s="3">
        <v>16298</v>
      </c>
      <c r="I325" s="3">
        <v>16286.68</v>
      </c>
      <c r="J325" s="3">
        <v>16435</v>
      </c>
      <c r="K325" s="3">
        <v>10725</v>
      </c>
      <c r="L325" s="4">
        <v>265727</v>
      </c>
      <c r="M325" s="3">
        <v>4327811746</v>
      </c>
      <c r="N325" s="4">
        <v>38122</v>
      </c>
      <c r="O325">
        <f t="shared" si="5"/>
        <v>5.3047125585985689E-3</v>
      </c>
    </row>
    <row r="326" spans="1:15" ht="14.25" customHeight="1" x14ac:dyDescent="0.3">
      <c r="A326" s="2">
        <v>45947</v>
      </c>
      <c r="B326" t="s">
        <v>15</v>
      </c>
      <c r="C326" s="3">
        <v>16298</v>
      </c>
      <c r="D326" s="3">
        <v>16549</v>
      </c>
      <c r="E326" s="3">
        <v>16298</v>
      </c>
      <c r="F326" s="3">
        <v>16298</v>
      </c>
      <c r="G326" s="3">
        <v>16380</v>
      </c>
      <c r="H326" s="3">
        <v>16401</v>
      </c>
      <c r="I326" s="3">
        <v>16431</v>
      </c>
      <c r="J326" s="3">
        <v>16549</v>
      </c>
      <c r="K326" s="3">
        <v>10725</v>
      </c>
      <c r="L326" s="4">
        <v>411608</v>
      </c>
      <c r="M326" s="3">
        <v>6763133045</v>
      </c>
      <c r="N326" s="4">
        <v>62951</v>
      </c>
      <c r="O326">
        <f t="shared" si="5"/>
        <v>6.3197938397349367E-3</v>
      </c>
    </row>
    <row r="327" spans="1:15" ht="14.25" customHeight="1" x14ac:dyDescent="0.3">
      <c r="A327" s="2">
        <v>45950</v>
      </c>
      <c r="B327" t="s">
        <v>15</v>
      </c>
      <c r="C327" s="3">
        <v>16500</v>
      </c>
      <c r="D327" s="3">
        <v>16518</v>
      </c>
      <c r="E327" s="3">
        <v>16380</v>
      </c>
      <c r="F327" s="3">
        <v>16401</v>
      </c>
      <c r="G327" s="3">
        <v>16400</v>
      </c>
      <c r="H327" s="3">
        <v>16424</v>
      </c>
      <c r="I327" s="3">
        <v>16425.66</v>
      </c>
      <c r="J327" s="3">
        <v>16549</v>
      </c>
      <c r="K327" s="3">
        <v>10725</v>
      </c>
      <c r="L327" s="4">
        <v>374246</v>
      </c>
      <c r="M327" s="3">
        <v>6147238191</v>
      </c>
      <c r="N327" s="4">
        <v>66810</v>
      </c>
      <c r="O327">
        <f t="shared" si="5"/>
        <v>1.4023535150295714E-3</v>
      </c>
    </row>
    <row r="328" spans="1:15" ht="14.25" customHeight="1" x14ac:dyDescent="0.3">
      <c r="A328" s="2">
        <v>45951</v>
      </c>
      <c r="B328" t="s">
        <v>15</v>
      </c>
      <c r="C328" s="3">
        <v>16453</v>
      </c>
      <c r="D328" s="3">
        <v>16476</v>
      </c>
      <c r="E328" s="3">
        <v>16330</v>
      </c>
      <c r="F328" s="3">
        <v>16424</v>
      </c>
      <c r="G328" s="3">
        <v>16335</v>
      </c>
      <c r="H328" s="3">
        <v>16396</v>
      </c>
      <c r="I328" s="3">
        <v>16421.97</v>
      </c>
      <c r="J328" s="3">
        <v>16549</v>
      </c>
      <c r="K328" s="3">
        <v>10725</v>
      </c>
      <c r="L328" s="4">
        <v>28990</v>
      </c>
      <c r="M328" s="3">
        <v>476072873</v>
      </c>
      <c r="N328" s="4">
        <v>4811</v>
      </c>
      <c r="O328">
        <f t="shared" si="5"/>
        <v>-1.7048222113979542E-3</v>
      </c>
    </row>
    <row r="329" spans="1:15" ht="14.25" customHeight="1" x14ac:dyDescent="0.3">
      <c r="A329" s="2">
        <v>45953</v>
      </c>
      <c r="B329" t="s">
        <v>15</v>
      </c>
      <c r="C329" s="3">
        <v>16660</v>
      </c>
      <c r="D329" s="3">
        <v>16660</v>
      </c>
      <c r="E329" s="3">
        <v>16340</v>
      </c>
      <c r="F329" s="3">
        <v>16396</v>
      </c>
      <c r="G329" s="3">
        <v>16410</v>
      </c>
      <c r="H329" s="3">
        <v>16393</v>
      </c>
      <c r="I329" s="3">
        <v>16408.099999999999</v>
      </c>
      <c r="J329" s="3">
        <v>16660</v>
      </c>
      <c r="K329" s="3">
        <v>10725</v>
      </c>
      <c r="L329" s="4">
        <v>481753</v>
      </c>
      <c r="M329" s="3">
        <v>7904651754</v>
      </c>
      <c r="N329" s="4">
        <v>81380</v>
      </c>
      <c r="O329">
        <f t="shared" si="5"/>
        <v>-1.8297145645279338E-4</v>
      </c>
    </row>
    <row r="330" spans="1:15" ht="14.25" customHeight="1" x14ac:dyDescent="0.3">
      <c r="A330" s="2">
        <v>45954</v>
      </c>
      <c r="B330" t="s">
        <v>15</v>
      </c>
      <c r="C330" s="3">
        <v>16392</v>
      </c>
      <c r="D330" s="3">
        <v>16423</v>
      </c>
      <c r="E330" s="3">
        <v>16200</v>
      </c>
      <c r="F330" s="3">
        <v>16393</v>
      </c>
      <c r="G330" s="3">
        <v>16267</v>
      </c>
      <c r="H330" s="3">
        <v>16274</v>
      </c>
      <c r="I330" s="3">
        <v>16292.91</v>
      </c>
      <c r="J330" s="3">
        <v>16660</v>
      </c>
      <c r="K330" s="3">
        <v>10725</v>
      </c>
      <c r="L330" s="4">
        <v>208520</v>
      </c>
      <c r="M330" s="3">
        <v>3397396967</v>
      </c>
      <c r="N330" s="4">
        <v>45966</v>
      </c>
      <c r="O330">
        <f t="shared" si="5"/>
        <v>-7.2591959982919538E-3</v>
      </c>
    </row>
    <row r="331" spans="1:15" ht="14.25" customHeight="1" x14ac:dyDescent="0.3">
      <c r="A331" s="2">
        <v>45957</v>
      </c>
      <c r="B331" t="s">
        <v>15</v>
      </c>
      <c r="C331" s="3">
        <v>16350</v>
      </c>
      <c r="D331" s="3">
        <v>16410</v>
      </c>
      <c r="E331" s="3">
        <v>16275</v>
      </c>
      <c r="F331" s="3">
        <v>16274</v>
      </c>
      <c r="G331" s="3">
        <v>16382</v>
      </c>
      <c r="H331" s="3">
        <v>16388</v>
      </c>
      <c r="I331" s="3">
        <v>16343.41</v>
      </c>
      <c r="J331" s="3">
        <v>16660</v>
      </c>
      <c r="K331" s="3">
        <v>10725</v>
      </c>
      <c r="L331" s="4">
        <v>209829</v>
      </c>
      <c r="M331" s="3">
        <v>3429322041</v>
      </c>
      <c r="N331" s="4">
        <v>39421</v>
      </c>
      <c r="O331">
        <f t="shared" si="5"/>
        <v>7.0050387120560399E-3</v>
      </c>
    </row>
    <row r="332" spans="1:15" ht="14.25" customHeight="1" x14ac:dyDescent="0.3">
      <c r="A332" s="2">
        <v>45958</v>
      </c>
      <c r="B332" t="s">
        <v>15</v>
      </c>
      <c r="C332" s="3">
        <v>16399</v>
      </c>
      <c r="D332" s="3">
        <v>16495</v>
      </c>
      <c r="E332" s="3">
        <v>16261</v>
      </c>
      <c r="F332" s="3">
        <v>16388</v>
      </c>
      <c r="G332" s="3">
        <v>16309</v>
      </c>
      <c r="H332" s="3">
        <v>16311</v>
      </c>
      <c r="I332" s="3">
        <v>16356.1</v>
      </c>
      <c r="J332" s="3">
        <v>16660</v>
      </c>
      <c r="K332" s="3">
        <v>10725</v>
      </c>
      <c r="L332" s="4">
        <v>383383</v>
      </c>
      <c r="M332" s="3">
        <v>6270649073</v>
      </c>
      <c r="N332" s="4">
        <v>69797</v>
      </c>
      <c r="O332">
        <f t="shared" si="5"/>
        <v>-4.6985599218940686E-3</v>
      </c>
    </row>
    <row r="333" spans="1:15" ht="14.25" customHeight="1" x14ac:dyDescent="0.3">
      <c r="A333" s="2">
        <v>45959</v>
      </c>
      <c r="B333" t="s">
        <v>15</v>
      </c>
      <c r="C333" s="3">
        <v>16360</v>
      </c>
      <c r="D333" s="3">
        <v>16428</v>
      </c>
      <c r="E333" s="3">
        <v>16046</v>
      </c>
      <c r="F333" s="3">
        <v>16311</v>
      </c>
      <c r="G333" s="3">
        <v>16140</v>
      </c>
      <c r="H333" s="3">
        <v>16138</v>
      </c>
      <c r="I333" s="3">
        <v>16250.17</v>
      </c>
      <c r="J333" s="3">
        <v>16660</v>
      </c>
      <c r="K333" s="3">
        <v>10725</v>
      </c>
      <c r="L333" s="4">
        <v>232815</v>
      </c>
      <c r="M333" s="3">
        <v>3783283107</v>
      </c>
      <c r="N333" s="4">
        <v>39351</v>
      </c>
      <c r="O333">
        <f t="shared" si="5"/>
        <v>-1.0606339280240329E-2</v>
      </c>
    </row>
    <row r="334" spans="1:15" ht="14.25" customHeight="1" x14ac:dyDescent="0.3">
      <c r="A334" s="2">
        <v>45960</v>
      </c>
      <c r="B334" t="s">
        <v>15</v>
      </c>
      <c r="C334" s="3">
        <v>16190</v>
      </c>
      <c r="D334" s="3">
        <v>16275</v>
      </c>
      <c r="E334" s="3">
        <v>16077</v>
      </c>
      <c r="F334" s="3">
        <v>16138</v>
      </c>
      <c r="G334" s="3">
        <v>16190</v>
      </c>
      <c r="H334" s="3">
        <v>16206</v>
      </c>
      <c r="I334" s="3">
        <v>16199.02</v>
      </c>
      <c r="J334" s="3">
        <v>16660</v>
      </c>
      <c r="K334" s="3">
        <v>10725</v>
      </c>
      <c r="L334" s="4">
        <v>230383</v>
      </c>
      <c r="M334" s="3">
        <v>3731979767</v>
      </c>
      <c r="N334" s="4">
        <v>38004</v>
      </c>
      <c r="O334">
        <f t="shared" si="5"/>
        <v>4.2136572065931341E-3</v>
      </c>
    </row>
    <row r="335" spans="1:15" ht="14.25" customHeight="1" x14ac:dyDescent="0.3">
      <c r="A335" s="2">
        <v>45961</v>
      </c>
      <c r="B335" t="s">
        <v>15</v>
      </c>
      <c r="C335" s="3">
        <v>16204</v>
      </c>
      <c r="D335" s="3">
        <v>16516</v>
      </c>
      <c r="E335" s="3">
        <v>15949</v>
      </c>
      <c r="F335" s="3">
        <v>16206</v>
      </c>
      <c r="G335" s="3">
        <v>16155</v>
      </c>
      <c r="H335" s="3">
        <v>16186</v>
      </c>
      <c r="I335" s="3">
        <v>16247.98</v>
      </c>
      <c r="J335" s="3">
        <v>16660</v>
      </c>
      <c r="K335" s="3">
        <v>10725</v>
      </c>
      <c r="L335" s="4">
        <v>719402</v>
      </c>
      <c r="M335" s="3">
        <v>11688832854</v>
      </c>
      <c r="N335" s="4">
        <v>103861</v>
      </c>
      <c r="O335">
        <f t="shared" si="5"/>
        <v>-1.2341108231519191E-3</v>
      </c>
    </row>
    <row r="336" spans="1:15" ht="14.25" customHeight="1" x14ac:dyDescent="0.3">
      <c r="A336" s="2">
        <v>45964</v>
      </c>
      <c r="B336" t="s">
        <v>15</v>
      </c>
      <c r="C336" s="3">
        <v>16016</v>
      </c>
      <c r="D336" s="3">
        <v>16100</v>
      </c>
      <c r="E336" s="3">
        <v>15530</v>
      </c>
      <c r="F336" s="3">
        <v>16186</v>
      </c>
      <c r="G336" s="3">
        <v>15634</v>
      </c>
      <c r="H336" s="3">
        <v>15651</v>
      </c>
      <c r="I336" s="3">
        <v>15667</v>
      </c>
      <c r="J336" s="3">
        <v>16660</v>
      </c>
      <c r="K336" s="3">
        <v>10725</v>
      </c>
      <c r="L336" s="4">
        <v>942850</v>
      </c>
      <c r="M336" s="3">
        <v>14771635214</v>
      </c>
      <c r="N336" s="4">
        <v>152759</v>
      </c>
      <c r="O336">
        <f t="shared" si="5"/>
        <v>-3.305325590016063E-2</v>
      </c>
    </row>
    <row r="337" spans="1:15" ht="14.25" customHeight="1" x14ac:dyDescent="0.3">
      <c r="A337" s="2">
        <v>45965</v>
      </c>
      <c r="B337" t="s">
        <v>15</v>
      </c>
      <c r="C337" s="3">
        <v>15607</v>
      </c>
      <c r="D337" s="3">
        <v>15633</v>
      </c>
      <c r="E337" s="3">
        <v>15355</v>
      </c>
      <c r="F337" s="3">
        <v>15651</v>
      </c>
      <c r="G337" s="3">
        <v>15356</v>
      </c>
      <c r="H337" s="3">
        <v>15374</v>
      </c>
      <c r="I337" s="3">
        <v>15465.51</v>
      </c>
      <c r="J337" s="3">
        <v>16660</v>
      </c>
      <c r="K337" s="3">
        <v>10725</v>
      </c>
      <c r="L337" s="4">
        <v>748848</v>
      </c>
      <c r="M337" s="3">
        <v>11581319295</v>
      </c>
      <c r="N337" s="4">
        <v>112323</v>
      </c>
      <c r="O337">
        <f t="shared" si="5"/>
        <v>-1.7698549613443231E-2</v>
      </c>
    </row>
    <row r="338" spans="1:15" ht="14.25" customHeight="1" x14ac:dyDescent="0.3">
      <c r="A338" s="2">
        <v>45967</v>
      </c>
      <c r="B338" t="s">
        <v>15</v>
      </c>
      <c r="C338" s="3">
        <v>15534</v>
      </c>
      <c r="D338" s="3">
        <v>15534</v>
      </c>
      <c r="E338" s="3">
        <v>15309</v>
      </c>
      <c r="F338" s="3">
        <v>15374</v>
      </c>
      <c r="G338" s="3">
        <v>15449</v>
      </c>
      <c r="H338" s="3">
        <v>15452</v>
      </c>
      <c r="I338" s="3">
        <v>15434.11</v>
      </c>
      <c r="J338" s="3">
        <v>16660</v>
      </c>
      <c r="K338" s="3">
        <v>10725</v>
      </c>
      <c r="L338" s="4">
        <v>429800</v>
      </c>
      <c r="M338" s="3">
        <v>6633579488</v>
      </c>
      <c r="N338" s="4">
        <v>80278</v>
      </c>
      <c r="O338">
        <f t="shared" si="5"/>
        <v>5.0735007154936902E-3</v>
      </c>
    </row>
    <row r="339" spans="1:15" ht="14.25" customHeight="1" x14ac:dyDescent="0.3">
      <c r="A339" s="2">
        <v>45968</v>
      </c>
      <c r="B339" t="s">
        <v>15</v>
      </c>
      <c r="C339" s="3">
        <v>15459</v>
      </c>
      <c r="D339" s="3">
        <v>15499</v>
      </c>
      <c r="E339" s="3">
        <v>15260</v>
      </c>
      <c r="F339" s="3">
        <v>15452</v>
      </c>
      <c r="G339" s="3">
        <v>15490</v>
      </c>
      <c r="H339" s="3">
        <v>15479</v>
      </c>
      <c r="I339" s="3">
        <v>15392.88</v>
      </c>
      <c r="J339" s="3">
        <v>16660</v>
      </c>
      <c r="K339" s="3">
        <v>10725</v>
      </c>
      <c r="L339" s="4">
        <v>227247</v>
      </c>
      <c r="M339" s="3">
        <v>3497986309</v>
      </c>
      <c r="N339" s="4">
        <v>47159</v>
      </c>
      <c r="O339">
        <f t="shared" si="5"/>
        <v>1.7473466217965312E-3</v>
      </c>
    </row>
    <row r="340" spans="1:15" ht="14.25" customHeight="1" x14ac:dyDescent="0.3">
      <c r="A340" s="2">
        <v>45971</v>
      </c>
      <c r="B340" t="s">
        <v>15</v>
      </c>
      <c r="C340" s="3">
        <v>15380</v>
      </c>
      <c r="D340" s="3">
        <v>15647</v>
      </c>
      <c r="E340" s="3">
        <v>15380</v>
      </c>
      <c r="F340" s="3">
        <v>15479</v>
      </c>
      <c r="G340" s="3">
        <v>15600</v>
      </c>
      <c r="H340" s="3">
        <v>15583</v>
      </c>
      <c r="I340" s="3">
        <v>15537.33</v>
      </c>
      <c r="J340" s="3">
        <v>16660</v>
      </c>
      <c r="K340" s="3">
        <v>10725</v>
      </c>
      <c r="L340" s="4">
        <v>274191</v>
      </c>
      <c r="M340" s="3">
        <v>4260196205</v>
      </c>
      <c r="N340" s="4">
        <v>51294</v>
      </c>
      <c r="O340">
        <f t="shared" si="5"/>
        <v>6.7187802829640157E-3</v>
      </c>
    </row>
    <row r="341" spans="1:15" ht="14.25" customHeight="1" x14ac:dyDescent="0.3">
      <c r="A341" s="2">
        <v>45972</v>
      </c>
      <c r="B341" t="s">
        <v>15</v>
      </c>
      <c r="C341" s="3">
        <v>15640</v>
      </c>
      <c r="D341" s="3">
        <v>15680</v>
      </c>
      <c r="E341" s="3">
        <v>15512</v>
      </c>
      <c r="F341" s="3">
        <v>15583</v>
      </c>
      <c r="G341" s="3">
        <v>15651</v>
      </c>
      <c r="H341" s="3">
        <v>15645</v>
      </c>
      <c r="I341" s="3">
        <v>15613.47</v>
      </c>
      <c r="J341" s="3">
        <v>16660</v>
      </c>
      <c r="K341" s="3">
        <v>10725</v>
      </c>
      <c r="L341" s="4">
        <v>181524</v>
      </c>
      <c r="M341" s="3">
        <v>2834220115</v>
      </c>
      <c r="N341" s="4">
        <v>42423</v>
      </c>
      <c r="O341">
        <f t="shared" si="5"/>
        <v>3.9786947314381059E-3</v>
      </c>
    </row>
    <row r="342" spans="1:15" ht="14.25" customHeight="1" x14ac:dyDescent="0.3">
      <c r="A342" s="2">
        <v>45973</v>
      </c>
      <c r="B342" t="s">
        <v>15</v>
      </c>
      <c r="C342" s="3">
        <v>15674</v>
      </c>
      <c r="D342" s="3">
        <v>15731</v>
      </c>
      <c r="E342" s="3">
        <v>15555</v>
      </c>
      <c r="F342" s="3">
        <v>15645</v>
      </c>
      <c r="G342" s="3">
        <v>15654</v>
      </c>
      <c r="H342" s="3">
        <v>15696</v>
      </c>
      <c r="I342" s="3">
        <v>15667.14</v>
      </c>
      <c r="J342" s="3">
        <v>16660</v>
      </c>
      <c r="K342" s="3">
        <v>10725</v>
      </c>
      <c r="L342" s="4">
        <v>244015</v>
      </c>
      <c r="M342" s="3">
        <v>3823017286</v>
      </c>
      <c r="N342" s="4">
        <v>41126</v>
      </c>
      <c r="O342">
        <f t="shared" si="5"/>
        <v>3.2598274209012464E-3</v>
      </c>
    </row>
    <row r="343" spans="1:15" ht="14.25" customHeight="1" x14ac:dyDescent="0.3">
      <c r="A343" s="2">
        <v>45974</v>
      </c>
      <c r="B343" t="s">
        <v>15</v>
      </c>
      <c r="C343" s="3">
        <v>15661</v>
      </c>
      <c r="D343" s="3">
        <v>15800</v>
      </c>
      <c r="E343" s="3">
        <v>15660</v>
      </c>
      <c r="F343" s="3">
        <v>15696</v>
      </c>
      <c r="G343" s="3">
        <v>15725</v>
      </c>
      <c r="H343" s="3">
        <v>15749</v>
      </c>
      <c r="I343" s="3">
        <v>15744.77</v>
      </c>
      <c r="J343" s="3">
        <v>16660</v>
      </c>
      <c r="K343" s="3">
        <v>10725</v>
      </c>
      <c r="L343" s="4">
        <v>250711</v>
      </c>
      <c r="M343" s="3">
        <v>3947386271</v>
      </c>
      <c r="N343" s="4">
        <v>43187</v>
      </c>
      <c r="O343">
        <f t="shared" si="5"/>
        <v>3.3766564729867483E-3</v>
      </c>
    </row>
    <row r="344" spans="1:15" ht="14.25" customHeight="1" x14ac:dyDescent="0.3">
      <c r="A344" s="2">
        <v>45975</v>
      </c>
      <c r="B344" t="s">
        <v>15</v>
      </c>
      <c r="C344" s="3">
        <v>15725</v>
      </c>
      <c r="D344" s="3">
        <v>15735</v>
      </c>
      <c r="E344" s="3">
        <v>15572</v>
      </c>
      <c r="F344" s="3">
        <v>15749</v>
      </c>
      <c r="G344" s="3">
        <v>15708</v>
      </c>
      <c r="H344" s="3">
        <v>15684</v>
      </c>
      <c r="I344" s="3">
        <v>15650.28</v>
      </c>
      <c r="J344" s="3">
        <v>16660</v>
      </c>
      <c r="K344" s="3">
        <v>10725</v>
      </c>
      <c r="L344" s="4">
        <v>253698</v>
      </c>
      <c r="M344" s="3">
        <v>3970445359</v>
      </c>
      <c r="N344" s="4">
        <v>43613</v>
      </c>
      <c r="O344">
        <f t="shared" si="5"/>
        <v>-4.1272461743602764E-3</v>
      </c>
    </row>
    <row r="345" spans="1:15" ht="14.25" customHeight="1" x14ac:dyDescent="0.3">
      <c r="A345" s="2">
        <v>45978</v>
      </c>
      <c r="B345" t="s">
        <v>15</v>
      </c>
      <c r="C345" s="3">
        <v>15689</v>
      </c>
      <c r="D345" s="3">
        <v>15892</v>
      </c>
      <c r="E345" s="3">
        <v>15655</v>
      </c>
      <c r="F345" s="3">
        <v>15684</v>
      </c>
      <c r="G345" s="3">
        <v>15889</v>
      </c>
      <c r="H345" s="3">
        <v>15878</v>
      </c>
      <c r="I345" s="3">
        <v>15825.89</v>
      </c>
      <c r="J345" s="3">
        <v>16660</v>
      </c>
      <c r="K345" s="3">
        <v>10725</v>
      </c>
      <c r="L345" s="4">
        <v>301069</v>
      </c>
      <c r="M345" s="3">
        <v>4764685848</v>
      </c>
      <c r="N345" s="4">
        <v>39462</v>
      </c>
      <c r="O345">
        <f t="shared" si="5"/>
        <v>1.2369293547564397E-2</v>
      </c>
    </row>
    <row r="346" spans="1:15" ht="14.25" customHeight="1" x14ac:dyDescent="0.3">
      <c r="A346" s="2">
        <v>45979</v>
      </c>
      <c r="B346" t="s">
        <v>15</v>
      </c>
      <c r="C346" s="3">
        <v>15878</v>
      </c>
      <c r="D346" s="3">
        <v>15999</v>
      </c>
      <c r="E346" s="3">
        <v>15750</v>
      </c>
      <c r="F346" s="3">
        <v>15878</v>
      </c>
      <c r="G346" s="3">
        <v>15919</v>
      </c>
      <c r="H346" s="3">
        <v>15930</v>
      </c>
      <c r="I346" s="3">
        <v>15918.31</v>
      </c>
      <c r="J346" s="3">
        <v>16660</v>
      </c>
      <c r="K346" s="3">
        <v>10725</v>
      </c>
      <c r="L346" s="4">
        <v>392903</v>
      </c>
      <c r="M346" s="3">
        <v>6254353451</v>
      </c>
      <c r="N346" s="4">
        <v>40550</v>
      </c>
      <c r="O346">
        <f t="shared" si="5"/>
        <v>3.2749716588991056E-3</v>
      </c>
    </row>
    <row r="347" spans="1:15" ht="14.25" customHeight="1" x14ac:dyDescent="0.3">
      <c r="A347" s="2">
        <v>45980</v>
      </c>
      <c r="B347" t="s">
        <v>15</v>
      </c>
      <c r="C347" s="3">
        <v>15950</v>
      </c>
      <c r="D347" s="3">
        <v>15950</v>
      </c>
      <c r="E347" s="3">
        <v>15715</v>
      </c>
      <c r="F347" s="3">
        <v>15930</v>
      </c>
      <c r="G347" s="3">
        <v>15740</v>
      </c>
      <c r="H347" s="3">
        <v>15768</v>
      </c>
      <c r="I347" s="3">
        <v>15799.67</v>
      </c>
      <c r="J347" s="3">
        <v>16660</v>
      </c>
      <c r="K347" s="3">
        <v>10725</v>
      </c>
      <c r="L347" s="4">
        <v>286434</v>
      </c>
      <c r="M347" s="3">
        <v>4525563697</v>
      </c>
      <c r="N347" s="4">
        <v>49334</v>
      </c>
      <c r="O347">
        <f t="shared" si="5"/>
        <v>-1.0169491525423728E-2</v>
      </c>
    </row>
    <row r="348" spans="1:15" ht="14.25" customHeight="1" x14ac:dyDescent="0.3">
      <c r="A348" s="2">
        <v>45981</v>
      </c>
      <c r="B348" t="s">
        <v>15</v>
      </c>
      <c r="C348" s="3">
        <v>15810</v>
      </c>
      <c r="D348" s="3">
        <v>15823</v>
      </c>
      <c r="E348" s="3">
        <v>15618</v>
      </c>
      <c r="F348" s="3">
        <v>15768</v>
      </c>
      <c r="G348" s="3">
        <v>15822</v>
      </c>
      <c r="H348" s="3">
        <v>15801</v>
      </c>
      <c r="I348" s="3">
        <v>15740.97</v>
      </c>
      <c r="J348" s="3">
        <v>16660</v>
      </c>
      <c r="K348" s="3">
        <v>10725</v>
      </c>
      <c r="L348" s="4">
        <v>249492</v>
      </c>
      <c r="M348" s="3">
        <v>3927246017</v>
      </c>
      <c r="N348" s="4">
        <v>49594</v>
      </c>
      <c r="O348">
        <f t="shared" si="5"/>
        <v>2.0928462709284626E-3</v>
      </c>
    </row>
    <row r="349" spans="1:15" ht="14.25" customHeight="1" x14ac:dyDescent="0.3">
      <c r="A349" s="2">
        <v>45982</v>
      </c>
      <c r="B349" t="s">
        <v>15</v>
      </c>
      <c r="C349" s="3">
        <v>15790</v>
      </c>
      <c r="D349" s="3">
        <v>16150</v>
      </c>
      <c r="E349" s="3">
        <v>15737</v>
      </c>
      <c r="F349" s="3">
        <v>15801</v>
      </c>
      <c r="G349" s="3">
        <v>16010</v>
      </c>
      <c r="H349" s="3">
        <v>15977</v>
      </c>
      <c r="I349" s="3">
        <v>15987.46</v>
      </c>
      <c r="J349" s="3">
        <v>16660</v>
      </c>
      <c r="K349" s="3">
        <v>10725</v>
      </c>
      <c r="L349" s="4">
        <v>586351</v>
      </c>
      <c r="M349" s="3">
        <v>9374265295</v>
      </c>
      <c r="N349" s="4">
        <v>66516</v>
      </c>
      <c r="O349">
        <f t="shared" si="5"/>
        <v>1.1138535535725587E-2</v>
      </c>
    </row>
    <row r="350" spans="1:15" ht="14.25" customHeight="1" x14ac:dyDescent="0.3">
      <c r="A350" s="2">
        <v>45985</v>
      </c>
      <c r="B350" t="s">
        <v>15</v>
      </c>
      <c r="C350" s="3">
        <v>16005</v>
      </c>
      <c r="D350" s="3">
        <v>16085</v>
      </c>
      <c r="E350" s="3">
        <v>15911</v>
      </c>
      <c r="F350" s="3">
        <v>15977</v>
      </c>
      <c r="G350" s="3">
        <v>15926</v>
      </c>
      <c r="H350" s="3">
        <v>15958</v>
      </c>
      <c r="I350" s="3">
        <v>15979.02</v>
      </c>
      <c r="J350" s="3">
        <v>16660</v>
      </c>
      <c r="K350" s="3">
        <v>10725</v>
      </c>
      <c r="L350" s="4">
        <v>525788</v>
      </c>
      <c r="M350" s="3">
        <v>8401576400</v>
      </c>
      <c r="N350" s="4">
        <v>65816</v>
      </c>
      <c r="O350">
        <f t="shared" si="5"/>
        <v>-1.1892094886399199E-3</v>
      </c>
    </row>
    <row r="351" spans="1:15" ht="14.25" customHeight="1" x14ac:dyDescent="0.3">
      <c r="A351" s="2">
        <v>45986</v>
      </c>
      <c r="B351" t="s">
        <v>15</v>
      </c>
      <c r="C351" s="3">
        <v>15958</v>
      </c>
      <c r="D351" s="3">
        <v>16050</v>
      </c>
      <c r="E351" s="3">
        <v>15842</v>
      </c>
      <c r="F351" s="3">
        <v>15958</v>
      </c>
      <c r="G351" s="3">
        <v>15910</v>
      </c>
      <c r="H351" s="3">
        <v>15889</v>
      </c>
      <c r="I351" s="3">
        <v>15957.35</v>
      </c>
      <c r="J351" s="3">
        <v>16660</v>
      </c>
      <c r="K351" s="3">
        <v>10725</v>
      </c>
      <c r="L351" s="4">
        <v>214525</v>
      </c>
      <c r="M351" s="3">
        <v>3423251345</v>
      </c>
      <c r="N351" s="4">
        <v>43693</v>
      </c>
      <c r="O351">
        <f t="shared" si="5"/>
        <v>-4.3238501065296399E-3</v>
      </c>
    </row>
    <row r="352" spans="1:15" ht="14.25" customHeight="1" x14ac:dyDescent="0.3">
      <c r="A352" s="2">
        <v>45987</v>
      </c>
      <c r="B352" t="s">
        <v>15</v>
      </c>
      <c r="C352" s="3">
        <v>15950</v>
      </c>
      <c r="D352" s="3">
        <v>16210</v>
      </c>
      <c r="E352" s="3">
        <v>15950</v>
      </c>
      <c r="F352" s="3">
        <v>15889</v>
      </c>
      <c r="G352" s="3">
        <v>16140</v>
      </c>
      <c r="H352" s="3">
        <v>16156</v>
      </c>
      <c r="I352" s="3">
        <v>16113.07</v>
      </c>
      <c r="J352" s="3">
        <v>16660</v>
      </c>
      <c r="K352" s="3">
        <v>10725</v>
      </c>
      <c r="L352" s="4">
        <v>314946</v>
      </c>
      <c r="M352" s="3">
        <v>5074748498</v>
      </c>
      <c r="N352" s="4">
        <v>63775</v>
      </c>
      <c r="O352">
        <f t="shared" si="5"/>
        <v>1.6804078293158789E-2</v>
      </c>
    </row>
    <row r="353" spans="1:15" ht="14.25" customHeight="1" x14ac:dyDescent="0.3">
      <c r="A353" s="2">
        <v>45988</v>
      </c>
      <c r="B353" t="s">
        <v>15</v>
      </c>
      <c r="C353" s="3">
        <v>16166</v>
      </c>
      <c r="D353" s="3">
        <v>16171</v>
      </c>
      <c r="E353" s="3">
        <v>15875</v>
      </c>
      <c r="F353" s="3">
        <v>16156</v>
      </c>
      <c r="G353" s="3">
        <v>15912</v>
      </c>
      <c r="H353" s="3">
        <v>15903</v>
      </c>
      <c r="I353" s="3">
        <v>16003.54</v>
      </c>
      <c r="J353" s="3">
        <v>16660</v>
      </c>
      <c r="K353" s="3">
        <v>10725</v>
      </c>
      <c r="L353" s="4">
        <v>339986</v>
      </c>
      <c r="M353" s="3">
        <v>5440980837</v>
      </c>
      <c r="N353" s="4">
        <v>71283</v>
      </c>
      <c r="O353">
        <f t="shared" si="5"/>
        <v>-1.5659816786333252E-2</v>
      </c>
    </row>
    <row r="354" spans="1:15" ht="14.25" customHeight="1" x14ac:dyDescent="0.3">
      <c r="A354" s="2">
        <v>45989</v>
      </c>
      <c r="B354" t="s">
        <v>15</v>
      </c>
      <c r="C354" s="3">
        <v>15906</v>
      </c>
      <c r="D354" s="3">
        <v>16049</v>
      </c>
      <c r="E354" s="3">
        <v>15850</v>
      </c>
      <c r="F354" s="3">
        <v>15903</v>
      </c>
      <c r="G354" s="3">
        <v>15890</v>
      </c>
      <c r="H354" s="3">
        <v>15900</v>
      </c>
      <c r="I354" s="3">
        <v>15926.22</v>
      </c>
      <c r="J354" s="3">
        <v>16660</v>
      </c>
      <c r="K354" s="3">
        <v>10725</v>
      </c>
      <c r="L354" s="4">
        <v>352340</v>
      </c>
      <c r="M354" s="3">
        <v>5611445309</v>
      </c>
      <c r="N354" s="4">
        <v>61014</v>
      </c>
      <c r="O354">
        <f t="shared" si="5"/>
        <v>-1.8864365214110544E-4</v>
      </c>
    </row>
    <row r="355" spans="1:15" ht="14.25" customHeight="1" x14ac:dyDescent="0.3">
      <c r="A355" s="2">
        <v>45992</v>
      </c>
      <c r="B355" t="s">
        <v>15</v>
      </c>
      <c r="C355" s="3">
        <v>15975</v>
      </c>
      <c r="D355" s="3">
        <v>16177</v>
      </c>
      <c r="E355" s="3">
        <v>15851</v>
      </c>
      <c r="F355" s="3">
        <v>15900</v>
      </c>
      <c r="G355" s="3">
        <v>16125</v>
      </c>
      <c r="H355" s="3">
        <v>16097</v>
      </c>
      <c r="I355" s="3">
        <v>16023.48</v>
      </c>
      <c r="J355" s="3">
        <v>16660</v>
      </c>
      <c r="K355" s="3">
        <v>10725</v>
      </c>
      <c r="L355" s="4">
        <v>434052</v>
      </c>
      <c r="M355" s="3">
        <v>6955024200</v>
      </c>
      <c r="N355" s="4">
        <v>72923</v>
      </c>
      <c r="O355">
        <f t="shared" si="5"/>
        <v>1.2389937106918238E-2</v>
      </c>
    </row>
    <row r="356" spans="1:15" ht="14.25" customHeight="1" x14ac:dyDescent="0.3">
      <c r="A356" s="2">
        <v>45993</v>
      </c>
      <c r="B356" t="s">
        <v>15</v>
      </c>
      <c r="C356" s="3">
        <v>16127</v>
      </c>
      <c r="D356" s="3">
        <v>16261</v>
      </c>
      <c r="E356" s="3">
        <v>16095</v>
      </c>
      <c r="F356" s="3">
        <v>16097</v>
      </c>
      <c r="G356" s="3">
        <v>16245</v>
      </c>
      <c r="H356" s="3">
        <v>16239</v>
      </c>
      <c r="I356" s="3">
        <v>16196.02</v>
      </c>
      <c r="J356" s="3">
        <v>16660</v>
      </c>
      <c r="K356" s="3">
        <v>10725</v>
      </c>
      <c r="L356" s="4">
        <v>383165</v>
      </c>
      <c r="M356" s="3">
        <v>6205747033</v>
      </c>
      <c r="N356" s="4">
        <v>64843</v>
      </c>
      <c r="O356">
        <f t="shared" si="5"/>
        <v>8.8215195378020753E-3</v>
      </c>
    </row>
    <row r="357" spans="1:15" ht="14.25" customHeight="1" x14ac:dyDescent="0.3">
      <c r="A357" s="2">
        <v>45994</v>
      </c>
      <c r="B357" t="s">
        <v>15</v>
      </c>
      <c r="C357" s="3">
        <v>16219</v>
      </c>
      <c r="D357" s="3">
        <v>16248</v>
      </c>
      <c r="E357" s="3">
        <v>16010</v>
      </c>
      <c r="F357" s="3">
        <v>16239</v>
      </c>
      <c r="G357" s="3">
        <v>16075</v>
      </c>
      <c r="H357" s="3">
        <v>16082</v>
      </c>
      <c r="I357" s="3">
        <v>16083.48</v>
      </c>
      <c r="J357" s="3">
        <v>16660</v>
      </c>
      <c r="K357" s="3">
        <v>10725</v>
      </c>
      <c r="L357" s="4">
        <v>264397</v>
      </c>
      <c r="M357" s="3">
        <v>4252423071</v>
      </c>
      <c r="N357" s="4">
        <v>46875</v>
      </c>
      <c r="O357">
        <f t="shared" si="5"/>
        <v>-9.6680830100375637E-3</v>
      </c>
    </row>
    <row r="358" spans="1:15" ht="14.25" customHeight="1" x14ac:dyDescent="0.3">
      <c r="A358" s="2">
        <v>45995</v>
      </c>
      <c r="B358" t="s">
        <v>15</v>
      </c>
      <c r="C358" s="3">
        <v>16058</v>
      </c>
      <c r="D358" s="3">
        <v>16135</v>
      </c>
      <c r="E358" s="3">
        <v>15887</v>
      </c>
      <c r="F358" s="3">
        <v>16082</v>
      </c>
      <c r="G358" s="3">
        <v>15979</v>
      </c>
      <c r="H358" s="3">
        <v>15994</v>
      </c>
      <c r="I358" s="3">
        <v>15984.58</v>
      </c>
      <c r="J358" s="3">
        <v>16660</v>
      </c>
      <c r="K358" s="3">
        <v>10725</v>
      </c>
      <c r="L358" s="4">
        <v>248812</v>
      </c>
      <c r="M358" s="3">
        <v>3977155877</v>
      </c>
      <c r="N358" s="4">
        <v>43223</v>
      </c>
      <c r="O358">
        <f t="shared" si="5"/>
        <v>-5.4719562243502051E-3</v>
      </c>
    </row>
    <row r="359" spans="1:15" ht="14.25" customHeight="1" x14ac:dyDescent="0.3">
      <c r="A359" s="2">
        <v>45996</v>
      </c>
      <c r="B359" t="s">
        <v>15</v>
      </c>
      <c r="C359" s="3">
        <v>16000</v>
      </c>
      <c r="D359" s="3">
        <v>16338</v>
      </c>
      <c r="E359" s="3">
        <v>15979</v>
      </c>
      <c r="F359" s="3">
        <v>15994</v>
      </c>
      <c r="G359" s="3">
        <v>16300</v>
      </c>
      <c r="H359" s="3">
        <v>16282</v>
      </c>
      <c r="I359" s="3">
        <v>16194.46</v>
      </c>
      <c r="J359" s="3">
        <v>16660</v>
      </c>
      <c r="K359" s="3">
        <v>10725</v>
      </c>
      <c r="L359" s="4">
        <v>332032</v>
      </c>
      <c r="M359" s="3">
        <v>5377078767</v>
      </c>
      <c r="N359" s="4">
        <v>48006</v>
      </c>
      <c r="O359">
        <f t="shared" si="5"/>
        <v>1.8006752532199573E-2</v>
      </c>
    </row>
    <row r="360" spans="1:15" ht="14.25" customHeight="1" x14ac:dyDescent="0.3">
      <c r="A360" s="2">
        <v>45999</v>
      </c>
      <c r="B360" t="s">
        <v>15</v>
      </c>
      <c r="C360" s="3">
        <v>16200</v>
      </c>
      <c r="D360" s="3">
        <v>16256</v>
      </c>
      <c r="E360" s="3">
        <v>16094</v>
      </c>
      <c r="F360" s="3">
        <v>16282</v>
      </c>
      <c r="G360" s="3">
        <v>16178</v>
      </c>
      <c r="H360" s="3">
        <v>16187</v>
      </c>
      <c r="I360" s="3">
        <v>16178.36</v>
      </c>
      <c r="J360" s="3">
        <v>16660</v>
      </c>
      <c r="K360" s="3">
        <v>10725</v>
      </c>
      <c r="L360" s="4">
        <v>220513</v>
      </c>
      <c r="M360" s="3">
        <v>3567537785</v>
      </c>
      <c r="N360" s="4">
        <v>45874</v>
      </c>
      <c r="O360">
        <f t="shared" si="5"/>
        <v>-5.8346640461859724E-3</v>
      </c>
    </row>
    <row r="361" spans="1:15" ht="14.25" customHeight="1" x14ac:dyDescent="0.3">
      <c r="A361" s="2">
        <v>46000</v>
      </c>
      <c r="B361" t="s">
        <v>15</v>
      </c>
      <c r="C361" s="3">
        <v>16051</v>
      </c>
      <c r="D361" s="3">
        <v>16226</v>
      </c>
      <c r="E361" s="3">
        <v>15985</v>
      </c>
      <c r="F361" s="3">
        <v>16187</v>
      </c>
      <c r="G361" s="3">
        <v>15990</v>
      </c>
      <c r="H361" s="3">
        <v>16020</v>
      </c>
      <c r="I361" s="3">
        <v>16073.38</v>
      </c>
      <c r="J361" s="3">
        <v>16660</v>
      </c>
      <c r="K361" s="3">
        <v>10725</v>
      </c>
      <c r="L361" s="4">
        <v>276388</v>
      </c>
      <c r="M361" s="3">
        <v>4442488107</v>
      </c>
      <c r="N361" s="4">
        <v>46812</v>
      </c>
      <c r="O361">
        <f t="shared" si="5"/>
        <v>-1.0316920985976401E-2</v>
      </c>
    </row>
    <row r="362" spans="1:15" ht="14.25" customHeight="1" x14ac:dyDescent="0.3">
      <c r="A362" s="2">
        <v>46001</v>
      </c>
      <c r="B362" t="s">
        <v>15</v>
      </c>
      <c r="C362" s="3">
        <v>16090</v>
      </c>
      <c r="D362" s="3">
        <v>16125</v>
      </c>
      <c r="E362" s="3">
        <v>15925</v>
      </c>
      <c r="F362" s="3">
        <v>16020</v>
      </c>
      <c r="G362" s="3">
        <v>16000</v>
      </c>
      <c r="H362" s="3">
        <v>16019</v>
      </c>
      <c r="I362" s="3">
        <v>16041.87</v>
      </c>
      <c r="J362" s="3">
        <v>16660</v>
      </c>
      <c r="K362" s="3">
        <v>10725</v>
      </c>
      <c r="L362" s="4">
        <v>293374</v>
      </c>
      <c r="M362" s="3">
        <v>4706266802</v>
      </c>
      <c r="N362" s="4">
        <v>60509</v>
      </c>
      <c r="O362">
        <f t="shared" si="5"/>
        <v>-6.2421972534332083E-5</v>
      </c>
    </row>
    <row r="363" spans="1:15" ht="14.25" customHeight="1" x14ac:dyDescent="0.3">
      <c r="A363" s="2">
        <v>46002</v>
      </c>
      <c r="B363" t="s">
        <v>15</v>
      </c>
      <c r="C363" s="3">
        <v>16049</v>
      </c>
      <c r="D363" s="3">
        <v>16296</v>
      </c>
      <c r="E363" s="3">
        <v>15983</v>
      </c>
      <c r="F363" s="3">
        <v>16019</v>
      </c>
      <c r="G363" s="3">
        <v>16220</v>
      </c>
      <c r="H363" s="3">
        <v>16248</v>
      </c>
      <c r="I363" s="3">
        <v>16218.56</v>
      </c>
      <c r="J363" s="3">
        <v>16660</v>
      </c>
      <c r="K363" s="3">
        <v>10725</v>
      </c>
      <c r="L363" s="4">
        <v>268701</v>
      </c>
      <c r="M363" s="3">
        <v>4357942870</v>
      </c>
      <c r="N363" s="4">
        <v>58929</v>
      </c>
      <c r="O363">
        <f t="shared" si="5"/>
        <v>1.4295524065172607E-2</v>
      </c>
    </row>
    <row r="364" spans="1:15" ht="14.25" customHeight="1" x14ac:dyDescent="0.3">
      <c r="A364" s="2">
        <v>46003</v>
      </c>
      <c r="B364" t="s">
        <v>15</v>
      </c>
      <c r="C364" s="3">
        <v>16248</v>
      </c>
      <c r="D364" s="3">
        <v>16536</v>
      </c>
      <c r="E364" s="3">
        <v>16247</v>
      </c>
      <c r="F364" s="3">
        <v>16248</v>
      </c>
      <c r="G364" s="3">
        <v>16515</v>
      </c>
      <c r="H364" s="3">
        <v>16522</v>
      </c>
      <c r="I364" s="3">
        <v>16480.310000000001</v>
      </c>
      <c r="J364" s="3">
        <v>16660</v>
      </c>
      <c r="K364" s="3">
        <v>10725</v>
      </c>
      <c r="L364" s="4">
        <v>404711</v>
      </c>
      <c r="M364" s="3">
        <v>6669761249</v>
      </c>
      <c r="N364" s="4">
        <v>67799</v>
      </c>
      <c r="O364">
        <f t="shared" si="5"/>
        <v>1.6863613983259477E-2</v>
      </c>
    </row>
    <row r="365" spans="1:15" ht="14.25" customHeight="1" x14ac:dyDescent="0.3">
      <c r="A365" s="2">
        <v>46006</v>
      </c>
      <c r="B365" t="s">
        <v>15</v>
      </c>
      <c r="C365" s="3">
        <v>16500</v>
      </c>
      <c r="D365" s="3">
        <v>16500</v>
      </c>
      <c r="E365" s="3">
        <v>16360</v>
      </c>
      <c r="F365" s="3">
        <v>16522</v>
      </c>
      <c r="G365" s="3">
        <v>16400</v>
      </c>
      <c r="H365" s="3">
        <v>16415</v>
      </c>
      <c r="I365" s="3">
        <v>16420.849999999999</v>
      </c>
      <c r="J365" s="3">
        <v>16660</v>
      </c>
      <c r="K365" s="3">
        <v>10725</v>
      </c>
      <c r="L365" s="4">
        <v>225221</v>
      </c>
      <c r="M365" s="3">
        <v>3698320481</v>
      </c>
      <c r="N365" s="4">
        <v>41307</v>
      </c>
      <c r="O365">
        <f t="shared" si="5"/>
        <v>-6.4762135334705245E-3</v>
      </c>
    </row>
    <row r="366" spans="1:15" ht="14.25" customHeight="1" x14ac:dyDescent="0.3">
      <c r="A366" s="2">
        <v>46007</v>
      </c>
      <c r="B366" t="s">
        <v>15</v>
      </c>
      <c r="C366" s="3">
        <v>16400</v>
      </c>
      <c r="D366" s="3">
        <v>16451</v>
      </c>
      <c r="E366" s="3">
        <v>16320</v>
      </c>
      <c r="F366" s="3">
        <v>16415</v>
      </c>
      <c r="G366" s="3">
        <v>16326</v>
      </c>
      <c r="H366" s="3">
        <v>16354</v>
      </c>
      <c r="I366" s="3">
        <v>16378.9</v>
      </c>
      <c r="J366" s="3">
        <v>16660</v>
      </c>
      <c r="K366" s="3">
        <v>10725</v>
      </c>
      <c r="L366" s="4">
        <v>156134</v>
      </c>
      <c r="M366" s="3">
        <v>2557303075</v>
      </c>
      <c r="N366" s="4">
        <v>34270</v>
      </c>
      <c r="O366">
        <f t="shared" si="5"/>
        <v>-3.7161133109960402E-3</v>
      </c>
    </row>
    <row r="367" spans="1:15" ht="14.25" customHeight="1" x14ac:dyDescent="0.3">
      <c r="A367" s="2">
        <v>46008</v>
      </c>
      <c r="B367" t="s">
        <v>15</v>
      </c>
      <c r="C367" s="3">
        <v>16389</v>
      </c>
      <c r="D367" s="3">
        <v>16490</v>
      </c>
      <c r="E367" s="3">
        <v>16357</v>
      </c>
      <c r="F367" s="3">
        <v>16354</v>
      </c>
      <c r="G367" s="3">
        <v>16382</v>
      </c>
      <c r="H367" s="3">
        <v>16398</v>
      </c>
      <c r="I367" s="3">
        <v>16408.939999999999</v>
      </c>
      <c r="J367" s="3">
        <v>16660</v>
      </c>
      <c r="K367" s="3">
        <v>10725</v>
      </c>
      <c r="L367" s="4">
        <v>257406</v>
      </c>
      <c r="M367" s="3">
        <v>4223759764</v>
      </c>
      <c r="N367" s="4">
        <v>37624</v>
      </c>
      <c r="O367">
        <f t="shared" si="5"/>
        <v>2.6904732787085728E-3</v>
      </c>
    </row>
    <row r="368" spans="1:15" ht="14.25" customHeight="1" x14ac:dyDescent="0.3">
      <c r="A368" s="2">
        <v>46009</v>
      </c>
      <c r="B368" t="s">
        <v>15</v>
      </c>
      <c r="C368" s="3">
        <v>16440</v>
      </c>
      <c r="D368" s="3">
        <v>16486</v>
      </c>
      <c r="E368" s="3">
        <v>16221</v>
      </c>
      <c r="F368" s="3">
        <v>16398</v>
      </c>
      <c r="G368" s="3">
        <v>16306</v>
      </c>
      <c r="H368" s="3">
        <v>16329</v>
      </c>
      <c r="I368" s="3">
        <v>16333.39</v>
      </c>
      <c r="J368" s="3">
        <v>16660</v>
      </c>
      <c r="K368" s="3">
        <v>10725</v>
      </c>
      <c r="L368" s="4">
        <v>213981</v>
      </c>
      <c r="M368" s="3">
        <v>3495035605</v>
      </c>
      <c r="N368" s="4">
        <v>34024</v>
      </c>
      <c r="O368">
        <f t="shared" si="5"/>
        <v>-4.2078302231979507E-3</v>
      </c>
    </row>
    <row r="369" spans="1:15" ht="14.25" customHeight="1" x14ac:dyDescent="0.3">
      <c r="A369" s="2">
        <v>46010</v>
      </c>
      <c r="B369" t="s">
        <v>15</v>
      </c>
      <c r="C369" s="3">
        <v>16329</v>
      </c>
      <c r="D369" s="3">
        <v>16475</v>
      </c>
      <c r="E369" s="3">
        <v>16329</v>
      </c>
      <c r="F369" s="3">
        <v>16329</v>
      </c>
      <c r="G369" s="3">
        <v>16405</v>
      </c>
      <c r="H369" s="3">
        <v>16414</v>
      </c>
      <c r="I369" s="3">
        <v>16412.919999999998</v>
      </c>
      <c r="J369" s="3">
        <v>16660</v>
      </c>
      <c r="K369" s="3">
        <v>10725</v>
      </c>
      <c r="L369" s="4">
        <v>360190</v>
      </c>
      <c r="M369" s="3">
        <v>5911769247</v>
      </c>
      <c r="N369" s="4">
        <v>35290</v>
      </c>
      <c r="O369">
        <f t="shared" si="5"/>
        <v>5.2054626737705924E-3</v>
      </c>
    </row>
    <row r="370" spans="1:15" ht="14.25" customHeight="1" x14ac:dyDescent="0.3">
      <c r="A370" s="2">
        <v>46013</v>
      </c>
      <c r="B370" t="s">
        <v>15</v>
      </c>
      <c r="C370" s="3">
        <v>16464</v>
      </c>
      <c r="D370" s="3">
        <v>16693</v>
      </c>
      <c r="E370" s="3">
        <v>16414</v>
      </c>
      <c r="F370" s="3">
        <v>16414</v>
      </c>
      <c r="G370" s="3">
        <v>16681</v>
      </c>
      <c r="H370" s="3">
        <v>16649</v>
      </c>
      <c r="I370" s="3">
        <v>16555.45</v>
      </c>
      <c r="J370" s="3">
        <v>16693</v>
      </c>
      <c r="K370" s="3">
        <v>10725</v>
      </c>
      <c r="L370" s="4">
        <v>271590</v>
      </c>
      <c r="M370" s="3">
        <v>4496295608</v>
      </c>
      <c r="N370" s="4">
        <v>47733</v>
      </c>
      <c r="O370">
        <f t="shared" si="5"/>
        <v>1.4317046423784573E-2</v>
      </c>
    </row>
    <row r="371" spans="1:15" ht="14.25" customHeight="1" x14ac:dyDescent="0.3">
      <c r="A371" s="2">
        <v>46014</v>
      </c>
      <c r="B371" t="s">
        <v>15</v>
      </c>
      <c r="C371" s="3">
        <v>16709</v>
      </c>
      <c r="D371" s="3">
        <v>16720</v>
      </c>
      <c r="E371" s="3">
        <v>16558</v>
      </c>
      <c r="F371" s="3">
        <v>16649</v>
      </c>
      <c r="G371" s="3">
        <v>16561</v>
      </c>
      <c r="H371" s="3">
        <v>16585</v>
      </c>
      <c r="I371" s="3">
        <v>16607</v>
      </c>
      <c r="J371" s="3">
        <v>16720</v>
      </c>
      <c r="K371" s="3">
        <v>10725</v>
      </c>
      <c r="L371" s="4">
        <v>215650</v>
      </c>
      <c r="M371" s="3">
        <v>3581300352</v>
      </c>
      <c r="N371" s="4">
        <v>35212</v>
      </c>
      <c r="O371">
        <f t="shared" si="5"/>
        <v>-3.8440747192023546E-3</v>
      </c>
    </row>
    <row r="372" spans="1:15" ht="14.25" customHeight="1" x14ac:dyDescent="0.3">
      <c r="A372" s="2">
        <v>46015</v>
      </c>
      <c r="B372" t="s">
        <v>15</v>
      </c>
      <c r="C372" s="3">
        <v>16640</v>
      </c>
      <c r="D372" s="3">
        <v>16720</v>
      </c>
      <c r="E372" s="3">
        <v>16542</v>
      </c>
      <c r="F372" s="3">
        <v>16585</v>
      </c>
      <c r="G372" s="3">
        <v>16710</v>
      </c>
      <c r="H372" s="3">
        <v>16703</v>
      </c>
      <c r="I372" s="3">
        <v>16684.349999999999</v>
      </c>
      <c r="J372" s="3">
        <v>16720</v>
      </c>
      <c r="K372" s="3">
        <v>10725</v>
      </c>
      <c r="L372" s="4">
        <v>258486</v>
      </c>
      <c r="M372" s="3">
        <v>4312671071</v>
      </c>
      <c r="N372" s="4">
        <v>53697</v>
      </c>
      <c r="O372">
        <f t="shared" si="5"/>
        <v>7.1148628278564965E-3</v>
      </c>
    </row>
    <row r="373" spans="1:15" ht="14.25" customHeight="1" x14ac:dyDescent="0.3">
      <c r="A373" s="2">
        <v>46017</v>
      </c>
      <c r="B373" t="s">
        <v>15</v>
      </c>
      <c r="C373" s="3">
        <v>16703</v>
      </c>
      <c r="D373" s="3">
        <v>16703</v>
      </c>
      <c r="E373" s="3">
        <v>16516</v>
      </c>
      <c r="F373" s="3">
        <v>16703</v>
      </c>
      <c r="G373" s="3">
        <v>16590</v>
      </c>
      <c r="H373" s="3">
        <v>16596</v>
      </c>
      <c r="I373" s="3">
        <v>16594.13</v>
      </c>
      <c r="J373" s="3">
        <v>16720</v>
      </c>
      <c r="K373" s="3">
        <v>10725</v>
      </c>
      <c r="L373" s="4">
        <v>212925</v>
      </c>
      <c r="M373" s="3">
        <v>3533305925</v>
      </c>
      <c r="N373" s="4">
        <v>23053</v>
      </c>
      <c r="O373">
        <f t="shared" si="5"/>
        <v>-6.406034844039993E-3</v>
      </c>
    </row>
    <row r="374" spans="1:15" ht="14.25" customHeight="1" x14ac:dyDescent="0.3">
      <c r="A374" s="2">
        <v>46020</v>
      </c>
      <c r="B374" t="s">
        <v>15</v>
      </c>
      <c r="C374" s="3">
        <v>16600</v>
      </c>
      <c r="D374" s="3">
        <v>16682</v>
      </c>
      <c r="E374" s="3">
        <v>16499</v>
      </c>
      <c r="F374" s="3">
        <v>16596</v>
      </c>
      <c r="G374" s="3">
        <v>16552</v>
      </c>
      <c r="H374" s="3">
        <v>16542</v>
      </c>
      <c r="I374" s="3">
        <v>16576.16</v>
      </c>
      <c r="J374" s="3">
        <v>16720</v>
      </c>
      <c r="K374" s="3">
        <v>10750.1</v>
      </c>
      <c r="L374" s="4">
        <v>251796</v>
      </c>
      <c r="M374" s="3">
        <v>4173811450</v>
      </c>
      <c r="N374" s="4">
        <v>47443</v>
      </c>
      <c r="O374">
        <f t="shared" si="5"/>
        <v>-3.2537960954446853E-3</v>
      </c>
    </row>
    <row r="375" spans="1:15" ht="14.25" customHeight="1" x14ac:dyDescent="0.3">
      <c r="A375" s="2">
        <v>46021</v>
      </c>
      <c r="B375" t="s">
        <v>15</v>
      </c>
      <c r="C375" s="3">
        <v>16575</v>
      </c>
      <c r="D375" s="3">
        <v>16818</v>
      </c>
      <c r="E375" s="3">
        <v>16482</v>
      </c>
      <c r="F375" s="3">
        <v>16542</v>
      </c>
      <c r="G375" s="3">
        <v>16625</v>
      </c>
      <c r="H375" s="3">
        <v>16647</v>
      </c>
      <c r="I375" s="3">
        <v>16658.79</v>
      </c>
      <c r="J375" s="3">
        <v>16818</v>
      </c>
      <c r="K375" s="3">
        <v>10750.1</v>
      </c>
      <c r="L375" s="4">
        <v>1055843</v>
      </c>
      <c r="M375" s="3">
        <v>17589067242</v>
      </c>
      <c r="N375" s="4">
        <v>122607</v>
      </c>
      <c r="O375">
        <f t="shared" si="5"/>
        <v>6.3474791439970986E-3</v>
      </c>
    </row>
    <row r="376" spans="1:15" ht="14.25" customHeight="1" x14ac:dyDescent="0.3">
      <c r="A376" s="2">
        <v>46022</v>
      </c>
      <c r="B376" t="s">
        <v>15</v>
      </c>
      <c r="C376" s="3">
        <v>16581</v>
      </c>
      <c r="D376" s="3">
        <v>16776</v>
      </c>
      <c r="E376" s="3">
        <v>16581</v>
      </c>
      <c r="F376" s="3">
        <v>16647</v>
      </c>
      <c r="G376" s="3">
        <v>16688</v>
      </c>
      <c r="H376" s="3">
        <v>16697</v>
      </c>
      <c r="I376" s="3">
        <v>16682.77</v>
      </c>
      <c r="J376" s="3">
        <v>16818</v>
      </c>
      <c r="K376" s="3">
        <v>10750.1</v>
      </c>
      <c r="L376" s="4">
        <v>314427</v>
      </c>
      <c r="M376" s="3">
        <v>5245513521</v>
      </c>
      <c r="N376" s="4">
        <v>65813</v>
      </c>
      <c r="O376">
        <f t="shared" si="5"/>
        <v>3.003544182134919E-3</v>
      </c>
    </row>
    <row r="377" spans="1:15" ht="14.25" customHeight="1" x14ac:dyDescent="0.3">
      <c r="A377" s="2">
        <v>46023</v>
      </c>
      <c r="B377" t="s">
        <v>15</v>
      </c>
      <c r="C377" s="3">
        <v>16700</v>
      </c>
      <c r="D377" s="3">
        <v>16798</v>
      </c>
      <c r="E377" s="3">
        <v>16602</v>
      </c>
      <c r="F377" s="3">
        <v>16697</v>
      </c>
      <c r="G377" s="3">
        <v>16713</v>
      </c>
      <c r="H377" s="3">
        <v>16708</v>
      </c>
      <c r="I377" s="3">
        <v>16718.22</v>
      </c>
      <c r="J377" s="3">
        <v>16818</v>
      </c>
      <c r="K377" s="3">
        <v>10750.1</v>
      </c>
      <c r="L377" s="4">
        <v>171293</v>
      </c>
      <c r="M377" s="3">
        <v>2863714561</v>
      </c>
      <c r="N377" s="4">
        <v>39926</v>
      </c>
      <c r="O377">
        <f t="shared" si="5"/>
        <v>6.5880098221237347E-4</v>
      </c>
    </row>
    <row r="378" spans="1:15" ht="14.25" customHeight="1" x14ac:dyDescent="0.3">
      <c r="A378" s="2">
        <v>46024</v>
      </c>
      <c r="B378" t="s">
        <v>15</v>
      </c>
      <c r="C378" s="3">
        <v>16750</v>
      </c>
      <c r="D378" s="3">
        <v>16999</v>
      </c>
      <c r="E378" s="3">
        <v>16723</v>
      </c>
      <c r="F378" s="3">
        <v>16708</v>
      </c>
      <c r="G378" s="3">
        <v>16970</v>
      </c>
      <c r="H378" s="3">
        <v>16960</v>
      </c>
      <c r="I378" s="3">
        <v>16948.66</v>
      </c>
      <c r="J378" s="3">
        <v>16999</v>
      </c>
      <c r="K378" s="3">
        <v>10750.1</v>
      </c>
      <c r="L378" s="4">
        <v>388562</v>
      </c>
      <c r="M378" s="3">
        <v>6585606939</v>
      </c>
      <c r="N378" s="4">
        <v>61874</v>
      </c>
      <c r="O378">
        <f t="shared" si="5"/>
        <v>1.5082595163993297E-2</v>
      </c>
    </row>
    <row r="379" spans="1:15" ht="14.25" customHeight="1" x14ac:dyDescent="0.3">
      <c r="A379" s="2">
        <v>46027</v>
      </c>
      <c r="B379" t="s">
        <v>15</v>
      </c>
      <c r="C379" s="3">
        <v>17025</v>
      </c>
      <c r="D379" s="3">
        <v>17370</v>
      </c>
      <c r="E379" s="3">
        <v>16980</v>
      </c>
      <c r="F379" s="3">
        <v>16960</v>
      </c>
      <c r="G379" s="3">
        <v>17170</v>
      </c>
      <c r="H379" s="3">
        <v>17155</v>
      </c>
      <c r="I379" s="3">
        <v>17193.57</v>
      </c>
      <c r="J379" s="3">
        <v>17370</v>
      </c>
      <c r="K379" s="3">
        <v>11059.45</v>
      </c>
      <c r="L379" s="4">
        <v>305668</v>
      </c>
      <c r="M379" s="3">
        <v>5255523933</v>
      </c>
      <c r="N379" s="4">
        <v>50038</v>
      </c>
      <c r="O379">
        <f t="shared" si="5"/>
        <v>1.1497641509433961E-2</v>
      </c>
    </row>
    <row r="380" spans="1:15" ht="14.25" customHeight="1" x14ac:dyDescent="0.3">
      <c r="A380" s="2">
        <v>46028</v>
      </c>
      <c r="B380" t="s">
        <v>15</v>
      </c>
      <c r="C380" s="3">
        <v>17170</v>
      </c>
      <c r="D380" s="3">
        <v>17306</v>
      </c>
      <c r="E380" s="3">
        <v>17142</v>
      </c>
      <c r="F380" s="3">
        <v>17155</v>
      </c>
      <c r="G380" s="3">
        <v>17289</v>
      </c>
      <c r="H380" s="3">
        <v>17292</v>
      </c>
      <c r="I380" s="3">
        <v>17235.099999999999</v>
      </c>
      <c r="J380" s="3">
        <v>17370</v>
      </c>
      <c r="K380" s="3">
        <v>11059.45</v>
      </c>
      <c r="L380" s="4">
        <v>192182</v>
      </c>
      <c r="M380" s="3">
        <v>3312275529</v>
      </c>
      <c r="N380" s="4">
        <v>37949</v>
      </c>
      <c r="O380">
        <f t="shared" si="5"/>
        <v>7.9860099096473337E-3</v>
      </c>
    </row>
    <row r="381" spans="1:15" ht="14.25" customHeight="1" x14ac:dyDescent="0.3">
      <c r="A381" s="2">
        <v>46029</v>
      </c>
      <c r="B381" t="s">
        <v>15</v>
      </c>
      <c r="C381" s="3">
        <v>17230</v>
      </c>
      <c r="D381" s="3">
        <v>17249</v>
      </c>
      <c r="E381" s="3">
        <v>16524</v>
      </c>
      <c r="F381" s="3">
        <v>17292</v>
      </c>
      <c r="G381" s="3">
        <v>16806</v>
      </c>
      <c r="H381" s="3">
        <v>16809</v>
      </c>
      <c r="I381" s="3">
        <v>16840.8</v>
      </c>
      <c r="J381" s="3">
        <v>17370</v>
      </c>
      <c r="K381" s="3">
        <v>11059.45</v>
      </c>
      <c r="L381" s="4">
        <v>427979</v>
      </c>
      <c r="M381" s="3">
        <v>7207507067</v>
      </c>
      <c r="N381" s="4">
        <v>78385</v>
      </c>
      <c r="O381">
        <f t="shared" si="5"/>
        <v>-2.7931991672449689E-2</v>
      </c>
    </row>
    <row r="382" spans="1:15" ht="14.25" customHeight="1" x14ac:dyDescent="0.3">
      <c r="A382" s="2">
        <v>46030</v>
      </c>
      <c r="B382" t="s">
        <v>15</v>
      </c>
      <c r="C382" s="3">
        <v>16808</v>
      </c>
      <c r="D382" s="3">
        <v>16808</v>
      </c>
      <c r="E382" s="3">
        <v>16541</v>
      </c>
      <c r="F382" s="3">
        <v>16809</v>
      </c>
      <c r="G382" s="3">
        <v>16645</v>
      </c>
      <c r="H382" s="3">
        <v>16664</v>
      </c>
      <c r="I382" s="3">
        <v>16676.7</v>
      </c>
      <c r="J382" s="3">
        <v>17370</v>
      </c>
      <c r="K382" s="3">
        <v>11059.45</v>
      </c>
      <c r="L382" s="4">
        <v>238421</v>
      </c>
      <c r="M382" s="3">
        <v>3976075058</v>
      </c>
      <c r="N382" s="4">
        <v>48973</v>
      </c>
      <c r="O382">
        <f t="shared" si="5"/>
        <v>-8.6263311321315966E-3</v>
      </c>
    </row>
    <row r="383" spans="1:15" ht="14.25" customHeight="1" x14ac:dyDescent="0.3">
      <c r="A383" s="2">
        <v>46031</v>
      </c>
      <c r="B383" t="s">
        <v>15</v>
      </c>
      <c r="C383" s="3">
        <v>16663</v>
      </c>
      <c r="D383" s="3">
        <v>16704</v>
      </c>
      <c r="E383" s="3">
        <v>16417</v>
      </c>
      <c r="F383" s="3">
        <v>16664</v>
      </c>
      <c r="G383" s="3">
        <v>16500</v>
      </c>
      <c r="H383" s="3">
        <v>16501</v>
      </c>
      <c r="I383" s="3">
        <v>16512.7</v>
      </c>
      <c r="J383" s="3">
        <v>17370</v>
      </c>
      <c r="K383" s="3">
        <v>11059.45</v>
      </c>
      <c r="L383" s="4">
        <v>286302</v>
      </c>
      <c r="M383" s="3">
        <v>4727618716</v>
      </c>
      <c r="N383" s="4">
        <v>54207</v>
      </c>
      <c r="O383">
        <f t="shared" si="5"/>
        <v>-9.7815650504080656E-3</v>
      </c>
    </row>
    <row r="384" spans="1:15" ht="14.25" customHeight="1" x14ac:dyDescent="0.3">
      <c r="A384" s="2">
        <v>46034</v>
      </c>
      <c r="B384" t="s">
        <v>15</v>
      </c>
      <c r="C384" s="3">
        <v>16456</v>
      </c>
      <c r="D384" s="3">
        <v>16615</v>
      </c>
      <c r="E384" s="3">
        <v>16271</v>
      </c>
      <c r="F384" s="3">
        <v>16501</v>
      </c>
      <c r="G384" s="3">
        <v>16605</v>
      </c>
      <c r="H384" s="3">
        <v>16582</v>
      </c>
      <c r="I384" s="3">
        <v>16463.419999999998</v>
      </c>
      <c r="J384" s="3">
        <v>17370</v>
      </c>
      <c r="K384" s="3">
        <v>11059.45</v>
      </c>
      <c r="L384" s="4">
        <v>288686</v>
      </c>
      <c r="M384" s="3">
        <v>4752759953</v>
      </c>
      <c r="N384" s="4">
        <v>63050</v>
      </c>
      <c r="O384">
        <f t="shared" si="5"/>
        <v>4.9087934064602143E-3</v>
      </c>
    </row>
    <row r="385" spans="1:15" ht="14.25" customHeight="1" x14ac:dyDescent="0.3">
      <c r="A385" s="2">
        <v>46035</v>
      </c>
      <c r="B385" t="s">
        <v>15</v>
      </c>
      <c r="C385" s="3">
        <v>16662</v>
      </c>
      <c r="D385" s="3">
        <v>16726</v>
      </c>
      <c r="E385" s="3">
        <v>16293</v>
      </c>
      <c r="F385" s="3">
        <v>16582</v>
      </c>
      <c r="G385" s="3">
        <v>16387</v>
      </c>
      <c r="H385" s="3">
        <v>16426</v>
      </c>
      <c r="I385" s="3">
        <v>16444.13</v>
      </c>
      <c r="J385" s="3">
        <v>17370</v>
      </c>
      <c r="K385" s="3">
        <v>11059.45</v>
      </c>
      <c r="L385" s="4">
        <v>312205</v>
      </c>
      <c r="M385" s="3">
        <v>5133939553</v>
      </c>
      <c r="N385" s="4">
        <v>51846</v>
      </c>
      <c r="O385">
        <f t="shared" si="5"/>
        <v>-9.4077915812326614E-3</v>
      </c>
    </row>
    <row r="386" spans="1:15" ht="14.25" customHeight="1" x14ac:dyDescent="0.3">
      <c r="A386" s="2">
        <v>46036</v>
      </c>
      <c r="B386" t="s">
        <v>15</v>
      </c>
      <c r="C386" s="3">
        <v>16390</v>
      </c>
      <c r="D386" s="3">
        <v>16412</v>
      </c>
      <c r="E386" s="3">
        <v>16090</v>
      </c>
      <c r="F386" s="3">
        <v>16426</v>
      </c>
      <c r="G386" s="3">
        <v>16148</v>
      </c>
      <c r="H386" s="3">
        <v>16152</v>
      </c>
      <c r="I386" s="3">
        <v>16219.81</v>
      </c>
      <c r="J386" s="3">
        <v>17370</v>
      </c>
      <c r="K386" s="3">
        <v>11059.45</v>
      </c>
      <c r="L386" s="4">
        <v>240043</v>
      </c>
      <c r="M386" s="3">
        <v>3893451263</v>
      </c>
      <c r="N386" s="4">
        <v>45952</v>
      </c>
      <c r="O386">
        <f t="shared" si="5"/>
        <v>-1.6680871788627784E-2</v>
      </c>
    </row>
    <row r="387" spans="1:15" ht="14.25" customHeight="1" x14ac:dyDescent="0.3">
      <c r="A387" s="2">
        <v>46038</v>
      </c>
      <c r="B387" t="s">
        <v>15</v>
      </c>
      <c r="C387" s="3">
        <v>16000</v>
      </c>
      <c r="D387" s="3">
        <v>16197</v>
      </c>
      <c r="E387" s="3">
        <v>15770</v>
      </c>
      <c r="F387" s="3">
        <v>16152</v>
      </c>
      <c r="G387" s="3">
        <v>15877</v>
      </c>
      <c r="H387" s="3">
        <v>15859</v>
      </c>
      <c r="I387" s="3">
        <v>15946.07</v>
      </c>
      <c r="J387" s="3">
        <v>17370</v>
      </c>
      <c r="K387" s="3">
        <v>11059.45</v>
      </c>
      <c r="L387" s="4">
        <v>703056</v>
      </c>
      <c r="M387" s="3">
        <v>11210982404</v>
      </c>
      <c r="N387" s="4">
        <v>106310</v>
      </c>
      <c r="O387">
        <f t="shared" ref="O387:O450" si="6">(H387-H386)/H386</f>
        <v>-1.8140168400198119E-2</v>
      </c>
    </row>
    <row r="388" spans="1:15" ht="14.25" customHeight="1" x14ac:dyDescent="0.3">
      <c r="A388" s="2">
        <v>46041</v>
      </c>
      <c r="B388" t="s">
        <v>15</v>
      </c>
      <c r="C388" s="3">
        <v>15859</v>
      </c>
      <c r="D388" s="3">
        <v>16242</v>
      </c>
      <c r="E388" s="3">
        <v>15813</v>
      </c>
      <c r="F388" s="3">
        <v>15859</v>
      </c>
      <c r="G388" s="3">
        <v>16182</v>
      </c>
      <c r="H388" s="3">
        <v>16176</v>
      </c>
      <c r="I388" s="3">
        <v>16102.93</v>
      </c>
      <c r="J388" s="3">
        <v>17370</v>
      </c>
      <c r="K388" s="3">
        <v>11059.45</v>
      </c>
      <c r="L388" s="4">
        <v>385141</v>
      </c>
      <c r="M388" s="3">
        <v>6201899035</v>
      </c>
      <c r="N388" s="4">
        <v>61748</v>
      </c>
      <c r="O388">
        <f t="shared" si="6"/>
        <v>1.9988649977930512E-2</v>
      </c>
    </row>
    <row r="389" spans="1:15" ht="14.25" customHeight="1" x14ac:dyDescent="0.3">
      <c r="A389" s="2">
        <v>46042</v>
      </c>
      <c r="B389" t="s">
        <v>15</v>
      </c>
      <c r="C389" s="3">
        <v>16200</v>
      </c>
      <c r="D389" s="3">
        <v>16233</v>
      </c>
      <c r="E389" s="3">
        <v>15850</v>
      </c>
      <c r="F389" s="3">
        <v>16176</v>
      </c>
      <c r="G389" s="3">
        <v>15912</v>
      </c>
      <c r="H389" s="3">
        <v>15879</v>
      </c>
      <c r="I389" s="3">
        <v>15980.62</v>
      </c>
      <c r="J389" s="3">
        <v>17370</v>
      </c>
      <c r="K389" s="3">
        <v>11059.45</v>
      </c>
      <c r="L389" s="4">
        <v>289609</v>
      </c>
      <c r="M389" s="3">
        <v>4628130377</v>
      </c>
      <c r="N389" s="4">
        <v>65162</v>
      </c>
      <c r="O389">
        <f t="shared" si="6"/>
        <v>-1.8360534124629079E-2</v>
      </c>
    </row>
    <row r="390" spans="1:15" ht="14.25" customHeight="1" x14ac:dyDescent="0.3">
      <c r="A390" s="2">
        <v>46043</v>
      </c>
      <c r="B390" t="s">
        <v>15</v>
      </c>
      <c r="C390" s="3">
        <v>15675</v>
      </c>
      <c r="D390" s="3">
        <v>15973</v>
      </c>
      <c r="E390" s="3">
        <v>15675</v>
      </c>
      <c r="F390" s="3">
        <v>15879</v>
      </c>
      <c r="G390" s="3">
        <v>15821</v>
      </c>
      <c r="H390" s="3">
        <v>15770</v>
      </c>
      <c r="I390" s="3">
        <v>15785.48</v>
      </c>
      <c r="J390" s="3">
        <v>17370</v>
      </c>
      <c r="K390" s="3">
        <v>11059.45</v>
      </c>
      <c r="L390" s="4">
        <v>345738</v>
      </c>
      <c r="M390" s="3">
        <v>5457640419</v>
      </c>
      <c r="N390" s="4">
        <v>66372</v>
      </c>
      <c r="O390">
        <f t="shared" si="6"/>
        <v>-6.8644121166320298E-3</v>
      </c>
    </row>
    <row r="391" spans="1:15" ht="14.25" customHeight="1" x14ac:dyDescent="0.3">
      <c r="A391" s="2">
        <v>46044</v>
      </c>
      <c r="B391" t="s">
        <v>15</v>
      </c>
      <c r="C391" s="3">
        <v>15950</v>
      </c>
      <c r="D391" s="3">
        <v>15971</v>
      </c>
      <c r="E391" s="3">
        <v>15714</v>
      </c>
      <c r="F391" s="3">
        <v>15770</v>
      </c>
      <c r="G391" s="3">
        <v>15735</v>
      </c>
      <c r="H391" s="3">
        <v>15765</v>
      </c>
      <c r="I391" s="3">
        <v>15813.11</v>
      </c>
      <c r="J391" s="3">
        <v>17370</v>
      </c>
      <c r="K391" s="3">
        <v>11059.45</v>
      </c>
      <c r="L391" s="4">
        <v>352320</v>
      </c>
      <c r="M391" s="3">
        <v>5571273372</v>
      </c>
      <c r="N391" s="4">
        <v>57179</v>
      </c>
      <c r="O391">
        <f t="shared" si="6"/>
        <v>-3.170577045022194E-4</v>
      </c>
    </row>
    <row r="392" spans="1:15" ht="14.25" customHeight="1" x14ac:dyDescent="0.3">
      <c r="A392" s="2">
        <v>46045</v>
      </c>
      <c r="B392" t="s">
        <v>15</v>
      </c>
      <c r="C392" s="3">
        <v>15819</v>
      </c>
      <c r="D392" s="3">
        <v>15846</v>
      </c>
      <c r="E392" s="3">
        <v>15439</v>
      </c>
      <c r="F392" s="3">
        <v>15765</v>
      </c>
      <c r="G392" s="3">
        <v>15519</v>
      </c>
      <c r="H392" s="3">
        <v>15469</v>
      </c>
      <c r="I392" s="3">
        <v>15550.6</v>
      </c>
      <c r="J392" s="3">
        <v>17370</v>
      </c>
      <c r="K392" s="3">
        <v>11059.45</v>
      </c>
      <c r="L392" s="4">
        <v>338669</v>
      </c>
      <c r="M392" s="3">
        <v>5266505014</v>
      </c>
      <c r="N392" s="4">
        <v>70474</v>
      </c>
      <c r="O392">
        <f t="shared" si="6"/>
        <v>-1.8775769108785284E-2</v>
      </c>
    </row>
    <row r="393" spans="1:15" ht="14.25" customHeight="1" x14ac:dyDescent="0.3">
      <c r="A393" s="2">
        <v>46049</v>
      </c>
      <c r="B393" t="s">
        <v>15</v>
      </c>
      <c r="C393" s="3">
        <v>15300</v>
      </c>
      <c r="D393" s="3">
        <v>15387</v>
      </c>
      <c r="E393" s="3">
        <v>15013</v>
      </c>
      <c r="F393" s="3">
        <v>15469</v>
      </c>
      <c r="G393" s="3">
        <v>15237</v>
      </c>
      <c r="H393" s="3">
        <v>15245</v>
      </c>
      <c r="I393" s="3">
        <v>15185.7</v>
      </c>
      <c r="J393" s="3">
        <v>17370</v>
      </c>
      <c r="K393" s="3">
        <v>11059.45</v>
      </c>
      <c r="L393" s="4">
        <v>565768</v>
      </c>
      <c r="M393" s="3">
        <v>8591582244</v>
      </c>
      <c r="N393" s="4">
        <v>108384</v>
      </c>
      <c r="O393">
        <f t="shared" si="6"/>
        <v>-1.4480574051328464E-2</v>
      </c>
    </row>
    <row r="394" spans="1:15" ht="14.25" customHeight="1" x14ac:dyDescent="0.3">
      <c r="A394" s="2">
        <v>46050</v>
      </c>
      <c r="B394" t="s">
        <v>15</v>
      </c>
      <c r="C394" s="3">
        <v>15161</v>
      </c>
      <c r="D394" s="3">
        <v>15294</v>
      </c>
      <c r="E394" s="3">
        <v>14431</v>
      </c>
      <c r="F394" s="3">
        <v>15245</v>
      </c>
      <c r="G394" s="3">
        <v>14880</v>
      </c>
      <c r="H394" s="3">
        <v>14877</v>
      </c>
      <c r="I394" s="3">
        <v>14934.27</v>
      </c>
      <c r="J394" s="3">
        <v>17370</v>
      </c>
      <c r="K394" s="3">
        <v>11059.45</v>
      </c>
      <c r="L394" s="4">
        <v>1584483</v>
      </c>
      <c r="M394" s="3">
        <v>23663089539</v>
      </c>
      <c r="N394" s="4">
        <v>222111</v>
      </c>
      <c r="O394">
        <f t="shared" si="6"/>
        <v>-2.4139061987536896E-2</v>
      </c>
    </row>
    <row r="395" spans="1:15" ht="14.25" customHeight="1" x14ac:dyDescent="0.3">
      <c r="A395" s="2">
        <v>46051</v>
      </c>
      <c r="B395" t="s">
        <v>15</v>
      </c>
      <c r="C395" s="3">
        <v>14870</v>
      </c>
      <c r="D395" s="3">
        <v>14870</v>
      </c>
      <c r="E395" s="3">
        <v>14353</v>
      </c>
      <c r="F395" s="3">
        <v>14877</v>
      </c>
      <c r="G395" s="3">
        <v>14484</v>
      </c>
      <c r="H395" s="3">
        <v>14502</v>
      </c>
      <c r="I395" s="3">
        <v>14484.41</v>
      </c>
      <c r="J395" s="3">
        <v>17370</v>
      </c>
      <c r="K395" s="3">
        <v>11059.45</v>
      </c>
      <c r="L395" s="4">
        <v>716545</v>
      </c>
      <c r="M395" s="3">
        <v>10378728054</v>
      </c>
      <c r="N395" s="4">
        <v>130039</v>
      </c>
      <c r="O395">
        <f t="shared" si="6"/>
        <v>-2.5206694898164954E-2</v>
      </c>
    </row>
    <row r="396" spans="1:15" ht="14.25" customHeight="1" x14ac:dyDescent="0.3">
      <c r="A396" s="2">
        <v>46052</v>
      </c>
      <c r="B396" t="s">
        <v>15</v>
      </c>
      <c r="C396" s="3">
        <v>14502</v>
      </c>
      <c r="D396" s="3">
        <v>14679</v>
      </c>
      <c r="E396" s="3">
        <v>14300</v>
      </c>
      <c r="F396" s="3">
        <v>14502</v>
      </c>
      <c r="G396" s="3">
        <v>14580</v>
      </c>
      <c r="H396" s="3">
        <v>14599</v>
      </c>
      <c r="I396" s="3">
        <v>14496.54</v>
      </c>
      <c r="J396" s="3">
        <v>17370</v>
      </c>
      <c r="K396" s="3">
        <v>11059.45</v>
      </c>
      <c r="L396" s="4">
        <v>946509</v>
      </c>
      <c r="M396" s="3">
        <v>13721100934</v>
      </c>
      <c r="N396" s="4">
        <v>122639</v>
      </c>
      <c r="O396">
        <f t="shared" si="6"/>
        <v>6.6887325886084677E-3</v>
      </c>
    </row>
    <row r="397" spans="1:15" ht="14.25" customHeight="1" x14ac:dyDescent="0.3">
      <c r="A397" s="2">
        <v>46054</v>
      </c>
      <c r="B397" t="s">
        <v>15</v>
      </c>
      <c r="C397" s="3">
        <v>14650</v>
      </c>
      <c r="D397" s="3">
        <v>14796</v>
      </c>
      <c r="E397" s="3">
        <v>14136</v>
      </c>
      <c r="F397" s="3">
        <v>14599</v>
      </c>
      <c r="G397" s="3">
        <v>14185</v>
      </c>
      <c r="H397" s="3">
        <v>14199</v>
      </c>
      <c r="I397" s="3">
        <v>14416.1</v>
      </c>
      <c r="J397" s="3">
        <v>17370</v>
      </c>
      <c r="K397" s="3">
        <v>11059.45</v>
      </c>
      <c r="L397" s="4">
        <v>393678</v>
      </c>
      <c r="M397" s="3">
        <v>5675300263</v>
      </c>
      <c r="N397" s="4">
        <v>66751</v>
      </c>
      <c r="O397">
        <f t="shared" si="6"/>
        <v>-2.7399136927186794E-2</v>
      </c>
    </row>
    <row r="398" spans="1:15" ht="14.25" customHeight="1" x14ac:dyDescent="0.3">
      <c r="A398" s="2">
        <v>46055</v>
      </c>
      <c r="B398" t="s">
        <v>15</v>
      </c>
      <c r="C398" s="3">
        <v>14251</v>
      </c>
      <c r="D398" s="3">
        <v>14446</v>
      </c>
      <c r="E398" s="3">
        <v>14058</v>
      </c>
      <c r="F398" s="3">
        <v>14199</v>
      </c>
      <c r="G398" s="3">
        <v>14378</v>
      </c>
      <c r="H398" s="3">
        <v>14384</v>
      </c>
      <c r="I398" s="3">
        <v>14235.31</v>
      </c>
      <c r="J398" s="3">
        <v>17370</v>
      </c>
      <c r="K398" s="3">
        <v>11059.45</v>
      </c>
      <c r="L398" s="4">
        <v>621514</v>
      </c>
      <c r="M398" s="3">
        <v>8847446701</v>
      </c>
      <c r="N398" s="4">
        <v>128565</v>
      </c>
      <c r="O398">
        <f t="shared" si="6"/>
        <v>1.3029086555391225E-2</v>
      </c>
    </row>
    <row r="399" spans="1:15" ht="14.25" customHeight="1" x14ac:dyDescent="0.3">
      <c r="A399" s="2">
        <v>46056</v>
      </c>
      <c r="B399" t="s">
        <v>15</v>
      </c>
      <c r="C399" s="3">
        <v>15200</v>
      </c>
      <c r="D399" s="3">
        <v>15281</v>
      </c>
      <c r="E399" s="3">
        <v>14482</v>
      </c>
      <c r="F399" s="3">
        <v>14384</v>
      </c>
      <c r="G399" s="3">
        <v>14768</v>
      </c>
      <c r="H399" s="3">
        <v>14782</v>
      </c>
      <c r="I399" s="3">
        <v>14790.3</v>
      </c>
      <c r="J399" s="3">
        <v>17370</v>
      </c>
      <c r="K399" s="3">
        <v>11059.45</v>
      </c>
      <c r="L399" s="4">
        <v>638870</v>
      </c>
      <c r="M399" s="3">
        <v>9449080571</v>
      </c>
      <c r="N399" s="4">
        <v>102006</v>
      </c>
      <c r="O399">
        <f t="shared" si="6"/>
        <v>2.7669632925472747E-2</v>
      </c>
    </row>
    <row r="400" spans="1:15" ht="14.25" customHeight="1" x14ac:dyDescent="0.3">
      <c r="A400" s="2">
        <v>46057</v>
      </c>
      <c r="B400" t="s">
        <v>15</v>
      </c>
      <c r="C400" s="3">
        <v>14800</v>
      </c>
      <c r="D400" s="3">
        <v>15170</v>
      </c>
      <c r="E400" s="3">
        <v>14723</v>
      </c>
      <c r="F400" s="3">
        <v>14782</v>
      </c>
      <c r="G400" s="3">
        <v>15009</v>
      </c>
      <c r="H400" s="3">
        <v>15071</v>
      </c>
      <c r="I400" s="3">
        <v>15053.01</v>
      </c>
      <c r="J400" s="3">
        <v>17370</v>
      </c>
      <c r="K400" s="3">
        <v>11059.45</v>
      </c>
      <c r="L400" s="4">
        <v>451065</v>
      </c>
      <c r="M400" s="3">
        <v>6789885687</v>
      </c>
      <c r="N400" s="4">
        <v>69763</v>
      </c>
      <c r="O400">
        <f t="shared" si="6"/>
        <v>1.9550805033148422E-2</v>
      </c>
    </row>
    <row r="401" spans="1:15" ht="14.25" customHeight="1" x14ac:dyDescent="0.3">
      <c r="A401" s="2">
        <v>46058</v>
      </c>
      <c r="B401" t="s">
        <v>15</v>
      </c>
      <c r="C401" s="3">
        <v>15090</v>
      </c>
      <c r="D401" s="3">
        <v>15150</v>
      </c>
      <c r="E401" s="3">
        <v>14900</v>
      </c>
      <c r="F401" s="3">
        <v>15071</v>
      </c>
      <c r="G401" s="3">
        <v>15025</v>
      </c>
      <c r="H401" s="3">
        <v>15059</v>
      </c>
      <c r="I401" s="3">
        <v>15050.4</v>
      </c>
      <c r="J401" s="3">
        <v>17370</v>
      </c>
      <c r="K401" s="3">
        <v>11059.45</v>
      </c>
      <c r="L401" s="4">
        <v>374759</v>
      </c>
      <c r="M401" s="3">
        <v>5640273975</v>
      </c>
      <c r="N401" s="4">
        <v>54533</v>
      </c>
      <c r="O401">
        <f t="shared" si="6"/>
        <v>-7.962311724504014E-4</v>
      </c>
    </row>
    <row r="402" spans="1:15" ht="14.25" customHeight="1" x14ac:dyDescent="0.3">
      <c r="A402" s="2">
        <v>46059</v>
      </c>
      <c r="B402" t="s">
        <v>15</v>
      </c>
      <c r="C402" s="3">
        <v>15084</v>
      </c>
      <c r="D402" s="3">
        <v>15118</v>
      </c>
      <c r="E402" s="3">
        <v>14871</v>
      </c>
      <c r="F402" s="3">
        <v>15059</v>
      </c>
      <c r="G402" s="3">
        <v>14980</v>
      </c>
      <c r="H402" s="3">
        <v>14997</v>
      </c>
      <c r="I402" s="3">
        <v>14996.27</v>
      </c>
      <c r="J402" s="3">
        <v>17370</v>
      </c>
      <c r="K402" s="3">
        <v>11059.45</v>
      </c>
      <c r="L402" s="4">
        <v>276529</v>
      </c>
      <c r="M402" s="3">
        <v>4146904729</v>
      </c>
      <c r="N402" s="4">
        <v>49861</v>
      </c>
      <c r="O402">
        <f t="shared" si="6"/>
        <v>-4.1171392522743877E-3</v>
      </c>
    </row>
    <row r="403" spans="1:15" ht="14.25" customHeight="1" x14ac:dyDescent="0.3">
      <c r="A403" s="2">
        <v>46062</v>
      </c>
      <c r="B403" t="s">
        <v>15</v>
      </c>
      <c r="C403" s="3">
        <v>15125</v>
      </c>
      <c r="D403" s="3">
        <v>15126</v>
      </c>
      <c r="E403" s="3">
        <v>14905</v>
      </c>
      <c r="F403" s="3">
        <v>14997</v>
      </c>
      <c r="G403" s="3">
        <v>14980</v>
      </c>
      <c r="H403" s="3">
        <v>14978</v>
      </c>
      <c r="I403" s="3">
        <v>14982.94</v>
      </c>
      <c r="J403" s="3">
        <v>17370</v>
      </c>
      <c r="K403" s="3">
        <v>11059.45</v>
      </c>
      <c r="L403" s="4">
        <v>200034</v>
      </c>
      <c r="M403" s="3">
        <v>2997097685</v>
      </c>
      <c r="N403" s="4">
        <v>35504</v>
      </c>
      <c r="O403">
        <f t="shared" si="6"/>
        <v>-1.2669200506768021E-3</v>
      </c>
    </row>
    <row r="404" spans="1:15" ht="14.25" customHeight="1" x14ac:dyDescent="0.3">
      <c r="A404" s="2">
        <v>46063</v>
      </c>
      <c r="B404" t="s">
        <v>15</v>
      </c>
      <c r="C404" s="3">
        <v>14999</v>
      </c>
      <c r="D404" s="3">
        <v>15349</v>
      </c>
      <c r="E404" s="3">
        <v>14983</v>
      </c>
      <c r="F404" s="3">
        <v>14978</v>
      </c>
      <c r="G404" s="3">
        <v>15136</v>
      </c>
      <c r="H404" s="3">
        <v>15146</v>
      </c>
      <c r="I404" s="3">
        <v>15192.63</v>
      </c>
      <c r="J404" s="3">
        <v>17370</v>
      </c>
      <c r="K404" s="3">
        <v>11059.45</v>
      </c>
      <c r="L404" s="4">
        <v>360240</v>
      </c>
      <c r="M404" s="3">
        <v>5472993454</v>
      </c>
      <c r="N404" s="4">
        <v>54830</v>
      </c>
      <c r="O404">
        <f t="shared" si="6"/>
        <v>1.1216450794498598E-2</v>
      </c>
    </row>
    <row r="405" spans="1:15" ht="14.25" customHeight="1" x14ac:dyDescent="0.3">
      <c r="A405" s="2">
        <v>46064</v>
      </c>
      <c r="B405" t="s">
        <v>15</v>
      </c>
      <c r="C405" s="3">
        <v>15180</v>
      </c>
      <c r="D405" s="3">
        <v>15432</v>
      </c>
      <c r="E405" s="3">
        <v>15174</v>
      </c>
      <c r="F405" s="3">
        <v>15146</v>
      </c>
      <c r="G405" s="3">
        <v>15432</v>
      </c>
      <c r="H405" s="3">
        <v>15412</v>
      </c>
      <c r="I405" s="3">
        <v>15359.12</v>
      </c>
      <c r="J405" s="3">
        <v>17370</v>
      </c>
      <c r="K405" s="3">
        <v>11059.45</v>
      </c>
      <c r="L405" s="4">
        <v>360742</v>
      </c>
      <c r="M405" s="3">
        <v>5540678740</v>
      </c>
      <c r="N405" s="4">
        <v>56899</v>
      </c>
      <c r="O405">
        <f t="shared" si="6"/>
        <v>1.7562392710946784E-2</v>
      </c>
    </row>
    <row r="406" spans="1:15" ht="14.25" customHeight="1" x14ac:dyDescent="0.3">
      <c r="A406" s="2">
        <v>46065</v>
      </c>
      <c r="B406" t="s">
        <v>15</v>
      </c>
      <c r="C406" s="3">
        <v>15459</v>
      </c>
      <c r="D406" s="3">
        <v>15459</v>
      </c>
      <c r="E406" s="3">
        <v>15265</v>
      </c>
      <c r="F406" s="3">
        <v>15412</v>
      </c>
      <c r="G406" s="3">
        <v>15328</v>
      </c>
      <c r="H406" s="3">
        <v>15326</v>
      </c>
      <c r="I406" s="3">
        <v>15358.45</v>
      </c>
      <c r="J406" s="3">
        <v>17370</v>
      </c>
      <c r="K406" s="3">
        <v>11059.45</v>
      </c>
      <c r="L406" s="4">
        <v>201895</v>
      </c>
      <c r="M406" s="3">
        <v>3100794527</v>
      </c>
      <c r="N406" s="4">
        <v>33240</v>
      </c>
      <c r="O406">
        <f t="shared" si="6"/>
        <v>-5.5800674798858032E-3</v>
      </c>
    </row>
    <row r="407" spans="1:15" ht="14.25" customHeight="1" x14ac:dyDescent="0.3">
      <c r="A407" s="2">
        <v>46066</v>
      </c>
      <c r="B407" t="s">
        <v>15</v>
      </c>
      <c r="C407" s="3">
        <v>15309</v>
      </c>
      <c r="D407" s="3">
        <v>15434</v>
      </c>
      <c r="E407" s="3">
        <v>15190</v>
      </c>
      <c r="F407" s="3">
        <v>15326</v>
      </c>
      <c r="G407" s="3">
        <v>15211</v>
      </c>
      <c r="H407" s="3">
        <v>15237</v>
      </c>
      <c r="I407" s="3">
        <v>15307.46</v>
      </c>
      <c r="J407" s="3">
        <v>17370</v>
      </c>
      <c r="K407" s="3">
        <v>11059.45</v>
      </c>
      <c r="L407" s="4">
        <v>208645</v>
      </c>
      <c r="M407" s="3">
        <v>3193825032</v>
      </c>
      <c r="N407" s="4">
        <v>40029</v>
      </c>
      <c r="O407">
        <f t="shared" si="6"/>
        <v>-5.807125146809344E-3</v>
      </c>
    </row>
    <row r="408" spans="1:15" ht="14.25" customHeight="1" x14ac:dyDescent="0.3">
      <c r="A408" s="2">
        <v>46069</v>
      </c>
      <c r="B408" t="s">
        <v>15</v>
      </c>
      <c r="C408" s="3">
        <v>15237</v>
      </c>
      <c r="D408" s="3">
        <v>15299</v>
      </c>
      <c r="E408" s="3">
        <v>14960</v>
      </c>
      <c r="F408" s="3">
        <v>15237</v>
      </c>
      <c r="G408" s="3">
        <v>15064</v>
      </c>
      <c r="H408" s="3">
        <v>15051</v>
      </c>
      <c r="I408" s="3">
        <v>15060.95</v>
      </c>
      <c r="J408" s="3">
        <v>17370</v>
      </c>
      <c r="K408" s="3">
        <v>11059.45</v>
      </c>
      <c r="L408" s="4">
        <v>210175</v>
      </c>
      <c r="M408" s="3">
        <v>3165434454</v>
      </c>
      <c r="N408" s="4">
        <v>43446</v>
      </c>
      <c r="O408">
        <f t="shared" si="6"/>
        <v>-1.2207127387280961E-2</v>
      </c>
    </row>
    <row r="409" spans="1:15" ht="14.25" customHeight="1" x14ac:dyDescent="0.3">
      <c r="A409" s="2">
        <v>46070</v>
      </c>
      <c r="B409" t="s">
        <v>15</v>
      </c>
      <c r="C409" s="3">
        <v>15031</v>
      </c>
      <c r="D409" s="3">
        <v>15211</v>
      </c>
      <c r="E409" s="3">
        <v>14960</v>
      </c>
      <c r="F409" s="3">
        <v>15051</v>
      </c>
      <c r="G409" s="3">
        <v>15192</v>
      </c>
      <c r="H409" s="3">
        <v>15179</v>
      </c>
      <c r="I409" s="3">
        <v>15140.83</v>
      </c>
      <c r="J409" s="3">
        <v>17370</v>
      </c>
      <c r="K409" s="3">
        <v>11059.45</v>
      </c>
      <c r="L409" s="4">
        <v>166765</v>
      </c>
      <c r="M409" s="3">
        <v>2524960791</v>
      </c>
      <c r="N409" s="4">
        <v>35494</v>
      </c>
      <c r="O409">
        <f t="shared" si="6"/>
        <v>8.5044183110756753E-3</v>
      </c>
    </row>
    <row r="410" spans="1:15" ht="14.25" customHeight="1" x14ac:dyDescent="0.3">
      <c r="A410" s="2">
        <v>46071</v>
      </c>
      <c r="B410" t="s">
        <v>15</v>
      </c>
      <c r="C410" s="3">
        <v>15208</v>
      </c>
      <c r="D410" s="3">
        <v>15239</v>
      </c>
      <c r="E410" s="3">
        <v>15074</v>
      </c>
      <c r="F410" s="3">
        <v>15179</v>
      </c>
      <c r="G410" s="3">
        <v>15165</v>
      </c>
      <c r="H410" s="3">
        <v>15164</v>
      </c>
      <c r="I410" s="3">
        <v>15134.34</v>
      </c>
      <c r="J410" s="3">
        <v>17370</v>
      </c>
      <c r="K410" s="3">
        <v>11059.45</v>
      </c>
      <c r="L410" s="4">
        <v>280772</v>
      </c>
      <c r="M410" s="3">
        <v>4249297621</v>
      </c>
      <c r="N410" s="4">
        <v>50345</v>
      </c>
      <c r="O410">
        <f t="shared" si="6"/>
        <v>-9.8820739179129066E-4</v>
      </c>
    </row>
    <row r="411" spans="1:15" ht="14.25" customHeight="1" x14ac:dyDescent="0.3">
      <c r="A411" s="2">
        <v>46072</v>
      </c>
      <c r="B411" t="s">
        <v>15</v>
      </c>
      <c r="C411" s="3">
        <v>15163</v>
      </c>
      <c r="D411" s="3">
        <v>15279</v>
      </c>
      <c r="E411" s="3">
        <v>14853</v>
      </c>
      <c r="F411" s="3">
        <v>15164</v>
      </c>
      <c r="G411" s="3">
        <v>14880</v>
      </c>
      <c r="H411" s="3">
        <v>14903</v>
      </c>
      <c r="I411" s="3">
        <v>15075.27</v>
      </c>
      <c r="J411" s="3">
        <v>17370</v>
      </c>
      <c r="K411" s="3">
        <v>11059.45</v>
      </c>
      <c r="L411" s="4">
        <v>152788</v>
      </c>
      <c r="M411" s="3">
        <v>2303320080</v>
      </c>
      <c r="N411" s="4">
        <v>28480</v>
      </c>
      <c r="O411">
        <f t="shared" si="6"/>
        <v>-1.7211817462410975E-2</v>
      </c>
    </row>
    <row r="412" spans="1:15" ht="14.25" customHeight="1" x14ac:dyDescent="0.3">
      <c r="A412" s="2">
        <v>46073</v>
      </c>
      <c r="B412" t="s">
        <v>15</v>
      </c>
      <c r="C412" s="3">
        <v>14903</v>
      </c>
      <c r="D412" s="3">
        <v>15077</v>
      </c>
      <c r="E412" s="3">
        <v>14848</v>
      </c>
      <c r="F412" s="3">
        <v>14903</v>
      </c>
      <c r="G412" s="3">
        <v>15009</v>
      </c>
      <c r="H412" s="3">
        <v>14977</v>
      </c>
      <c r="I412" s="3">
        <v>14995.02</v>
      </c>
      <c r="J412" s="3">
        <v>17370</v>
      </c>
      <c r="K412" s="3">
        <v>11059.45</v>
      </c>
      <c r="L412" s="4">
        <v>515847</v>
      </c>
      <c r="M412" s="3">
        <v>7735135280</v>
      </c>
      <c r="N412" s="4">
        <v>57723</v>
      </c>
      <c r="O412">
        <f t="shared" si="6"/>
        <v>4.9654431993558347E-3</v>
      </c>
    </row>
    <row r="413" spans="1:15" ht="14.25" customHeight="1" x14ac:dyDescent="0.3">
      <c r="A413" s="2">
        <v>46076</v>
      </c>
      <c r="B413" t="s">
        <v>15</v>
      </c>
      <c r="C413" s="3">
        <v>15050</v>
      </c>
      <c r="D413" s="3">
        <v>15118</v>
      </c>
      <c r="E413" s="3">
        <v>14984</v>
      </c>
      <c r="F413" s="3">
        <v>14977</v>
      </c>
      <c r="G413" s="3">
        <v>15050</v>
      </c>
      <c r="H413" s="3">
        <v>15072</v>
      </c>
      <c r="I413" s="3">
        <v>15051.28</v>
      </c>
      <c r="J413" s="3">
        <v>17370</v>
      </c>
      <c r="K413" s="3">
        <v>11059.45</v>
      </c>
      <c r="L413" s="4">
        <v>242968</v>
      </c>
      <c r="M413" s="3">
        <v>3656979904</v>
      </c>
      <c r="N413" s="4">
        <v>46904</v>
      </c>
      <c r="O413">
        <f t="shared" si="6"/>
        <v>6.343059357681779E-3</v>
      </c>
    </row>
    <row r="414" spans="1:15" ht="14.25" customHeight="1" x14ac:dyDescent="0.3">
      <c r="A414" s="2">
        <v>46077</v>
      </c>
      <c r="B414" t="s">
        <v>15</v>
      </c>
      <c r="C414" s="3">
        <v>15001</v>
      </c>
      <c r="D414" s="3">
        <v>15062</v>
      </c>
      <c r="E414" s="3">
        <v>14904</v>
      </c>
      <c r="F414" s="3">
        <v>15072</v>
      </c>
      <c r="G414" s="3">
        <v>14920</v>
      </c>
      <c r="H414" s="3">
        <v>14926</v>
      </c>
      <c r="I414" s="3">
        <v>14945.34</v>
      </c>
      <c r="J414" s="3">
        <v>17370</v>
      </c>
      <c r="K414" s="3">
        <v>11059.45</v>
      </c>
      <c r="L414" s="4">
        <v>300991</v>
      </c>
      <c r="M414" s="3">
        <v>4498411456</v>
      </c>
      <c r="N414" s="4">
        <v>45176</v>
      </c>
      <c r="O414">
        <f t="shared" si="6"/>
        <v>-9.6868365180467087E-3</v>
      </c>
    </row>
    <row r="415" spans="1:15" ht="14.25" customHeight="1" x14ac:dyDescent="0.3">
      <c r="A415" s="2">
        <v>46078</v>
      </c>
      <c r="B415" t="s">
        <v>15</v>
      </c>
      <c r="C415" s="3">
        <v>14860</v>
      </c>
      <c r="D415" s="3">
        <v>15133</v>
      </c>
      <c r="E415" s="3">
        <v>14837</v>
      </c>
      <c r="F415" s="3">
        <v>14926</v>
      </c>
      <c r="G415" s="3">
        <v>15125</v>
      </c>
      <c r="H415" s="3">
        <v>15070</v>
      </c>
      <c r="I415" s="3">
        <v>15033.87</v>
      </c>
      <c r="J415" s="3">
        <v>17370</v>
      </c>
      <c r="K415" s="3">
        <v>11059.45</v>
      </c>
      <c r="L415" s="4">
        <v>356495</v>
      </c>
      <c r="M415" s="3">
        <v>5359501097</v>
      </c>
      <c r="N415" s="4">
        <v>44815</v>
      </c>
      <c r="O415">
        <f t="shared" si="6"/>
        <v>9.6475948010183565E-3</v>
      </c>
    </row>
    <row r="416" spans="1:15" ht="14.25" customHeight="1" x14ac:dyDescent="0.3">
      <c r="A416" s="2">
        <v>46079</v>
      </c>
      <c r="B416" t="s">
        <v>15</v>
      </c>
      <c r="C416" s="3">
        <v>15145</v>
      </c>
      <c r="D416" s="3">
        <v>15224</v>
      </c>
      <c r="E416" s="3">
        <v>15046</v>
      </c>
      <c r="F416" s="3">
        <v>15070</v>
      </c>
      <c r="G416" s="3">
        <v>15201</v>
      </c>
      <c r="H416" s="3">
        <v>15213</v>
      </c>
      <c r="I416" s="3">
        <v>15154.42</v>
      </c>
      <c r="J416" s="3">
        <v>17370</v>
      </c>
      <c r="K416" s="3">
        <v>11059.45</v>
      </c>
      <c r="L416" s="4">
        <v>308213</v>
      </c>
      <c r="M416" s="3">
        <v>4670789597</v>
      </c>
      <c r="N416" s="4">
        <v>48205</v>
      </c>
      <c r="O416">
        <f t="shared" si="6"/>
        <v>9.4890510948905105E-3</v>
      </c>
    </row>
    <row r="417" spans="1:15" ht="14.25" customHeight="1" x14ac:dyDescent="0.3">
      <c r="A417" s="2">
        <v>46080</v>
      </c>
      <c r="B417" t="s">
        <v>15</v>
      </c>
      <c r="C417" s="3">
        <v>15110</v>
      </c>
      <c r="D417" s="3">
        <v>15192</v>
      </c>
      <c r="E417" s="3">
        <v>14804</v>
      </c>
      <c r="F417" s="3">
        <v>15213</v>
      </c>
      <c r="G417" s="3">
        <v>14832</v>
      </c>
      <c r="H417" s="3">
        <v>14857</v>
      </c>
      <c r="I417" s="3">
        <v>14915.29</v>
      </c>
      <c r="J417" s="3">
        <v>17370</v>
      </c>
      <c r="K417" s="3">
        <v>11059.45</v>
      </c>
      <c r="L417" s="4">
        <v>478164</v>
      </c>
      <c r="M417" s="3">
        <v>7131956751</v>
      </c>
      <c r="N417" s="4">
        <v>59251</v>
      </c>
      <c r="O417">
        <f t="shared" si="6"/>
        <v>-2.3401038585420364E-2</v>
      </c>
    </row>
    <row r="418" spans="1:15" ht="14.25" customHeight="1" x14ac:dyDescent="0.3">
      <c r="A418" s="2">
        <v>46083</v>
      </c>
      <c r="B418" t="s">
        <v>15</v>
      </c>
      <c r="C418" s="3">
        <v>14407</v>
      </c>
      <c r="D418" s="3">
        <v>14684</v>
      </c>
      <c r="E418" s="3">
        <v>14204</v>
      </c>
      <c r="F418" s="3">
        <v>14857</v>
      </c>
      <c r="G418" s="3">
        <v>14368</v>
      </c>
      <c r="H418" s="3">
        <v>14388</v>
      </c>
      <c r="I418" s="3">
        <v>14400.8</v>
      </c>
      <c r="J418" s="3">
        <v>17370</v>
      </c>
      <c r="K418" s="3">
        <v>11059.45</v>
      </c>
      <c r="L418" s="4">
        <v>603744</v>
      </c>
      <c r="M418" s="3">
        <v>8694396120</v>
      </c>
      <c r="N418" s="4">
        <v>122558</v>
      </c>
      <c r="O418">
        <f t="shared" si="6"/>
        <v>-3.1567611227031028E-2</v>
      </c>
    </row>
    <row r="419" spans="1:15" ht="14.25" customHeight="1" x14ac:dyDescent="0.3">
      <c r="A419" s="2">
        <v>46085</v>
      </c>
      <c r="B419" t="s">
        <v>15</v>
      </c>
      <c r="C419" s="3">
        <v>14150</v>
      </c>
      <c r="D419" s="3">
        <v>14184</v>
      </c>
      <c r="E419" s="3">
        <v>13794</v>
      </c>
      <c r="F419" s="3">
        <v>14388</v>
      </c>
      <c r="G419" s="3">
        <v>14167</v>
      </c>
      <c r="H419" s="3">
        <v>14158</v>
      </c>
      <c r="I419" s="3">
        <v>14005.38</v>
      </c>
      <c r="J419" s="3">
        <v>17370</v>
      </c>
      <c r="K419" s="3">
        <v>11059.45</v>
      </c>
      <c r="L419" s="4">
        <v>710366</v>
      </c>
      <c r="M419" s="3">
        <v>9948946240</v>
      </c>
      <c r="N419" s="4">
        <v>155582</v>
      </c>
      <c r="O419">
        <f t="shared" si="6"/>
        <v>-1.5985543508479288E-2</v>
      </c>
    </row>
    <row r="420" spans="1:15" ht="14.25" customHeight="1" x14ac:dyDescent="0.3">
      <c r="A420" s="2">
        <v>46086</v>
      </c>
      <c r="B420" t="s">
        <v>15</v>
      </c>
      <c r="C420" s="3">
        <v>14300</v>
      </c>
      <c r="D420" s="3">
        <v>14570</v>
      </c>
      <c r="E420" s="3">
        <v>14081</v>
      </c>
      <c r="F420" s="3">
        <v>14158</v>
      </c>
      <c r="G420" s="3">
        <v>14471</v>
      </c>
      <c r="H420" s="3">
        <v>14415</v>
      </c>
      <c r="I420" s="3">
        <v>14273.13</v>
      </c>
      <c r="J420" s="3">
        <v>17370</v>
      </c>
      <c r="K420" s="3">
        <v>11059.45</v>
      </c>
      <c r="L420" s="4">
        <v>448650</v>
      </c>
      <c r="M420" s="3">
        <v>6403638189</v>
      </c>
      <c r="N420" s="4">
        <v>64922</v>
      </c>
      <c r="O420">
        <f t="shared" si="6"/>
        <v>1.8152281395677355E-2</v>
      </c>
    </row>
    <row r="421" spans="1:15" ht="14.25" customHeight="1" x14ac:dyDescent="0.3">
      <c r="A421" s="2">
        <v>46087</v>
      </c>
      <c r="B421" t="s">
        <v>15</v>
      </c>
      <c r="C421" s="3">
        <v>14339</v>
      </c>
      <c r="D421" s="3">
        <v>14466</v>
      </c>
      <c r="E421" s="3">
        <v>14115</v>
      </c>
      <c r="F421" s="3">
        <v>14415</v>
      </c>
      <c r="G421" s="3">
        <v>14139</v>
      </c>
      <c r="H421" s="3">
        <v>14159</v>
      </c>
      <c r="I421" s="3">
        <v>14290.27</v>
      </c>
      <c r="J421" s="3">
        <v>17370</v>
      </c>
      <c r="K421" s="3">
        <v>11059.45</v>
      </c>
      <c r="L421" s="4">
        <v>390629</v>
      </c>
      <c r="M421" s="3">
        <v>5582195243</v>
      </c>
      <c r="N421" s="4">
        <v>57055</v>
      </c>
      <c r="O421">
        <f t="shared" si="6"/>
        <v>-1.7759278529309745E-2</v>
      </c>
    </row>
    <row r="422" spans="1:15" ht="14.25" customHeight="1" x14ac:dyDescent="0.3">
      <c r="A422" s="2">
        <v>46090</v>
      </c>
      <c r="B422" t="s">
        <v>15</v>
      </c>
      <c r="C422" s="3">
        <v>13800</v>
      </c>
      <c r="D422" s="3">
        <v>13800</v>
      </c>
      <c r="E422" s="3">
        <v>13365</v>
      </c>
      <c r="F422" s="3">
        <v>14159</v>
      </c>
      <c r="G422" s="3">
        <v>13498</v>
      </c>
      <c r="H422" s="3">
        <v>13508</v>
      </c>
      <c r="I422" s="3">
        <v>13479.15</v>
      </c>
      <c r="J422" s="3">
        <v>17370</v>
      </c>
      <c r="K422" s="3">
        <v>11059.45</v>
      </c>
      <c r="L422" s="4">
        <v>676224</v>
      </c>
      <c r="M422" s="3">
        <v>9114922116</v>
      </c>
      <c r="N422" s="4">
        <v>119817</v>
      </c>
      <c r="O422">
        <f t="shared" si="6"/>
        <v>-4.5977823292605413E-2</v>
      </c>
    </row>
    <row r="423" spans="1:15" ht="14.25" customHeight="1" x14ac:dyDescent="0.3">
      <c r="A423" s="2">
        <v>46091</v>
      </c>
      <c r="B423" t="s">
        <v>15</v>
      </c>
      <c r="C423" s="3">
        <v>13721</v>
      </c>
      <c r="D423" s="3">
        <v>13909</v>
      </c>
      <c r="E423" s="3">
        <v>13505</v>
      </c>
      <c r="F423" s="3">
        <v>13508</v>
      </c>
      <c r="G423" s="3">
        <v>13888</v>
      </c>
      <c r="H423" s="3">
        <v>13867</v>
      </c>
      <c r="I423" s="3">
        <v>13715.57</v>
      </c>
      <c r="J423" s="3">
        <v>17370</v>
      </c>
      <c r="K423" s="3">
        <v>11059.45</v>
      </c>
      <c r="L423" s="4">
        <v>353715</v>
      </c>
      <c r="M423" s="3">
        <v>4851403778</v>
      </c>
      <c r="N423" s="4">
        <v>78422</v>
      </c>
      <c r="O423">
        <f t="shared" si="6"/>
        <v>2.6576843352087653E-2</v>
      </c>
    </row>
    <row r="424" spans="1:15" ht="14.25" customHeight="1" x14ac:dyDescent="0.3">
      <c r="A424" s="2">
        <v>46092</v>
      </c>
      <c r="B424" t="s">
        <v>15</v>
      </c>
      <c r="C424" s="3">
        <v>13850</v>
      </c>
      <c r="D424" s="3">
        <v>13948</v>
      </c>
      <c r="E424" s="3">
        <v>13441</v>
      </c>
      <c r="F424" s="3">
        <v>13867</v>
      </c>
      <c r="G424" s="3">
        <v>13500</v>
      </c>
      <c r="H424" s="3">
        <v>13497</v>
      </c>
      <c r="I424" s="3">
        <v>13622</v>
      </c>
      <c r="J424" s="3">
        <v>17370</v>
      </c>
      <c r="K424" s="3">
        <v>11059.45</v>
      </c>
      <c r="L424" s="4">
        <v>392182</v>
      </c>
      <c r="M424" s="3">
        <v>5342303410</v>
      </c>
      <c r="N424" s="4">
        <v>56788</v>
      </c>
      <c r="O424">
        <f t="shared" si="6"/>
        <v>-2.6682050912237687E-2</v>
      </c>
    </row>
    <row r="425" spans="1:15" ht="14.25" customHeight="1" x14ac:dyDescent="0.3">
      <c r="A425" s="2">
        <v>46093</v>
      </c>
      <c r="B425" t="s">
        <v>15</v>
      </c>
      <c r="C425" s="3">
        <v>13430</v>
      </c>
      <c r="D425" s="3">
        <v>13430</v>
      </c>
      <c r="E425" s="3">
        <v>12966</v>
      </c>
      <c r="F425" s="3">
        <v>13497</v>
      </c>
      <c r="G425" s="3">
        <v>12995</v>
      </c>
      <c r="H425" s="3">
        <v>13011</v>
      </c>
      <c r="I425" s="3">
        <v>13132.22</v>
      </c>
      <c r="J425" s="3">
        <v>17370</v>
      </c>
      <c r="K425" s="3">
        <v>11059.45</v>
      </c>
      <c r="L425" s="4">
        <v>544683</v>
      </c>
      <c r="M425" s="3">
        <v>7152895645</v>
      </c>
      <c r="N425" s="4">
        <v>115381</v>
      </c>
      <c r="O425">
        <f t="shared" si="6"/>
        <v>-3.6008001778172927E-2</v>
      </c>
    </row>
    <row r="426" spans="1:15" ht="14.25" customHeight="1" x14ac:dyDescent="0.3">
      <c r="A426" s="2">
        <v>46094</v>
      </c>
      <c r="B426" t="s">
        <v>15</v>
      </c>
      <c r="C426" s="3">
        <v>12899</v>
      </c>
      <c r="D426" s="3">
        <v>12962</v>
      </c>
      <c r="E426" s="3">
        <v>12483</v>
      </c>
      <c r="F426" s="3">
        <v>13011</v>
      </c>
      <c r="G426" s="3">
        <v>12615</v>
      </c>
      <c r="H426" s="3">
        <v>12591</v>
      </c>
      <c r="I426" s="3">
        <v>12626.25</v>
      </c>
      <c r="J426" s="3">
        <v>17370</v>
      </c>
      <c r="K426" s="3">
        <v>11059.45</v>
      </c>
      <c r="L426" s="4">
        <v>939594</v>
      </c>
      <c r="M426" s="3">
        <v>11863552101</v>
      </c>
      <c r="N426" s="4">
        <v>141518</v>
      </c>
      <c r="O426">
        <f t="shared" si="6"/>
        <v>-3.2280378141572516E-2</v>
      </c>
    </row>
    <row r="427" spans="1:15" ht="14.25" customHeight="1" x14ac:dyDescent="0.3">
      <c r="A427" s="2">
        <v>46097</v>
      </c>
      <c r="B427" t="s">
        <v>15</v>
      </c>
      <c r="C427" s="3">
        <v>12532</v>
      </c>
      <c r="D427" s="3">
        <v>12874</v>
      </c>
      <c r="E427" s="3">
        <v>12400</v>
      </c>
      <c r="F427" s="3">
        <v>12591</v>
      </c>
      <c r="G427" s="3">
        <v>12740</v>
      </c>
      <c r="H427" s="3">
        <v>12757</v>
      </c>
      <c r="I427" s="3">
        <v>12646.14</v>
      </c>
      <c r="J427" s="3">
        <v>17370</v>
      </c>
      <c r="K427" s="3">
        <v>11059.45</v>
      </c>
      <c r="L427" s="4">
        <v>1416170</v>
      </c>
      <c r="M427" s="3">
        <v>17909078298</v>
      </c>
      <c r="N427" s="4">
        <v>191444</v>
      </c>
      <c r="O427">
        <f t="shared" si="6"/>
        <v>1.3184020331983163E-2</v>
      </c>
    </row>
    <row r="428" spans="1:15" ht="14.25" customHeight="1" x14ac:dyDescent="0.3">
      <c r="A428" s="2">
        <v>46098</v>
      </c>
      <c r="B428" t="s">
        <v>15</v>
      </c>
      <c r="C428" s="3">
        <v>12790</v>
      </c>
      <c r="D428" s="3">
        <v>13100</v>
      </c>
      <c r="E428" s="3">
        <v>12686</v>
      </c>
      <c r="F428" s="3">
        <v>12757</v>
      </c>
      <c r="G428" s="3">
        <v>13010</v>
      </c>
      <c r="H428" s="3">
        <v>12972</v>
      </c>
      <c r="I428" s="3">
        <v>12921.29</v>
      </c>
      <c r="J428" s="3">
        <v>17370</v>
      </c>
      <c r="K428" s="3">
        <v>11059.45</v>
      </c>
      <c r="L428" s="4">
        <v>1178941</v>
      </c>
      <c r="M428" s="3">
        <v>15233442744</v>
      </c>
      <c r="N428" s="4">
        <v>152137</v>
      </c>
      <c r="O428">
        <f t="shared" si="6"/>
        <v>1.6853492200360587E-2</v>
      </c>
    </row>
    <row r="429" spans="1:15" ht="14.25" customHeight="1" x14ac:dyDescent="0.3">
      <c r="A429" s="2">
        <v>46099</v>
      </c>
      <c r="B429" t="s">
        <v>15</v>
      </c>
      <c r="C429" s="3">
        <v>13100</v>
      </c>
      <c r="D429" s="3">
        <v>13176</v>
      </c>
      <c r="E429" s="3">
        <v>13015</v>
      </c>
      <c r="F429" s="3">
        <v>12972</v>
      </c>
      <c r="G429" s="3">
        <v>13043</v>
      </c>
      <c r="H429" s="3">
        <v>13048</v>
      </c>
      <c r="I429" s="3">
        <v>13099.71</v>
      </c>
      <c r="J429" s="3">
        <v>17370</v>
      </c>
      <c r="K429" s="3">
        <v>11059.45</v>
      </c>
      <c r="L429" s="4">
        <v>458827</v>
      </c>
      <c r="M429" s="3">
        <v>6010501399</v>
      </c>
      <c r="N429" s="4">
        <v>67636</v>
      </c>
      <c r="O429">
        <f t="shared" si="6"/>
        <v>5.8587727412889304E-3</v>
      </c>
    </row>
    <row r="430" spans="1:15" ht="14.25" customHeight="1" x14ac:dyDescent="0.3">
      <c r="A430" s="2">
        <v>46100</v>
      </c>
      <c r="B430" t="s">
        <v>15</v>
      </c>
      <c r="C430" s="3">
        <v>12768</v>
      </c>
      <c r="D430" s="3">
        <v>12838</v>
      </c>
      <c r="E430" s="3">
        <v>12505</v>
      </c>
      <c r="F430" s="3">
        <v>13048</v>
      </c>
      <c r="G430" s="3">
        <v>12600</v>
      </c>
      <c r="H430" s="3">
        <v>12599</v>
      </c>
      <c r="I430" s="3">
        <v>12632.36</v>
      </c>
      <c r="J430" s="3">
        <v>17370</v>
      </c>
      <c r="K430" s="3">
        <v>11059.45</v>
      </c>
      <c r="L430" s="4">
        <v>569346</v>
      </c>
      <c r="M430" s="3">
        <v>7192181948</v>
      </c>
      <c r="N430" s="4">
        <v>88799</v>
      </c>
      <c r="O430">
        <f t="shared" si="6"/>
        <v>-3.4411404046597177E-2</v>
      </c>
    </row>
    <row r="431" spans="1:15" ht="14.25" customHeight="1" x14ac:dyDescent="0.3">
      <c r="A431" s="2">
        <v>46101</v>
      </c>
      <c r="B431" t="s">
        <v>15</v>
      </c>
      <c r="C431" s="3">
        <v>12605</v>
      </c>
      <c r="D431" s="3">
        <v>12756</v>
      </c>
      <c r="E431" s="3">
        <v>12556</v>
      </c>
      <c r="F431" s="3">
        <v>12599</v>
      </c>
      <c r="G431" s="3">
        <v>12615</v>
      </c>
      <c r="H431" s="3">
        <v>12601</v>
      </c>
      <c r="I431" s="3">
        <v>12642.81</v>
      </c>
      <c r="J431" s="3">
        <v>17370</v>
      </c>
      <c r="K431" s="3">
        <v>11059.45</v>
      </c>
      <c r="L431" s="4">
        <v>725481</v>
      </c>
      <c r="M431" s="3">
        <v>9172117297</v>
      </c>
      <c r="N431" s="4">
        <v>70688</v>
      </c>
      <c r="O431">
        <f t="shared" si="6"/>
        <v>1.5874275736169538E-4</v>
      </c>
    </row>
    <row r="432" spans="1:15" ht="14.25" customHeight="1" x14ac:dyDescent="0.3">
      <c r="A432" s="2">
        <v>46104</v>
      </c>
      <c r="B432" t="s">
        <v>15</v>
      </c>
      <c r="C432" s="3">
        <v>12501</v>
      </c>
      <c r="D432" s="3">
        <v>12501</v>
      </c>
      <c r="E432" s="3">
        <v>12278</v>
      </c>
      <c r="F432" s="3">
        <v>12601</v>
      </c>
      <c r="G432" s="3">
        <v>12309</v>
      </c>
      <c r="H432" s="3">
        <v>12355</v>
      </c>
      <c r="I432" s="3">
        <v>12372.93</v>
      </c>
      <c r="J432" s="3">
        <v>17370</v>
      </c>
      <c r="K432" s="3">
        <v>11059.45</v>
      </c>
      <c r="L432" s="4">
        <v>517985</v>
      </c>
      <c r="M432" s="3">
        <v>6408991130</v>
      </c>
      <c r="N432" s="4">
        <v>86813</v>
      </c>
      <c r="O432">
        <f t="shared" si="6"/>
        <v>-1.952226013808428E-2</v>
      </c>
    </row>
    <row r="433" spans="1:15" ht="14.25" customHeight="1" x14ac:dyDescent="0.3">
      <c r="A433" s="2">
        <v>46105</v>
      </c>
      <c r="B433" t="s">
        <v>15</v>
      </c>
      <c r="C433" s="3">
        <v>12600</v>
      </c>
      <c r="D433" s="3">
        <v>12650</v>
      </c>
      <c r="E433" s="3">
        <v>12332</v>
      </c>
      <c r="F433" s="3">
        <v>12355</v>
      </c>
      <c r="G433" s="3">
        <v>12490</v>
      </c>
      <c r="H433" s="3">
        <v>12464</v>
      </c>
      <c r="I433" s="3">
        <v>12472.33</v>
      </c>
      <c r="J433" s="3">
        <v>17370</v>
      </c>
      <c r="K433" s="3">
        <v>11059.45</v>
      </c>
      <c r="L433" s="4">
        <v>583568</v>
      </c>
      <c r="M433" s="3">
        <v>7278452524</v>
      </c>
      <c r="N433" s="4">
        <v>78330</v>
      </c>
      <c r="O433">
        <f t="shared" si="6"/>
        <v>8.8223391339538656E-3</v>
      </c>
    </row>
    <row r="434" spans="1:15" ht="14.25" customHeight="1" x14ac:dyDescent="0.3">
      <c r="A434" s="2">
        <v>46106</v>
      </c>
      <c r="B434" t="s">
        <v>15</v>
      </c>
      <c r="C434" s="3">
        <v>12549</v>
      </c>
      <c r="D434" s="3">
        <v>12780</v>
      </c>
      <c r="E434" s="3">
        <v>12506</v>
      </c>
      <c r="F434" s="3">
        <v>12464</v>
      </c>
      <c r="G434" s="3">
        <v>12701</v>
      </c>
      <c r="H434" s="3">
        <v>12711</v>
      </c>
      <c r="I434" s="3">
        <v>12703.75</v>
      </c>
      <c r="J434" s="3">
        <v>17370</v>
      </c>
      <c r="K434" s="3">
        <v>11059.45</v>
      </c>
      <c r="L434" s="4">
        <v>540649</v>
      </c>
      <c r="M434" s="3">
        <v>6868269846</v>
      </c>
      <c r="N434" s="4">
        <v>93885</v>
      </c>
      <c r="O434">
        <f t="shared" si="6"/>
        <v>1.9817073170731708E-2</v>
      </c>
    </row>
    <row r="435" spans="1:15" ht="14.25" customHeight="1" x14ac:dyDescent="0.3">
      <c r="A435" s="2">
        <v>46108</v>
      </c>
      <c r="B435" t="s">
        <v>15</v>
      </c>
      <c r="C435" s="3">
        <v>12626</v>
      </c>
      <c r="D435" s="3">
        <v>12646</v>
      </c>
      <c r="E435" s="3">
        <v>12342</v>
      </c>
      <c r="F435" s="3">
        <v>12711</v>
      </c>
      <c r="G435" s="3">
        <v>12411</v>
      </c>
      <c r="H435" s="3">
        <v>12389</v>
      </c>
      <c r="I435" s="3">
        <v>12416.08</v>
      </c>
      <c r="J435" s="3">
        <v>17370</v>
      </c>
      <c r="K435" s="3">
        <v>11059.45</v>
      </c>
      <c r="L435" s="4">
        <v>775339</v>
      </c>
      <c r="M435" s="3">
        <v>9626673228</v>
      </c>
      <c r="N435" s="4">
        <v>125990</v>
      </c>
      <c r="O435">
        <f t="shared" si="6"/>
        <v>-2.5332389269136966E-2</v>
      </c>
    </row>
    <row r="436" spans="1:15" ht="14.25" customHeight="1" x14ac:dyDescent="0.3">
      <c r="A436" s="2">
        <v>46111</v>
      </c>
      <c r="B436" t="s">
        <v>15</v>
      </c>
      <c r="C436" s="3">
        <v>12300</v>
      </c>
      <c r="D436" s="3">
        <v>12424</v>
      </c>
      <c r="E436" s="3">
        <v>12201</v>
      </c>
      <c r="F436" s="3">
        <v>12389</v>
      </c>
      <c r="G436" s="3">
        <v>12250</v>
      </c>
      <c r="H436" s="3">
        <v>12306</v>
      </c>
      <c r="I436" s="3">
        <v>12324.97</v>
      </c>
      <c r="J436" s="3">
        <v>17370</v>
      </c>
      <c r="K436" s="3">
        <v>11059.45</v>
      </c>
      <c r="L436" s="4">
        <v>635675</v>
      </c>
      <c r="M436" s="3">
        <v>7834673523</v>
      </c>
      <c r="N436" s="4">
        <v>74933</v>
      </c>
      <c r="O436">
        <f t="shared" si="6"/>
        <v>-6.699491484381306E-3</v>
      </c>
    </row>
    <row r="437" spans="1:15" ht="14.25" customHeight="1" x14ac:dyDescent="0.3">
      <c r="A437" s="2">
        <v>46113</v>
      </c>
      <c r="B437" t="s">
        <v>15</v>
      </c>
      <c r="C437" s="3">
        <v>12900</v>
      </c>
      <c r="D437" s="3">
        <v>12900</v>
      </c>
      <c r="E437" s="3">
        <v>12333</v>
      </c>
      <c r="F437" s="3">
        <v>12306</v>
      </c>
      <c r="G437" s="3">
        <v>12500</v>
      </c>
      <c r="H437" s="3">
        <v>12509</v>
      </c>
      <c r="I437" s="3">
        <v>12530.46</v>
      </c>
      <c r="J437" s="3">
        <v>17370</v>
      </c>
      <c r="K437" s="3">
        <v>11059.45</v>
      </c>
      <c r="L437" s="4">
        <v>501882</v>
      </c>
      <c r="M437" s="3">
        <v>6288814114</v>
      </c>
      <c r="N437" s="4">
        <v>78265</v>
      </c>
      <c r="O437">
        <f t="shared" si="6"/>
        <v>1.6496018202502846E-2</v>
      </c>
    </row>
    <row r="438" spans="1:15" ht="14.25" customHeight="1" x14ac:dyDescent="0.3">
      <c r="A438" s="2">
        <v>46114</v>
      </c>
      <c r="B438" t="s">
        <v>15</v>
      </c>
      <c r="C438" s="3">
        <v>12389</v>
      </c>
      <c r="D438" s="3">
        <v>12673</v>
      </c>
      <c r="E438" s="3">
        <v>12239</v>
      </c>
      <c r="F438" s="3">
        <v>12509</v>
      </c>
      <c r="G438" s="3">
        <v>12590</v>
      </c>
      <c r="H438" s="3">
        <v>12631</v>
      </c>
      <c r="I438" s="3">
        <v>12463.05</v>
      </c>
      <c r="J438" s="3">
        <v>17370</v>
      </c>
      <c r="K438" s="3">
        <v>11059.45</v>
      </c>
      <c r="L438" s="4">
        <v>438227</v>
      </c>
      <c r="M438" s="3">
        <v>5461644100</v>
      </c>
      <c r="N438" s="4">
        <v>75593</v>
      </c>
      <c r="O438">
        <f t="shared" si="6"/>
        <v>9.7529778559437199E-3</v>
      </c>
    </row>
    <row r="439" spans="1:15" ht="14.25" customHeight="1" x14ac:dyDescent="0.3">
      <c r="A439" s="2">
        <v>46118</v>
      </c>
      <c r="B439" t="s">
        <v>15</v>
      </c>
      <c r="C439" s="3">
        <v>12631</v>
      </c>
      <c r="D439" s="3">
        <v>12720</v>
      </c>
      <c r="E439" s="3">
        <v>12420</v>
      </c>
      <c r="F439" s="3">
        <v>12631</v>
      </c>
      <c r="G439" s="3">
        <v>12707</v>
      </c>
      <c r="H439" s="3">
        <v>12688</v>
      </c>
      <c r="I439" s="3">
        <v>12574.5</v>
      </c>
      <c r="J439" s="3">
        <v>17370</v>
      </c>
      <c r="K439" s="3">
        <v>11059.45</v>
      </c>
      <c r="L439" s="4">
        <v>382650</v>
      </c>
      <c r="M439" s="3">
        <v>4811632458</v>
      </c>
      <c r="N439" s="4">
        <v>61579</v>
      </c>
      <c r="O439">
        <f t="shared" si="6"/>
        <v>4.5127068323964851E-3</v>
      </c>
    </row>
    <row r="440" spans="1:15" ht="14.25" customHeight="1" x14ac:dyDescent="0.3">
      <c r="A440" s="2">
        <v>46119</v>
      </c>
      <c r="B440" t="s">
        <v>15</v>
      </c>
      <c r="C440" s="3">
        <v>12640</v>
      </c>
      <c r="D440" s="3">
        <v>12835</v>
      </c>
      <c r="E440" s="3">
        <v>12496</v>
      </c>
      <c r="F440" s="3">
        <v>12688</v>
      </c>
      <c r="G440" s="3">
        <v>12800</v>
      </c>
      <c r="H440" s="3">
        <v>12798</v>
      </c>
      <c r="I440" s="3">
        <v>12700.71</v>
      </c>
      <c r="J440" s="3">
        <v>17370</v>
      </c>
      <c r="K440" s="3">
        <v>11059.45</v>
      </c>
      <c r="L440" s="4">
        <v>359542</v>
      </c>
      <c r="M440" s="3">
        <v>4566437718</v>
      </c>
      <c r="N440" s="4">
        <v>61151</v>
      </c>
      <c r="O440">
        <f t="shared" si="6"/>
        <v>8.6696090794451449E-3</v>
      </c>
    </row>
    <row r="441" spans="1:15" ht="14.25" customHeight="1" x14ac:dyDescent="0.3">
      <c r="A441" s="2">
        <v>46120</v>
      </c>
      <c r="B441" t="s">
        <v>15</v>
      </c>
      <c r="C441" s="3">
        <v>13350</v>
      </c>
      <c r="D441" s="3">
        <v>13745</v>
      </c>
      <c r="E441" s="3">
        <v>13210</v>
      </c>
      <c r="F441" s="3">
        <v>12798</v>
      </c>
      <c r="G441" s="3">
        <v>13570</v>
      </c>
      <c r="H441" s="3">
        <v>13602</v>
      </c>
      <c r="I441" s="3">
        <v>13626.02</v>
      </c>
      <c r="J441" s="3">
        <v>17370</v>
      </c>
      <c r="K441" s="3">
        <v>11059.45</v>
      </c>
      <c r="L441" s="4">
        <v>1026292</v>
      </c>
      <c r="M441" s="3">
        <v>13984274915</v>
      </c>
      <c r="N441" s="4">
        <v>113420</v>
      </c>
      <c r="O441">
        <f t="shared" si="6"/>
        <v>6.2822315986872948E-2</v>
      </c>
    </row>
    <row r="442" spans="1:15" ht="14.25" customHeight="1" x14ac:dyDescent="0.3">
      <c r="A442" s="2">
        <v>46121</v>
      </c>
      <c r="B442" t="s">
        <v>15</v>
      </c>
      <c r="C442" s="3">
        <v>13570</v>
      </c>
      <c r="D442" s="3">
        <v>13773</v>
      </c>
      <c r="E442" s="3">
        <v>13330</v>
      </c>
      <c r="F442" s="3">
        <v>13602</v>
      </c>
      <c r="G442" s="3">
        <v>13550</v>
      </c>
      <c r="H442" s="3">
        <v>13589</v>
      </c>
      <c r="I442" s="3">
        <v>13572.97</v>
      </c>
      <c r="J442" s="3">
        <v>17370</v>
      </c>
      <c r="K442" s="3">
        <v>11059.45</v>
      </c>
      <c r="L442" s="4">
        <v>549914</v>
      </c>
      <c r="M442" s="3">
        <v>7463968261</v>
      </c>
      <c r="N442" s="4">
        <v>88696</v>
      </c>
      <c r="O442">
        <f t="shared" si="6"/>
        <v>-9.5574180267607705E-4</v>
      </c>
    </row>
    <row r="443" spans="1:15" ht="14.25" customHeight="1" x14ac:dyDescent="0.3">
      <c r="A443" s="2">
        <v>46122</v>
      </c>
      <c r="B443" t="s">
        <v>15</v>
      </c>
      <c r="C443" s="3">
        <v>13650</v>
      </c>
      <c r="D443" s="3">
        <v>13797</v>
      </c>
      <c r="E443" s="3">
        <v>13590</v>
      </c>
      <c r="F443" s="3">
        <v>13589</v>
      </c>
      <c r="G443" s="3">
        <v>13689</v>
      </c>
      <c r="H443" s="3">
        <v>13709</v>
      </c>
      <c r="I443" s="3">
        <v>13713.74</v>
      </c>
      <c r="J443" s="3">
        <v>17370</v>
      </c>
      <c r="K443" s="3">
        <v>11059.45</v>
      </c>
      <c r="L443" s="4">
        <v>471921</v>
      </c>
      <c r="M443" s="3">
        <v>6471799917</v>
      </c>
      <c r="N443" s="4">
        <v>61274</v>
      </c>
      <c r="O443">
        <f t="shared" si="6"/>
        <v>8.8306718669512105E-3</v>
      </c>
    </row>
    <row r="444" spans="1:15" ht="14.25" customHeight="1" x14ac:dyDescent="0.3">
      <c r="A444" s="2">
        <v>46125</v>
      </c>
      <c r="B444" t="s">
        <v>15</v>
      </c>
      <c r="C444" s="3">
        <v>13402</v>
      </c>
      <c r="D444" s="3">
        <v>13420</v>
      </c>
      <c r="E444" s="3">
        <v>12966</v>
      </c>
      <c r="F444" s="3">
        <v>13709</v>
      </c>
      <c r="G444" s="3">
        <v>13076</v>
      </c>
      <c r="H444" s="3">
        <v>13076</v>
      </c>
      <c r="I444" s="3">
        <v>13123.73</v>
      </c>
      <c r="J444" s="3">
        <v>17370</v>
      </c>
      <c r="K444" s="3">
        <v>11289</v>
      </c>
      <c r="L444" s="4">
        <v>1347910</v>
      </c>
      <c r="M444" s="3">
        <v>17689613577</v>
      </c>
      <c r="N444" s="4">
        <v>151682</v>
      </c>
      <c r="O444">
        <f t="shared" si="6"/>
        <v>-4.6174046246991028E-2</v>
      </c>
    </row>
    <row r="445" spans="1:15" ht="14.25" customHeight="1" x14ac:dyDescent="0.3">
      <c r="A445" s="2">
        <v>46127</v>
      </c>
      <c r="B445" t="s">
        <v>15</v>
      </c>
      <c r="C445" s="3">
        <v>13250</v>
      </c>
      <c r="D445" s="3">
        <v>13473</v>
      </c>
      <c r="E445" s="3">
        <v>13200</v>
      </c>
      <c r="F445" s="3">
        <v>13076</v>
      </c>
      <c r="G445" s="3">
        <v>13289</v>
      </c>
      <c r="H445" s="3">
        <v>13289</v>
      </c>
      <c r="I445" s="3">
        <v>13320.26</v>
      </c>
      <c r="J445" s="3">
        <v>17370</v>
      </c>
      <c r="K445" s="3">
        <v>11289</v>
      </c>
      <c r="L445" s="4">
        <v>699458</v>
      </c>
      <c r="M445" s="3">
        <v>9316961882</v>
      </c>
      <c r="N445" s="4">
        <v>89153</v>
      </c>
      <c r="O445">
        <f t="shared" si="6"/>
        <v>1.6289385133068216E-2</v>
      </c>
    </row>
    <row r="446" spans="1:15" ht="14.25" customHeight="1" x14ac:dyDescent="0.3">
      <c r="A446" s="2">
        <v>46128</v>
      </c>
      <c r="B446" t="s">
        <v>15</v>
      </c>
      <c r="C446" s="3">
        <v>13380</v>
      </c>
      <c r="D446" s="3">
        <v>13435</v>
      </c>
      <c r="E446" s="3">
        <v>13237</v>
      </c>
      <c r="F446" s="3">
        <v>13289</v>
      </c>
      <c r="G446" s="3">
        <v>13340</v>
      </c>
      <c r="H446" s="3">
        <v>13335</v>
      </c>
      <c r="I446" s="3">
        <v>13329.5</v>
      </c>
      <c r="J446" s="3">
        <v>17370</v>
      </c>
      <c r="K446" s="3">
        <v>11289</v>
      </c>
      <c r="L446" s="4">
        <v>527309</v>
      </c>
      <c r="M446" s="3">
        <v>7028765080</v>
      </c>
      <c r="N446" s="4">
        <v>78206</v>
      </c>
      <c r="O446">
        <f t="shared" si="6"/>
        <v>3.4615095191511775E-3</v>
      </c>
    </row>
    <row r="447" spans="1:15" ht="14.25" customHeight="1" x14ac:dyDescent="0.3">
      <c r="A447" s="2">
        <v>46129</v>
      </c>
      <c r="B447" t="s">
        <v>15</v>
      </c>
      <c r="C447" s="3">
        <v>13300</v>
      </c>
      <c r="D447" s="3">
        <v>13647</v>
      </c>
      <c r="E447" s="3">
        <v>13256</v>
      </c>
      <c r="F447" s="3">
        <v>13335</v>
      </c>
      <c r="G447" s="3">
        <v>13474</v>
      </c>
      <c r="H447" s="3">
        <v>13453</v>
      </c>
      <c r="I447" s="3">
        <v>13508.91</v>
      </c>
      <c r="J447" s="3">
        <v>17370</v>
      </c>
      <c r="K447" s="3">
        <v>11289</v>
      </c>
      <c r="L447" s="4">
        <v>549308</v>
      </c>
      <c r="M447" s="3">
        <v>7420550780</v>
      </c>
      <c r="N447" s="4">
        <v>75847</v>
      </c>
      <c r="O447">
        <f t="shared" si="6"/>
        <v>8.8488938882639676E-3</v>
      </c>
    </row>
    <row r="448" spans="1:15" ht="14.25" customHeight="1" x14ac:dyDescent="0.3">
      <c r="A448" s="2">
        <v>46132</v>
      </c>
      <c r="B448" t="s">
        <v>15</v>
      </c>
      <c r="C448" s="3">
        <v>13474</v>
      </c>
      <c r="D448" s="3">
        <v>13533</v>
      </c>
      <c r="E448" s="3">
        <v>13329</v>
      </c>
      <c r="F448" s="3">
        <v>13453</v>
      </c>
      <c r="G448" s="3">
        <v>13420</v>
      </c>
      <c r="H448" s="3">
        <v>13450</v>
      </c>
      <c r="I448" s="3">
        <v>13452.2</v>
      </c>
      <c r="J448" s="3">
        <v>17370</v>
      </c>
      <c r="K448" s="3">
        <v>11289</v>
      </c>
      <c r="L448" s="4">
        <v>348629</v>
      </c>
      <c r="M448" s="3">
        <v>4689828029</v>
      </c>
      <c r="N448" s="4">
        <v>66963</v>
      </c>
      <c r="O448">
        <f t="shared" si="6"/>
        <v>-2.2299858767561138E-4</v>
      </c>
    </row>
    <row r="449" spans="1:15" ht="14.25" customHeight="1" x14ac:dyDescent="0.3">
      <c r="A449" s="2">
        <v>46133</v>
      </c>
      <c r="B449" t="s">
        <v>15</v>
      </c>
      <c r="C449" s="3">
        <v>13456</v>
      </c>
      <c r="D449" s="3">
        <v>13543</v>
      </c>
      <c r="E449" s="3">
        <v>13421</v>
      </c>
      <c r="F449" s="3">
        <v>13450</v>
      </c>
      <c r="G449" s="3">
        <v>13455</v>
      </c>
      <c r="H449" s="3">
        <v>13461</v>
      </c>
      <c r="I449" s="3">
        <v>13494.28</v>
      </c>
      <c r="J449" s="3">
        <v>17370</v>
      </c>
      <c r="K449" s="3">
        <v>11289</v>
      </c>
      <c r="L449" s="4">
        <v>292879</v>
      </c>
      <c r="M449" s="3">
        <v>3952192315</v>
      </c>
      <c r="N449" s="4">
        <v>50576</v>
      </c>
      <c r="O449">
        <f t="shared" si="6"/>
        <v>8.1784386617100369E-4</v>
      </c>
    </row>
    <row r="450" spans="1:15" ht="14.25" customHeight="1" x14ac:dyDescent="0.3">
      <c r="A450" s="2">
        <v>46134</v>
      </c>
      <c r="B450" t="s">
        <v>15</v>
      </c>
      <c r="C450" s="3">
        <v>13452</v>
      </c>
      <c r="D450" s="3">
        <v>13530</v>
      </c>
      <c r="E450" s="3">
        <v>13300</v>
      </c>
      <c r="F450" s="3">
        <v>13461</v>
      </c>
      <c r="G450" s="3">
        <v>13379</v>
      </c>
      <c r="H450" s="3">
        <v>13337</v>
      </c>
      <c r="I450" s="3">
        <v>13395.09</v>
      </c>
      <c r="J450" s="3">
        <v>17370</v>
      </c>
      <c r="K450" s="3">
        <v>11289</v>
      </c>
      <c r="L450" s="4">
        <v>434640</v>
      </c>
      <c r="M450" s="3">
        <v>5822042057</v>
      </c>
      <c r="N450" s="4">
        <v>76175</v>
      </c>
      <c r="O450">
        <f t="shared" si="6"/>
        <v>-9.211797043310304E-3</v>
      </c>
    </row>
    <row r="451" spans="1:15" ht="14.25" customHeight="1" x14ac:dyDescent="0.3">
      <c r="A451" s="2">
        <v>46135</v>
      </c>
      <c r="B451" t="s">
        <v>15</v>
      </c>
      <c r="C451" s="3">
        <v>13250</v>
      </c>
      <c r="D451" s="3">
        <v>13358</v>
      </c>
      <c r="E451" s="3">
        <v>13125</v>
      </c>
      <c r="F451" s="3">
        <v>13337</v>
      </c>
      <c r="G451" s="3">
        <v>13143</v>
      </c>
      <c r="H451" s="3">
        <v>13160</v>
      </c>
      <c r="I451" s="3">
        <v>13202.49</v>
      </c>
      <c r="J451" s="3">
        <v>17370</v>
      </c>
      <c r="K451" s="3">
        <v>11289</v>
      </c>
      <c r="L451" s="4">
        <v>541086</v>
      </c>
      <c r="M451" s="3">
        <v>7143682323</v>
      </c>
      <c r="N451" s="4">
        <v>86212</v>
      </c>
      <c r="O451">
        <f t="shared" ref="O451:O496" si="7">(H451-H450)/H450</f>
        <v>-1.3271350378645873E-2</v>
      </c>
    </row>
    <row r="452" spans="1:15" ht="14.25" customHeight="1" x14ac:dyDescent="0.3">
      <c r="A452" s="2">
        <v>46136</v>
      </c>
      <c r="B452" t="s">
        <v>15</v>
      </c>
      <c r="C452" s="3">
        <v>13200</v>
      </c>
      <c r="D452" s="3">
        <v>13253</v>
      </c>
      <c r="E452" s="3">
        <v>12978</v>
      </c>
      <c r="F452" s="3">
        <v>13160</v>
      </c>
      <c r="G452" s="3">
        <v>13060</v>
      </c>
      <c r="H452" s="3">
        <v>13048</v>
      </c>
      <c r="I452" s="3">
        <v>13058.05</v>
      </c>
      <c r="J452" s="3">
        <v>17370</v>
      </c>
      <c r="K452" s="3">
        <v>11289</v>
      </c>
      <c r="L452" s="4">
        <v>464098</v>
      </c>
      <c r="M452" s="3">
        <v>6060213206</v>
      </c>
      <c r="N452" s="4">
        <v>63742</v>
      </c>
      <c r="O452">
        <f t="shared" si="7"/>
        <v>-8.5106382978723406E-3</v>
      </c>
    </row>
    <row r="453" spans="1:15" ht="14.25" customHeight="1" x14ac:dyDescent="0.3">
      <c r="A453" s="2">
        <v>46139</v>
      </c>
      <c r="B453" t="s">
        <v>15</v>
      </c>
      <c r="C453" s="3">
        <v>13153</v>
      </c>
      <c r="D453" s="3">
        <v>13270</v>
      </c>
      <c r="E453" s="3">
        <v>13043</v>
      </c>
      <c r="F453" s="3">
        <v>13048</v>
      </c>
      <c r="G453" s="3">
        <v>13225</v>
      </c>
      <c r="H453" s="3">
        <v>13222</v>
      </c>
      <c r="I453" s="3">
        <v>13158.47</v>
      </c>
      <c r="J453" s="3">
        <v>17370</v>
      </c>
      <c r="K453" s="3">
        <v>11289</v>
      </c>
      <c r="L453" s="4">
        <v>312786</v>
      </c>
      <c r="M453" s="3">
        <v>4115786478</v>
      </c>
      <c r="N453" s="4">
        <v>49953</v>
      </c>
      <c r="O453">
        <f t="shared" si="7"/>
        <v>1.3335377069282648E-2</v>
      </c>
    </row>
    <row r="454" spans="1:15" ht="14.25" customHeight="1" x14ac:dyDescent="0.3">
      <c r="A454" s="2">
        <v>46140</v>
      </c>
      <c r="B454" t="s">
        <v>15</v>
      </c>
      <c r="C454" s="3">
        <v>13222</v>
      </c>
      <c r="D454" s="3">
        <v>13307</v>
      </c>
      <c r="E454" s="3">
        <v>12828</v>
      </c>
      <c r="F454" s="3">
        <v>13222</v>
      </c>
      <c r="G454" s="3">
        <v>12890</v>
      </c>
      <c r="H454" s="3">
        <v>12892</v>
      </c>
      <c r="I454" s="3">
        <v>13008.26</v>
      </c>
      <c r="J454" s="3">
        <v>17370</v>
      </c>
      <c r="K454" s="3">
        <v>11289</v>
      </c>
      <c r="L454" s="4">
        <v>836679</v>
      </c>
      <c r="M454" s="3">
        <v>10883733857</v>
      </c>
      <c r="N454" s="4">
        <v>99075</v>
      </c>
      <c r="O454">
        <f t="shared" si="7"/>
        <v>-2.4958402662229616E-2</v>
      </c>
    </row>
    <row r="455" spans="1:15" ht="14.25" customHeight="1" x14ac:dyDescent="0.3">
      <c r="A455" s="2">
        <v>46141</v>
      </c>
      <c r="B455" t="s">
        <v>15</v>
      </c>
      <c r="C455" s="3">
        <v>13090</v>
      </c>
      <c r="D455" s="3">
        <v>13548</v>
      </c>
      <c r="E455" s="3">
        <v>13090</v>
      </c>
      <c r="F455" s="3">
        <v>12892</v>
      </c>
      <c r="G455" s="3">
        <v>13265</v>
      </c>
      <c r="H455" s="3">
        <v>13257</v>
      </c>
      <c r="I455" s="3">
        <v>13406.74</v>
      </c>
      <c r="J455" s="3">
        <v>17370</v>
      </c>
      <c r="K455" s="3">
        <v>11289</v>
      </c>
      <c r="L455" s="4">
        <v>754798</v>
      </c>
      <c r="M455" s="3">
        <v>10119379735</v>
      </c>
      <c r="N455" s="4">
        <v>110668</v>
      </c>
      <c r="O455">
        <f t="shared" si="7"/>
        <v>2.8312131554452374E-2</v>
      </c>
    </row>
    <row r="456" spans="1:15" ht="14.25" customHeight="1" x14ac:dyDescent="0.3">
      <c r="A456" s="2">
        <v>46142</v>
      </c>
      <c r="B456" t="s">
        <v>15</v>
      </c>
      <c r="C456" s="3">
        <v>13134</v>
      </c>
      <c r="D456" s="3">
        <v>13360</v>
      </c>
      <c r="E456" s="3">
        <v>12970</v>
      </c>
      <c r="F456" s="3">
        <v>13257</v>
      </c>
      <c r="G456" s="3">
        <v>13320</v>
      </c>
      <c r="H456" s="3">
        <v>13314</v>
      </c>
      <c r="I456" s="3">
        <v>13147.38</v>
      </c>
      <c r="J456" s="3">
        <v>17370</v>
      </c>
      <c r="K456" s="3">
        <v>11289</v>
      </c>
      <c r="L456" s="4">
        <v>612975</v>
      </c>
      <c r="M456" s="3">
        <v>8059016754</v>
      </c>
      <c r="N456" s="4">
        <v>118085</v>
      </c>
      <c r="O456">
        <f t="shared" si="7"/>
        <v>4.2996152975786376E-3</v>
      </c>
    </row>
    <row r="457" spans="1:15" ht="14.25" customHeight="1" x14ac:dyDescent="0.3">
      <c r="A457" s="2">
        <v>46146</v>
      </c>
      <c r="B457" t="s">
        <v>15</v>
      </c>
      <c r="C457" s="3">
        <v>13559</v>
      </c>
      <c r="D457" s="3">
        <v>13976</v>
      </c>
      <c r="E457" s="3">
        <v>13435</v>
      </c>
      <c r="F457" s="3">
        <v>13314</v>
      </c>
      <c r="G457" s="3">
        <v>13570</v>
      </c>
      <c r="H457" s="3">
        <v>13580</v>
      </c>
      <c r="I457" s="3">
        <v>13689.64</v>
      </c>
      <c r="J457" s="3">
        <v>17370</v>
      </c>
      <c r="K457" s="3">
        <v>12016</v>
      </c>
      <c r="L457" s="4">
        <v>722127</v>
      </c>
      <c r="M457" s="3">
        <v>9885657764</v>
      </c>
      <c r="N457" s="4">
        <v>110178</v>
      </c>
      <c r="O457">
        <f t="shared" si="7"/>
        <v>1.9978969505783387E-2</v>
      </c>
    </row>
    <row r="458" spans="1:15" ht="14.25" customHeight="1" x14ac:dyDescent="0.3">
      <c r="A458" s="2">
        <v>46147</v>
      </c>
      <c r="B458" t="s">
        <v>15</v>
      </c>
      <c r="C458" s="3">
        <v>13560</v>
      </c>
      <c r="D458" s="3">
        <v>13568</v>
      </c>
      <c r="E458" s="3">
        <v>13360</v>
      </c>
      <c r="F458" s="3">
        <v>13580</v>
      </c>
      <c r="G458" s="3">
        <v>13450</v>
      </c>
      <c r="H458" s="3">
        <v>13426</v>
      </c>
      <c r="I458" s="3">
        <v>13451.15</v>
      </c>
      <c r="J458" s="3">
        <v>17370</v>
      </c>
      <c r="K458" s="3">
        <v>12016</v>
      </c>
      <c r="L458" s="4">
        <v>419490</v>
      </c>
      <c r="M458" s="3">
        <v>5642621704</v>
      </c>
      <c r="N458" s="4">
        <v>71821</v>
      </c>
      <c r="O458">
        <f t="shared" si="7"/>
        <v>-1.134020618556701E-2</v>
      </c>
    </row>
    <row r="459" spans="1:15" ht="14.25" customHeight="1" x14ac:dyDescent="0.3">
      <c r="A459" s="2">
        <v>46148</v>
      </c>
      <c r="B459" t="s">
        <v>15</v>
      </c>
      <c r="C459" s="3">
        <v>13555</v>
      </c>
      <c r="D459" s="3">
        <v>13762</v>
      </c>
      <c r="E459" s="3">
        <v>13379</v>
      </c>
      <c r="F459" s="3">
        <v>13426</v>
      </c>
      <c r="G459" s="3">
        <v>13750</v>
      </c>
      <c r="H459" s="3">
        <v>13722</v>
      </c>
      <c r="I459" s="3">
        <v>13588.05</v>
      </c>
      <c r="J459" s="3">
        <v>17370</v>
      </c>
      <c r="K459" s="3">
        <v>12016</v>
      </c>
      <c r="L459" s="4">
        <v>435208</v>
      </c>
      <c r="M459" s="3">
        <v>5913629211</v>
      </c>
      <c r="N459" s="4">
        <v>64144</v>
      </c>
      <c r="O459">
        <f t="shared" si="7"/>
        <v>2.2046774914345299E-2</v>
      </c>
    </row>
    <row r="460" spans="1:15" ht="14.25" customHeight="1" x14ac:dyDescent="0.3">
      <c r="A460" s="2">
        <v>46149</v>
      </c>
      <c r="B460" t="s">
        <v>15</v>
      </c>
      <c r="C460" s="3">
        <v>13722</v>
      </c>
      <c r="D460" s="3">
        <v>13870</v>
      </c>
      <c r="E460" s="3">
        <v>13672</v>
      </c>
      <c r="F460" s="3">
        <v>13722</v>
      </c>
      <c r="G460" s="3">
        <v>13770</v>
      </c>
      <c r="H460" s="3">
        <v>13770</v>
      </c>
      <c r="I460" s="3">
        <v>13780.02</v>
      </c>
      <c r="J460" s="3">
        <v>17370</v>
      </c>
      <c r="K460" s="3">
        <v>12016</v>
      </c>
      <c r="L460" s="4">
        <v>726199</v>
      </c>
      <c r="M460" s="3">
        <v>10007038412</v>
      </c>
      <c r="N460" s="4">
        <v>80259</v>
      </c>
      <c r="O460">
        <f t="shared" si="7"/>
        <v>3.4980323567993005E-3</v>
      </c>
    </row>
    <row r="461" spans="1:15" ht="14.25" customHeight="1" x14ac:dyDescent="0.3">
      <c r="A461" s="2">
        <v>46150</v>
      </c>
      <c r="B461" t="s">
        <v>15</v>
      </c>
      <c r="C461" s="3">
        <v>13672</v>
      </c>
      <c r="D461" s="3">
        <v>13789</v>
      </c>
      <c r="E461" s="3">
        <v>13626</v>
      </c>
      <c r="F461" s="3">
        <v>13770</v>
      </c>
      <c r="G461" s="3">
        <v>13722</v>
      </c>
      <c r="H461" s="3">
        <v>13726</v>
      </c>
      <c r="I461" s="3">
        <v>13705.93</v>
      </c>
      <c r="J461" s="3">
        <v>17370</v>
      </c>
      <c r="K461" s="3">
        <v>12016</v>
      </c>
      <c r="L461" s="4">
        <v>270505</v>
      </c>
      <c r="M461" s="3">
        <v>3707521407</v>
      </c>
      <c r="N461" s="4">
        <v>49282</v>
      </c>
      <c r="O461">
        <f t="shared" si="7"/>
        <v>-3.1953522149600583E-3</v>
      </c>
    </row>
    <row r="462" spans="1:15" ht="14.25" customHeight="1" x14ac:dyDescent="0.3">
      <c r="A462" s="2">
        <v>46153</v>
      </c>
      <c r="B462" t="s">
        <v>15</v>
      </c>
      <c r="C462" s="3">
        <v>13547</v>
      </c>
      <c r="D462" s="3">
        <v>13657</v>
      </c>
      <c r="E462" s="3">
        <v>13231</v>
      </c>
      <c r="F462" s="3">
        <v>13726</v>
      </c>
      <c r="G462" s="3">
        <v>13496</v>
      </c>
      <c r="H462" s="3">
        <v>13483</v>
      </c>
      <c r="I462" s="3">
        <v>13542</v>
      </c>
      <c r="J462" s="3">
        <v>17370</v>
      </c>
      <c r="K462" s="3">
        <v>12016</v>
      </c>
      <c r="L462" s="4">
        <v>634354</v>
      </c>
      <c r="M462" s="3">
        <v>8590424809</v>
      </c>
      <c r="N462" s="4">
        <v>68547</v>
      </c>
      <c r="O462">
        <f t="shared" si="7"/>
        <v>-1.7703628150954394E-2</v>
      </c>
    </row>
    <row r="463" spans="1:15" ht="14.25" customHeight="1" x14ac:dyDescent="0.3">
      <c r="A463" s="2">
        <v>46154</v>
      </c>
      <c r="B463" t="s">
        <v>15</v>
      </c>
      <c r="C463" s="3">
        <v>13442</v>
      </c>
      <c r="D463" s="3">
        <v>13455</v>
      </c>
      <c r="E463" s="3">
        <v>13150</v>
      </c>
      <c r="F463" s="3">
        <v>13483</v>
      </c>
      <c r="G463" s="3">
        <v>13188</v>
      </c>
      <c r="H463" s="3">
        <v>13172</v>
      </c>
      <c r="I463" s="3">
        <v>13265.33</v>
      </c>
      <c r="J463" s="3">
        <v>17370</v>
      </c>
      <c r="K463" s="3">
        <v>12016</v>
      </c>
      <c r="L463" s="4">
        <v>302512</v>
      </c>
      <c r="M463" s="3">
        <v>4012921097</v>
      </c>
      <c r="N463" s="4">
        <v>57017</v>
      </c>
      <c r="O463">
        <f t="shared" si="7"/>
        <v>-2.3066083215901506E-2</v>
      </c>
    </row>
    <row r="464" spans="1:15" ht="14.25" customHeight="1" x14ac:dyDescent="0.3">
      <c r="A464" s="2">
        <v>46155</v>
      </c>
      <c r="B464" t="s">
        <v>15</v>
      </c>
      <c r="C464" s="3">
        <v>13187</v>
      </c>
      <c r="D464" s="3">
        <v>13285</v>
      </c>
      <c r="E464" s="3">
        <v>12986</v>
      </c>
      <c r="F464" s="3">
        <v>13172</v>
      </c>
      <c r="G464" s="3">
        <v>13110</v>
      </c>
      <c r="H464" s="3">
        <v>13103</v>
      </c>
      <c r="I464" s="3">
        <v>13098.76</v>
      </c>
      <c r="J464" s="3">
        <v>17370</v>
      </c>
      <c r="K464" s="3">
        <v>12016</v>
      </c>
      <c r="L464" s="4">
        <v>307027</v>
      </c>
      <c r="M464" s="3">
        <v>4021674415</v>
      </c>
      <c r="N464" s="4">
        <v>59301</v>
      </c>
      <c r="O464">
        <f t="shared" si="7"/>
        <v>-5.2383844518675976E-3</v>
      </c>
    </row>
    <row r="465" spans="1:15" ht="14.25" customHeight="1" x14ac:dyDescent="0.3">
      <c r="A465" s="2">
        <v>46156</v>
      </c>
      <c r="B465" t="s">
        <v>15</v>
      </c>
      <c r="C465" s="3">
        <v>13234</v>
      </c>
      <c r="D465" s="3">
        <v>13234</v>
      </c>
      <c r="E465" s="3">
        <v>12926</v>
      </c>
      <c r="F465" s="3">
        <v>13103</v>
      </c>
      <c r="G465" s="3">
        <v>13100</v>
      </c>
      <c r="H465" s="3">
        <v>13075</v>
      </c>
      <c r="I465" s="3">
        <v>13056.36</v>
      </c>
      <c r="J465" s="3">
        <v>17370</v>
      </c>
      <c r="K465" s="3">
        <v>12016</v>
      </c>
      <c r="L465" s="4">
        <v>286648</v>
      </c>
      <c r="M465" s="3">
        <v>3742580112</v>
      </c>
      <c r="N465" s="4">
        <v>53971</v>
      </c>
      <c r="O465">
        <f t="shared" si="7"/>
        <v>-2.1369152102571928E-3</v>
      </c>
    </row>
    <row r="466" spans="1:15" ht="14.25" customHeight="1" x14ac:dyDescent="0.3">
      <c r="A466" s="2">
        <v>46157</v>
      </c>
      <c r="B466" t="s">
        <v>15</v>
      </c>
      <c r="C466" s="3">
        <v>13079</v>
      </c>
      <c r="D466" s="3">
        <v>13325</v>
      </c>
      <c r="E466" s="3">
        <v>13079</v>
      </c>
      <c r="F466" s="3">
        <v>13075</v>
      </c>
      <c r="G466" s="3">
        <v>13230</v>
      </c>
      <c r="H466" s="3">
        <v>13221</v>
      </c>
      <c r="I466" s="3">
        <v>13208.91</v>
      </c>
      <c r="J466" s="3">
        <v>17370</v>
      </c>
      <c r="K466" s="3">
        <v>12016</v>
      </c>
      <c r="L466" s="4">
        <v>268206</v>
      </c>
      <c r="M466" s="3">
        <v>3542708048</v>
      </c>
      <c r="N466" s="4">
        <v>53269</v>
      </c>
      <c r="O466">
        <f t="shared" si="7"/>
        <v>1.1166347992351817E-2</v>
      </c>
    </row>
    <row r="467" spans="1:15" ht="14.25" customHeight="1" x14ac:dyDescent="0.3">
      <c r="A467" s="2">
        <v>46160</v>
      </c>
      <c r="B467" t="s">
        <v>15</v>
      </c>
      <c r="C467" s="3">
        <v>13127</v>
      </c>
      <c r="D467" s="3">
        <v>13139</v>
      </c>
      <c r="E467" s="3">
        <v>12850</v>
      </c>
      <c r="F467" s="3">
        <v>13221</v>
      </c>
      <c r="G467" s="3">
        <v>13015</v>
      </c>
      <c r="H467" s="3">
        <v>13016</v>
      </c>
      <c r="I467" s="3">
        <v>12955.43</v>
      </c>
      <c r="J467" s="3">
        <v>17370</v>
      </c>
      <c r="K467" s="3">
        <v>12016</v>
      </c>
      <c r="L467" s="4">
        <v>373184</v>
      </c>
      <c r="M467" s="3">
        <v>4834759941</v>
      </c>
      <c r="N467" s="4">
        <v>50761</v>
      </c>
      <c r="O467">
        <f t="shared" si="7"/>
        <v>-1.5505634974661524E-2</v>
      </c>
    </row>
    <row r="468" spans="1:15" ht="14.25" customHeight="1" x14ac:dyDescent="0.3">
      <c r="A468" s="2">
        <v>46161</v>
      </c>
      <c r="B468" t="s">
        <v>15</v>
      </c>
      <c r="C468" s="3">
        <v>13034</v>
      </c>
      <c r="D468" s="3">
        <v>13104</v>
      </c>
      <c r="E468" s="3">
        <v>12900</v>
      </c>
      <c r="F468" s="3">
        <v>13016</v>
      </c>
      <c r="G468" s="3">
        <v>12924</v>
      </c>
      <c r="H468" s="3">
        <v>12956</v>
      </c>
      <c r="I468" s="3">
        <v>12999.36</v>
      </c>
      <c r="J468" s="3">
        <v>17370</v>
      </c>
      <c r="K468" s="3">
        <v>12016</v>
      </c>
      <c r="L468" s="4">
        <v>342737</v>
      </c>
      <c r="M468" s="3">
        <v>4455361260</v>
      </c>
      <c r="N468" s="4">
        <v>62575</v>
      </c>
      <c r="O468">
        <f t="shared" si="7"/>
        <v>-4.6097111247695149E-3</v>
      </c>
    </row>
    <row r="469" spans="1:15" ht="14.25" customHeight="1" x14ac:dyDescent="0.3">
      <c r="A469" s="2">
        <v>46162</v>
      </c>
      <c r="B469" t="s">
        <v>15</v>
      </c>
      <c r="C469" s="3">
        <v>12850</v>
      </c>
      <c r="D469" s="3">
        <v>13072</v>
      </c>
      <c r="E469" s="3">
        <v>12753</v>
      </c>
      <c r="F469" s="3">
        <v>12956</v>
      </c>
      <c r="G469" s="3">
        <v>13004</v>
      </c>
      <c r="H469" s="3">
        <v>13003</v>
      </c>
      <c r="I469" s="3">
        <v>12946.83</v>
      </c>
      <c r="J469" s="3">
        <v>17370</v>
      </c>
      <c r="K469" s="3">
        <v>12016</v>
      </c>
      <c r="L469" s="4">
        <v>300695</v>
      </c>
      <c r="M469" s="3">
        <v>3893046313</v>
      </c>
      <c r="N469" s="4">
        <v>48239</v>
      </c>
      <c r="O469">
        <f t="shared" si="7"/>
        <v>3.6276628589070703E-3</v>
      </c>
    </row>
    <row r="470" spans="1:15" ht="14.25" customHeight="1" x14ac:dyDescent="0.3">
      <c r="A470" s="2">
        <v>46163</v>
      </c>
      <c r="B470" t="s">
        <v>15</v>
      </c>
      <c r="C470" s="3">
        <v>13103</v>
      </c>
      <c r="D470" s="3">
        <v>13150</v>
      </c>
      <c r="E470" s="3">
        <v>12933</v>
      </c>
      <c r="F470" s="3">
        <v>13003</v>
      </c>
      <c r="G470" s="3">
        <v>12995</v>
      </c>
      <c r="H470" s="3">
        <v>13010</v>
      </c>
      <c r="I470" s="3">
        <v>13025.3</v>
      </c>
      <c r="J470" s="3">
        <v>17370</v>
      </c>
      <c r="K470" s="3">
        <v>12016</v>
      </c>
      <c r="L470" s="4">
        <v>213095</v>
      </c>
      <c r="M470" s="3">
        <v>2775625784</v>
      </c>
      <c r="N470" s="4">
        <v>38947</v>
      </c>
      <c r="O470">
        <f t="shared" si="7"/>
        <v>5.3833730677535952E-4</v>
      </c>
    </row>
    <row r="471" spans="1:15" ht="14.25" customHeight="1" x14ac:dyDescent="0.3">
      <c r="A471" s="2">
        <v>46164</v>
      </c>
      <c r="B471" t="s">
        <v>15</v>
      </c>
      <c r="C471" s="3">
        <v>13100</v>
      </c>
      <c r="D471" s="3">
        <v>13152</v>
      </c>
      <c r="E471" s="3">
        <v>12974</v>
      </c>
      <c r="F471" s="3">
        <v>13010</v>
      </c>
      <c r="G471" s="3">
        <v>12995</v>
      </c>
      <c r="H471" s="3">
        <v>12987</v>
      </c>
      <c r="I471" s="3">
        <v>13042</v>
      </c>
      <c r="J471" s="3">
        <v>17370</v>
      </c>
      <c r="K471" s="3">
        <v>12016</v>
      </c>
      <c r="L471" s="4">
        <v>387975</v>
      </c>
      <c r="M471" s="3">
        <v>5059971729</v>
      </c>
      <c r="N471" s="4">
        <v>50366</v>
      </c>
      <c r="O471">
        <f t="shared" si="7"/>
        <v>-1.7678708685626441E-3</v>
      </c>
    </row>
    <row r="472" spans="1:15" ht="14.25" customHeight="1" x14ac:dyDescent="0.3">
      <c r="A472" s="2">
        <v>46167</v>
      </c>
      <c r="B472" t="s">
        <v>15</v>
      </c>
      <c r="C472" s="3">
        <v>13145</v>
      </c>
      <c r="D472" s="3">
        <v>13236</v>
      </c>
      <c r="E472" s="3">
        <v>13101</v>
      </c>
      <c r="F472" s="3">
        <v>12987</v>
      </c>
      <c r="G472" s="3">
        <v>13188</v>
      </c>
      <c r="H472" s="3">
        <v>13170</v>
      </c>
      <c r="I472" s="3">
        <v>13163.39</v>
      </c>
      <c r="J472" s="3">
        <v>17370</v>
      </c>
      <c r="K472" s="3">
        <v>12016</v>
      </c>
      <c r="L472" s="4">
        <v>276553</v>
      </c>
      <c r="M472" s="3">
        <v>3640375858</v>
      </c>
      <c r="N472" s="4">
        <v>45284</v>
      </c>
      <c r="O472">
        <f t="shared" si="7"/>
        <v>1.4091014091014091E-2</v>
      </c>
    </row>
    <row r="473" spans="1:15" ht="14.25" customHeight="1" x14ac:dyDescent="0.3">
      <c r="A473" s="2">
        <v>46168</v>
      </c>
      <c r="B473" t="s">
        <v>15</v>
      </c>
      <c r="C473" s="3">
        <v>13188</v>
      </c>
      <c r="D473" s="3">
        <v>13329</v>
      </c>
      <c r="E473" s="3">
        <v>13134</v>
      </c>
      <c r="F473" s="3">
        <v>13170</v>
      </c>
      <c r="G473" s="3">
        <v>13238</v>
      </c>
      <c r="H473" s="3">
        <v>13208</v>
      </c>
      <c r="I473" s="3">
        <v>13245.04</v>
      </c>
      <c r="J473" s="3">
        <v>17370</v>
      </c>
      <c r="K473" s="3">
        <v>12016</v>
      </c>
      <c r="L473" s="4">
        <v>256901</v>
      </c>
      <c r="M473" s="3">
        <v>3402662899</v>
      </c>
      <c r="N473" s="4">
        <v>51601</v>
      </c>
      <c r="O473">
        <f t="shared" si="7"/>
        <v>2.885345482156416E-3</v>
      </c>
    </row>
    <row r="474" spans="1:15" ht="14.25" customHeight="1" x14ac:dyDescent="0.3">
      <c r="A474" s="2">
        <v>46169</v>
      </c>
      <c r="B474" t="s">
        <v>15</v>
      </c>
      <c r="C474" s="3">
        <v>13208</v>
      </c>
      <c r="D474" s="3">
        <v>13417</v>
      </c>
      <c r="E474" s="3">
        <v>13102</v>
      </c>
      <c r="F474" s="3">
        <v>13208</v>
      </c>
      <c r="G474" s="3">
        <v>13395</v>
      </c>
      <c r="H474" s="3">
        <v>13364</v>
      </c>
      <c r="I474" s="3">
        <v>13254.71</v>
      </c>
      <c r="J474" s="3">
        <v>17370</v>
      </c>
      <c r="K474" s="3">
        <v>12016</v>
      </c>
      <c r="L474" s="4">
        <v>322020</v>
      </c>
      <c r="M474" s="3">
        <v>4268281492</v>
      </c>
      <c r="N474" s="4">
        <v>42239</v>
      </c>
      <c r="O474">
        <f t="shared" si="7"/>
        <v>1.1811023622047244E-2</v>
      </c>
    </row>
    <row r="475" spans="1:15" ht="14.25" customHeight="1" x14ac:dyDescent="0.3">
      <c r="A475" s="2">
        <v>46171</v>
      </c>
      <c r="B475" t="s">
        <v>15</v>
      </c>
      <c r="C475" s="3">
        <v>13456</v>
      </c>
      <c r="D475" s="3">
        <v>13508</v>
      </c>
      <c r="E475" s="3">
        <v>13050</v>
      </c>
      <c r="F475" s="3">
        <v>13364</v>
      </c>
      <c r="G475" s="3">
        <v>13200</v>
      </c>
      <c r="H475" s="3">
        <v>13127</v>
      </c>
      <c r="I475" s="3">
        <v>13188.05</v>
      </c>
      <c r="J475" s="3">
        <v>17370</v>
      </c>
      <c r="K475" s="3">
        <v>12016</v>
      </c>
      <c r="L475" s="4">
        <v>963291</v>
      </c>
      <c r="M475" s="3">
        <v>12703926249</v>
      </c>
      <c r="N475" s="4">
        <v>86344</v>
      </c>
      <c r="O475">
        <f t="shared" si="7"/>
        <v>-1.773421131397785E-2</v>
      </c>
    </row>
    <row r="476" spans="1:15" ht="14.25" customHeight="1" x14ac:dyDescent="0.3">
      <c r="A476" s="2">
        <v>46174</v>
      </c>
      <c r="B476" t="s">
        <v>15</v>
      </c>
      <c r="C476" s="3">
        <v>13200</v>
      </c>
      <c r="D476" s="3">
        <v>13267</v>
      </c>
      <c r="E476" s="3">
        <v>12913</v>
      </c>
      <c r="F476" s="3">
        <v>13127</v>
      </c>
      <c r="G476" s="3">
        <v>12930</v>
      </c>
      <c r="H476" s="3">
        <v>12946</v>
      </c>
      <c r="I476" s="3">
        <v>13069.2</v>
      </c>
      <c r="J476" s="3">
        <v>17370</v>
      </c>
      <c r="K476" s="3">
        <v>12016</v>
      </c>
      <c r="L476" s="4">
        <v>295359</v>
      </c>
      <c r="M476" s="3">
        <v>3860107300</v>
      </c>
      <c r="N476" s="4">
        <v>47925</v>
      </c>
      <c r="O476">
        <f t="shared" si="7"/>
        <v>-1.3788375104745943E-2</v>
      </c>
    </row>
    <row r="477" spans="1:15" ht="14.25" customHeight="1" x14ac:dyDescent="0.3">
      <c r="A477" s="2">
        <v>46175</v>
      </c>
      <c r="B477" t="s">
        <v>15</v>
      </c>
      <c r="C477" s="3">
        <v>12700</v>
      </c>
      <c r="D477" s="3">
        <v>13051</v>
      </c>
      <c r="E477" s="3">
        <v>12700</v>
      </c>
      <c r="F477" s="3">
        <v>12946</v>
      </c>
      <c r="G477" s="3">
        <v>13030</v>
      </c>
      <c r="H477" s="3">
        <v>13022</v>
      </c>
      <c r="I477" s="3">
        <v>12898.66</v>
      </c>
      <c r="J477" s="3">
        <v>17370</v>
      </c>
      <c r="K477" s="3">
        <v>12016</v>
      </c>
      <c r="L477" s="4">
        <v>586599</v>
      </c>
      <c r="M477" s="3">
        <v>7566339289</v>
      </c>
      <c r="N477" s="4">
        <v>83282</v>
      </c>
      <c r="O477">
        <f t="shared" si="7"/>
        <v>5.8705391626757298E-3</v>
      </c>
    </row>
    <row r="478" spans="1:15" ht="14.25" customHeight="1" x14ac:dyDescent="0.3">
      <c r="A478" s="2">
        <v>46176</v>
      </c>
      <c r="B478" t="s">
        <v>15</v>
      </c>
      <c r="C478" s="3">
        <v>13014</v>
      </c>
      <c r="D478" s="3">
        <v>13206</v>
      </c>
      <c r="E478" s="3">
        <v>12911</v>
      </c>
      <c r="F478" s="3">
        <v>13022</v>
      </c>
      <c r="G478" s="3">
        <v>13038</v>
      </c>
      <c r="H478" s="3">
        <v>13044</v>
      </c>
      <c r="I478" s="3">
        <v>13103.84</v>
      </c>
      <c r="J478" s="3">
        <v>17370</v>
      </c>
      <c r="K478" s="3">
        <v>12016</v>
      </c>
      <c r="L478" s="4">
        <v>607808</v>
      </c>
      <c r="M478" s="3">
        <v>7964618882</v>
      </c>
      <c r="N478" s="4">
        <v>81557</v>
      </c>
      <c r="O478">
        <f t="shared" si="7"/>
        <v>1.6894486254031638E-3</v>
      </c>
    </row>
    <row r="479" spans="1:15" ht="14.25" customHeight="1" x14ac:dyDescent="0.3">
      <c r="A479" s="2">
        <v>46177</v>
      </c>
      <c r="B479" t="s">
        <v>15</v>
      </c>
      <c r="C479" s="3">
        <v>12990</v>
      </c>
      <c r="D479" s="3">
        <v>13264</v>
      </c>
      <c r="E479" s="3">
        <v>12949</v>
      </c>
      <c r="F479" s="3">
        <v>13044</v>
      </c>
      <c r="G479" s="3">
        <v>13079</v>
      </c>
      <c r="H479" s="3">
        <v>13064</v>
      </c>
      <c r="I479" s="3">
        <v>13133.84</v>
      </c>
      <c r="J479" s="3">
        <v>17370</v>
      </c>
      <c r="K479" s="3">
        <v>12016</v>
      </c>
      <c r="L479" s="4">
        <v>465070</v>
      </c>
      <c r="M479" s="3">
        <v>6108156834</v>
      </c>
      <c r="N479" s="4">
        <v>77697</v>
      </c>
      <c r="O479">
        <f t="shared" si="7"/>
        <v>1.5332720024532351E-3</v>
      </c>
    </row>
    <row r="480" spans="1:15" ht="14.25" customHeight="1" x14ac:dyDescent="0.3">
      <c r="A480" s="2">
        <v>46178</v>
      </c>
      <c r="B480" t="s">
        <v>15</v>
      </c>
      <c r="C480" s="3">
        <v>13151</v>
      </c>
      <c r="D480" s="3">
        <v>13175</v>
      </c>
      <c r="E480" s="3">
        <v>12915</v>
      </c>
      <c r="F480" s="3">
        <v>13064</v>
      </c>
      <c r="G480" s="3">
        <v>13035</v>
      </c>
      <c r="H480" s="3">
        <v>13050</v>
      </c>
      <c r="I480" s="3">
        <v>13058.21</v>
      </c>
      <c r="J480" s="3">
        <v>17370</v>
      </c>
      <c r="K480" s="3">
        <v>12016</v>
      </c>
      <c r="L480" s="4">
        <v>295703</v>
      </c>
      <c r="M480" s="3">
        <v>3861351641</v>
      </c>
      <c r="N480" s="4">
        <v>53111</v>
      </c>
      <c r="O480">
        <f t="shared" si="7"/>
        <v>-1.0716472749540723E-3</v>
      </c>
    </row>
    <row r="481" spans="1:15" ht="14.25" customHeight="1" x14ac:dyDescent="0.3">
      <c r="A481" s="2">
        <v>46181</v>
      </c>
      <c r="B481" t="s">
        <v>15</v>
      </c>
      <c r="C481" s="3">
        <v>12900</v>
      </c>
      <c r="D481" s="3">
        <v>13029</v>
      </c>
      <c r="E481" s="3">
        <v>12841</v>
      </c>
      <c r="F481" s="3">
        <v>13050</v>
      </c>
      <c r="G481" s="3">
        <v>12875</v>
      </c>
      <c r="H481" s="3">
        <v>12912</v>
      </c>
      <c r="I481" s="3">
        <v>12955.46</v>
      </c>
      <c r="J481" s="3">
        <v>17370</v>
      </c>
      <c r="K481" s="3">
        <v>12176</v>
      </c>
      <c r="L481" s="4">
        <v>372902</v>
      </c>
      <c r="M481" s="3">
        <v>4831116675</v>
      </c>
      <c r="N481" s="4">
        <v>51919</v>
      </c>
      <c r="O481">
        <f t="shared" si="7"/>
        <v>-1.0574712643678161E-2</v>
      </c>
    </row>
    <row r="482" spans="1:15" ht="14.25" customHeight="1" x14ac:dyDescent="0.3">
      <c r="A482" s="2">
        <v>46182</v>
      </c>
      <c r="B482" t="s">
        <v>15</v>
      </c>
      <c r="C482" s="3">
        <v>13079</v>
      </c>
      <c r="D482" s="3">
        <v>13157</v>
      </c>
      <c r="E482" s="3">
        <v>12851</v>
      </c>
      <c r="F482" s="3">
        <v>12912</v>
      </c>
      <c r="G482" s="3">
        <v>13119</v>
      </c>
      <c r="H482" s="3">
        <v>13120</v>
      </c>
      <c r="I482" s="3">
        <v>12990.3</v>
      </c>
      <c r="J482" s="3">
        <v>17370</v>
      </c>
      <c r="K482" s="3">
        <v>12176</v>
      </c>
      <c r="L482" s="4">
        <v>428323</v>
      </c>
      <c r="M482" s="3">
        <v>5564042567</v>
      </c>
      <c r="N482" s="4">
        <v>54402</v>
      </c>
      <c r="O482">
        <f t="shared" si="7"/>
        <v>1.6109045848822799E-2</v>
      </c>
    </row>
    <row r="483" spans="1:15" ht="14.25" customHeight="1" x14ac:dyDescent="0.3">
      <c r="A483" s="2">
        <v>46183</v>
      </c>
      <c r="B483" t="s">
        <v>15</v>
      </c>
      <c r="C483" s="3">
        <v>13118</v>
      </c>
      <c r="D483" s="3">
        <v>13205</v>
      </c>
      <c r="E483" s="3">
        <v>13050</v>
      </c>
      <c r="F483" s="3">
        <v>13120</v>
      </c>
      <c r="G483" s="3">
        <v>13072</v>
      </c>
      <c r="H483" s="3">
        <v>13073</v>
      </c>
      <c r="I483" s="3">
        <v>13133.95</v>
      </c>
      <c r="J483" s="3">
        <v>17370</v>
      </c>
      <c r="K483" s="3">
        <v>12176</v>
      </c>
      <c r="L483" s="4">
        <v>203885</v>
      </c>
      <c r="M483" s="3">
        <v>2677816413</v>
      </c>
      <c r="N483" s="4">
        <v>36688</v>
      </c>
      <c r="O483">
        <f t="shared" si="7"/>
        <v>-3.5823170731707319E-3</v>
      </c>
    </row>
    <row r="484" spans="1:15" ht="14.25" customHeight="1" x14ac:dyDescent="0.3">
      <c r="A484" s="2">
        <v>46184</v>
      </c>
      <c r="B484" t="s">
        <v>15</v>
      </c>
      <c r="C484" s="3">
        <v>13070</v>
      </c>
      <c r="D484" s="3">
        <v>13217</v>
      </c>
      <c r="E484" s="3">
        <v>12968</v>
      </c>
      <c r="F484" s="3">
        <v>13073</v>
      </c>
      <c r="G484" s="3">
        <v>13134</v>
      </c>
      <c r="H484" s="3">
        <v>13098</v>
      </c>
      <c r="I484" s="3">
        <v>13110.15</v>
      </c>
      <c r="J484" s="3">
        <v>17370</v>
      </c>
      <c r="K484" s="3">
        <v>12176</v>
      </c>
      <c r="L484" s="4">
        <v>308710</v>
      </c>
      <c r="M484" s="3">
        <v>4047235452</v>
      </c>
      <c r="N484" s="4">
        <v>51117</v>
      </c>
      <c r="O484">
        <f t="shared" si="7"/>
        <v>1.9123384074045742E-3</v>
      </c>
    </row>
    <row r="485" spans="1:15" ht="14.25" customHeight="1" x14ac:dyDescent="0.3">
      <c r="A485" s="2">
        <v>46185</v>
      </c>
      <c r="B485" t="s">
        <v>15</v>
      </c>
      <c r="C485" s="3">
        <v>13232</v>
      </c>
      <c r="D485" s="3">
        <v>13418</v>
      </c>
      <c r="E485" s="3">
        <v>13130</v>
      </c>
      <c r="F485" s="3">
        <v>13098</v>
      </c>
      <c r="G485" s="3">
        <v>13350</v>
      </c>
      <c r="H485" s="3">
        <v>13366</v>
      </c>
      <c r="I485" s="3">
        <v>13308.23</v>
      </c>
      <c r="J485" s="3">
        <v>17370</v>
      </c>
      <c r="K485" s="3">
        <v>12176</v>
      </c>
      <c r="L485" s="4">
        <v>559038</v>
      </c>
      <c r="M485" s="3">
        <v>7439807276</v>
      </c>
      <c r="N485" s="4">
        <v>61179</v>
      </c>
      <c r="O485">
        <f t="shared" si="7"/>
        <v>2.0461139105206902E-2</v>
      </c>
    </row>
    <row r="486" spans="1:15" ht="14.25" customHeight="1" x14ac:dyDescent="0.3">
      <c r="A486" s="2">
        <v>46188</v>
      </c>
      <c r="B486" t="s">
        <v>15</v>
      </c>
      <c r="C486" s="3">
        <v>13550</v>
      </c>
      <c r="D486" s="3">
        <v>13961</v>
      </c>
      <c r="E486" s="3">
        <v>13520</v>
      </c>
      <c r="F486" s="3">
        <v>13366</v>
      </c>
      <c r="G486" s="3">
        <v>13806</v>
      </c>
      <c r="H486" s="3">
        <v>13805</v>
      </c>
      <c r="I486" s="3">
        <v>13841.62</v>
      </c>
      <c r="J486" s="3">
        <v>17370</v>
      </c>
      <c r="K486" s="3">
        <v>12201</v>
      </c>
      <c r="L486" s="4">
        <v>613280</v>
      </c>
      <c r="M486" s="3">
        <v>8488786677</v>
      </c>
      <c r="N486" s="4">
        <v>78530</v>
      </c>
      <c r="O486">
        <f t="shared" si="7"/>
        <v>3.2844530899296724E-2</v>
      </c>
    </row>
    <row r="487" spans="1:15" ht="14.25" customHeight="1" x14ac:dyDescent="0.3">
      <c r="A487" s="2">
        <v>46189</v>
      </c>
      <c r="B487" t="s">
        <v>15</v>
      </c>
      <c r="C487" s="3">
        <v>13861</v>
      </c>
      <c r="D487" s="3">
        <v>13874</v>
      </c>
      <c r="E487" s="3">
        <v>13661</v>
      </c>
      <c r="F487" s="3">
        <v>13805</v>
      </c>
      <c r="G487" s="3">
        <v>13687</v>
      </c>
      <c r="H487" s="3">
        <v>13691</v>
      </c>
      <c r="I487" s="3">
        <v>13746.87</v>
      </c>
      <c r="J487" s="3">
        <v>17370</v>
      </c>
      <c r="K487" s="3">
        <v>12201</v>
      </c>
      <c r="L487" s="4">
        <v>280511</v>
      </c>
      <c r="M487" s="3">
        <v>3856147581</v>
      </c>
      <c r="N487" s="4">
        <v>46285</v>
      </c>
      <c r="O487">
        <f t="shared" si="7"/>
        <v>-8.2578775805867439E-3</v>
      </c>
    </row>
    <row r="488" spans="1:15" ht="14.25" customHeight="1" x14ac:dyDescent="0.3">
      <c r="A488" s="2">
        <v>46190</v>
      </c>
      <c r="B488" t="s">
        <v>15</v>
      </c>
      <c r="C488" s="3">
        <v>13700</v>
      </c>
      <c r="D488" s="3">
        <v>13740</v>
      </c>
      <c r="E488" s="3">
        <v>13560</v>
      </c>
      <c r="F488" s="3">
        <v>13691</v>
      </c>
      <c r="G488" s="3">
        <v>13633</v>
      </c>
      <c r="H488" s="3">
        <v>13630</v>
      </c>
      <c r="I488" s="3">
        <v>13648.63</v>
      </c>
      <c r="J488" s="3">
        <v>17370</v>
      </c>
      <c r="K488" s="3">
        <v>12201</v>
      </c>
      <c r="L488" s="4">
        <v>241534</v>
      </c>
      <c r="M488" s="3">
        <v>3296608813</v>
      </c>
      <c r="N488" s="4">
        <v>39753</v>
      </c>
      <c r="O488">
        <f t="shared" si="7"/>
        <v>-4.4554817033087427E-3</v>
      </c>
    </row>
    <row r="489" spans="1:15" ht="14.25" customHeight="1" x14ac:dyDescent="0.3">
      <c r="A489" s="2">
        <v>46191</v>
      </c>
      <c r="B489" t="s">
        <v>15</v>
      </c>
      <c r="C489" s="3">
        <v>13646</v>
      </c>
      <c r="D489" s="3">
        <v>13714</v>
      </c>
      <c r="E489" s="3">
        <v>13433</v>
      </c>
      <c r="F489" s="3">
        <v>13630</v>
      </c>
      <c r="G489" s="3">
        <v>13505</v>
      </c>
      <c r="H489" s="3">
        <v>13484</v>
      </c>
      <c r="I489" s="3">
        <v>13520.52</v>
      </c>
      <c r="J489" s="3">
        <v>17370</v>
      </c>
      <c r="K489" s="3">
        <v>12201</v>
      </c>
      <c r="L489" s="4">
        <v>373512</v>
      </c>
      <c r="M489" s="3">
        <v>5050076437</v>
      </c>
      <c r="N489" s="4">
        <v>45828</v>
      </c>
      <c r="O489">
        <f t="shared" si="7"/>
        <v>-1.0711665443873808E-2</v>
      </c>
    </row>
    <row r="490" spans="1:15" ht="14.25" customHeight="1" x14ac:dyDescent="0.3">
      <c r="A490" s="2">
        <v>46192</v>
      </c>
      <c r="B490" t="s">
        <v>15</v>
      </c>
      <c r="C490" s="3">
        <v>13484</v>
      </c>
      <c r="D490" s="3">
        <v>13507</v>
      </c>
      <c r="E490" s="3">
        <v>13353</v>
      </c>
      <c r="F490" s="3">
        <v>13484</v>
      </c>
      <c r="G490" s="3">
        <v>13422</v>
      </c>
      <c r="H490" s="3">
        <v>13395</v>
      </c>
      <c r="I490" s="3">
        <v>13404.23</v>
      </c>
      <c r="J490" s="3">
        <v>17370</v>
      </c>
      <c r="K490" s="3">
        <v>12201</v>
      </c>
      <c r="L490" s="4">
        <v>719756</v>
      </c>
      <c r="M490" s="3">
        <v>9647776045</v>
      </c>
      <c r="N490" s="4">
        <v>58625</v>
      </c>
      <c r="O490">
        <f t="shared" si="7"/>
        <v>-6.6004153070305547E-3</v>
      </c>
    </row>
    <row r="491" spans="1:15" ht="14.25" customHeight="1" x14ac:dyDescent="0.3">
      <c r="A491" s="2">
        <v>46195</v>
      </c>
      <c r="B491" t="s">
        <v>15</v>
      </c>
      <c r="C491" s="3">
        <v>13450</v>
      </c>
      <c r="D491" s="3">
        <v>13495</v>
      </c>
      <c r="E491" s="3">
        <v>13380</v>
      </c>
      <c r="F491" s="3">
        <v>13395</v>
      </c>
      <c r="G491" s="3">
        <v>13410</v>
      </c>
      <c r="H491" s="3">
        <v>13421</v>
      </c>
      <c r="I491" s="3">
        <v>13447.45</v>
      </c>
      <c r="J491" s="3">
        <v>17370</v>
      </c>
      <c r="K491" s="3">
        <v>12201</v>
      </c>
      <c r="L491" s="4">
        <v>254533</v>
      </c>
      <c r="M491" s="3">
        <v>3422819935</v>
      </c>
      <c r="N491" s="4">
        <v>44557</v>
      </c>
      <c r="O491">
        <f t="shared" si="7"/>
        <v>1.9410227696901828E-3</v>
      </c>
    </row>
    <row r="492" spans="1:15" ht="14.25" customHeight="1" x14ac:dyDescent="0.3">
      <c r="A492" s="2">
        <v>46196</v>
      </c>
      <c r="B492" t="s">
        <v>15</v>
      </c>
      <c r="C492" s="3">
        <v>13420</v>
      </c>
      <c r="D492" s="3">
        <v>13549</v>
      </c>
      <c r="E492" s="3">
        <v>13236</v>
      </c>
      <c r="F492" s="3">
        <v>13421</v>
      </c>
      <c r="G492" s="3">
        <v>13430</v>
      </c>
      <c r="H492" s="3">
        <v>13451</v>
      </c>
      <c r="I492" s="3">
        <v>13383.03</v>
      </c>
      <c r="J492" s="3">
        <v>17370</v>
      </c>
      <c r="K492" s="3">
        <v>12201</v>
      </c>
      <c r="L492" s="4">
        <v>398558</v>
      </c>
      <c r="M492" s="3">
        <v>5333913975</v>
      </c>
      <c r="N492" s="4">
        <v>49903</v>
      </c>
      <c r="O492">
        <f t="shared" si="7"/>
        <v>2.23530288354072E-3</v>
      </c>
    </row>
    <row r="493" spans="1:15" ht="14.25" customHeight="1" x14ac:dyDescent="0.3">
      <c r="A493" s="2">
        <v>46197</v>
      </c>
      <c r="B493" t="s">
        <v>15</v>
      </c>
      <c r="C493" s="3">
        <v>13440</v>
      </c>
      <c r="D493" s="3">
        <v>13440</v>
      </c>
      <c r="E493" s="3">
        <v>13201</v>
      </c>
      <c r="F493" s="3">
        <v>13451</v>
      </c>
      <c r="G493" s="3">
        <v>13209</v>
      </c>
      <c r="H493" s="3">
        <v>13248</v>
      </c>
      <c r="I493" s="3">
        <v>13276.91</v>
      </c>
      <c r="J493" s="3">
        <v>17370</v>
      </c>
      <c r="K493" s="3">
        <v>12201</v>
      </c>
      <c r="L493" s="4">
        <v>327495</v>
      </c>
      <c r="M493" s="3">
        <v>4348121238</v>
      </c>
      <c r="N493" s="4">
        <v>49241</v>
      </c>
      <c r="O493">
        <f t="shared" si="7"/>
        <v>-1.5091814734963942E-2</v>
      </c>
    </row>
    <row r="494" spans="1:15" ht="14.25" customHeight="1" x14ac:dyDescent="0.3">
      <c r="A494" s="2">
        <v>46198</v>
      </c>
      <c r="B494" t="s">
        <v>15</v>
      </c>
      <c r="C494" s="3">
        <v>13358</v>
      </c>
      <c r="D494" s="3">
        <v>13917</v>
      </c>
      <c r="E494" s="3">
        <v>13326</v>
      </c>
      <c r="F494" s="3">
        <v>13248</v>
      </c>
      <c r="G494" s="3">
        <v>13753</v>
      </c>
      <c r="H494" s="3">
        <v>13745</v>
      </c>
      <c r="I494" s="3">
        <v>13746.15</v>
      </c>
      <c r="J494" s="3">
        <v>17370</v>
      </c>
      <c r="K494" s="3">
        <v>12201</v>
      </c>
      <c r="L494" s="4">
        <v>981556</v>
      </c>
      <c r="M494" s="3">
        <v>13492616506</v>
      </c>
      <c r="N494" s="4">
        <v>131284</v>
      </c>
      <c r="O494">
        <f t="shared" si="7"/>
        <v>3.7515096618357488E-2</v>
      </c>
    </row>
    <row r="495" spans="1:15" ht="14.25" customHeight="1" x14ac:dyDescent="0.3">
      <c r="A495" s="2">
        <v>46202</v>
      </c>
      <c r="B495" t="s">
        <v>15</v>
      </c>
      <c r="C495" s="3">
        <v>13740</v>
      </c>
      <c r="D495" s="3">
        <v>13840</v>
      </c>
      <c r="E495" s="3">
        <v>13371</v>
      </c>
      <c r="F495" s="3">
        <v>13745</v>
      </c>
      <c r="G495" s="3">
        <v>13472</v>
      </c>
      <c r="H495" s="3">
        <v>13412</v>
      </c>
      <c r="I495" s="3">
        <v>13464.31</v>
      </c>
      <c r="J495" s="3">
        <v>17370</v>
      </c>
      <c r="K495" s="3">
        <v>12201</v>
      </c>
      <c r="L495" s="4">
        <v>1358592</v>
      </c>
      <c r="M495" s="3">
        <v>18292508819</v>
      </c>
      <c r="N495" s="4">
        <v>163956</v>
      </c>
      <c r="O495">
        <f t="shared" si="7"/>
        <v>-2.4226991633321208E-2</v>
      </c>
    </row>
    <row r="496" spans="1:15" ht="14.25" customHeight="1" x14ac:dyDescent="0.3">
      <c r="A496" s="2">
        <v>46203</v>
      </c>
      <c r="B496" t="s">
        <v>15</v>
      </c>
      <c r="C496" s="3">
        <v>13744</v>
      </c>
      <c r="D496" s="3">
        <v>14201</v>
      </c>
      <c r="E496" s="3">
        <v>13510</v>
      </c>
      <c r="F496" s="3">
        <v>13412</v>
      </c>
      <c r="G496" s="3">
        <v>14152</v>
      </c>
      <c r="H496" s="3">
        <v>14115</v>
      </c>
      <c r="I496" s="3">
        <v>13984.32</v>
      </c>
      <c r="J496" s="3">
        <v>17370</v>
      </c>
      <c r="K496" s="3">
        <v>12201</v>
      </c>
      <c r="L496" s="4">
        <v>1511415</v>
      </c>
      <c r="M496" s="3">
        <v>21136105823</v>
      </c>
      <c r="N496" s="4">
        <v>192999</v>
      </c>
      <c r="O496">
        <f t="shared" si="7"/>
        <v>5.2415747092156281E-2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96"/>
  <sheetViews>
    <sheetView zoomScaleNormal="100" workbookViewId="0">
      <selection sqref="A1:XFD1"/>
    </sheetView>
  </sheetViews>
  <sheetFormatPr defaultColWidth="8.6640625" defaultRowHeight="14.4" x14ac:dyDescent="0.3"/>
  <cols>
    <col min="1" max="1" width="9.88671875" customWidth="1"/>
    <col min="2" max="2" width="6.44140625" customWidth="1"/>
    <col min="3" max="5" width="8" customWidth="1"/>
    <col min="6" max="6" width="11.44140625" customWidth="1"/>
    <col min="7" max="11" width="8" customWidth="1"/>
    <col min="12" max="12" width="10.33203125" customWidth="1"/>
    <col min="13" max="13" width="16.44140625" customWidth="1"/>
    <col min="14" max="14" width="14.21875" customWidth="1"/>
    <col min="15" max="15" width="12.6640625" bestFit="1" customWidth="1"/>
  </cols>
  <sheetData>
    <row r="1" spans="1:15" s="10" customFormat="1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 ht="14.25" customHeight="1" x14ac:dyDescent="0.3">
      <c r="A2" s="2">
        <v>45474</v>
      </c>
      <c r="B2" t="s">
        <v>15</v>
      </c>
      <c r="C2" s="3">
        <v>3125.05</v>
      </c>
      <c r="D2" s="3">
        <v>3158.8</v>
      </c>
      <c r="E2" s="3">
        <v>3111.35</v>
      </c>
      <c r="F2" s="3">
        <v>3130.8</v>
      </c>
      <c r="G2" s="3">
        <v>3123</v>
      </c>
      <c r="H2" s="3">
        <v>3120.3</v>
      </c>
      <c r="I2" s="3">
        <v>3126.53</v>
      </c>
      <c r="J2" s="3">
        <v>3162</v>
      </c>
      <c r="K2" s="3">
        <v>2220.3000000000002</v>
      </c>
      <c r="L2" s="4">
        <v>3862153</v>
      </c>
      <c r="M2" s="3">
        <v>12075137299.450001</v>
      </c>
      <c r="N2" s="4">
        <v>186641</v>
      </c>
    </row>
    <row r="3" spans="1:15" ht="14.25" customHeight="1" x14ac:dyDescent="0.3">
      <c r="A3" s="2">
        <v>45475</v>
      </c>
      <c r="B3" t="s">
        <v>15</v>
      </c>
      <c r="C3" s="3">
        <v>3139</v>
      </c>
      <c r="D3" s="3">
        <v>3147</v>
      </c>
      <c r="E3" s="3">
        <v>3114</v>
      </c>
      <c r="F3" s="3">
        <v>3120.3</v>
      </c>
      <c r="G3" s="3">
        <v>3126.2</v>
      </c>
      <c r="H3" s="3">
        <v>3130.35</v>
      </c>
      <c r="I3" s="3">
        <v>3129.71</v>
      </c>
      <c r="J3" s="3">
        <v>3162</v>
      </c>
      <c r="K3" s="3">
        <v>2220.3000000000002</v>
      </c>
      <c r="L3" s="4">
        <v>3874623</v>
      </c>
      <c r="M3" s="3">
        <v>12126429929.15</v>
      </c>
      <c r="N3" s="4">
        <v>179115</v>
      </c>
      <c r="O3">
        <f t="shared" ref="O3:O66" si="0">(H3-H2)/H2</f>
        <v>3.2208441496009124E-3</v>
      </c>
    </row>
    <row r="4" spans="1:15" ht="14.25" customHeight="1" x14ac:dyDescent="0.3">
      <c r="A4" s="2">
        <v>45476</v>
      </c>
      <c r="B4" t="s">
        <v>15</v>
      </c>
      <c r="C4" s="3">
        <v>3132.65</v>
      </c>
      <c r="D4" s="3">
        <v>3150</v>
      </c>
      <c r="E4" s="3">
        <v>3085.55</v>
      </c>
      <c r="F4" s="3">
        <v>3130.35</v>
      </c>
      <c r="G4" s="3">
        <v>3109</v>
      </c>
      <c r="H4" s="3">
        <v>3104.85</v>
      </c>
      <c r="I4" s="3">
        <v>3104.97</v>
      </c>
      <c r="J4" s="3">
        <v>3162</v>
      </c>
      <c r="K4" s="3">
        <v>2220.3000000000002</v>
      </c>
      <c r="L4" s="4">
        <v>4524810</v>
      </c>
      <c r="M4" s="3">
        <v>14049406822.65</v>
      </c>
      <c r="N4" s="4">
        <v>185754</v>
      </c>
      <c r="O4">
        <f t="shared" si="0"/>
        <v>-8.146053955627966E-3</v>
      </c>
    </row>
    <row r="5" spans="1:15" ht="14.25" customHeight="1" x14ac:dyDescent="0.3">
      <c r="A5" s="2">
        <v>45477</v>
      </c>
      <c r="B5" t="s">
        <v>15</v>
      </c>
      <c r="C5" s="3">
        <v>3114</v>
      </c>
      <c r="D5" s="3">
        <v>3135</v>
      </c>
      <c r="E5" s="3">
        <v>3101.6</v>
      </c>
      <c r="F5" s="3">
        <v>3104.85</v>
      </c>
      <c r="G5" s="3">
        <v>3106</v>
      </c>
      <c r="H5" s="3">
        <v>3108.05</v>
      </c>
      <c r="I5" s="3">
        <v>3116.99</v>
      </c>
      <c r="J5" s="3">
        <v>3162</v>
      </c>
      <c r="K5" s="3">
        <v>2220.3000000000002</v>
      </c>
      <c r="L5" s="4">
        <v>3418588</v>
      </c>
      <c r="M5" s="3">
        <v>10655715706.450001</v>
      </c>
      <c r="N5" s="4">
        <v>173336</v>
      </c>
      <c r="O5">
        <f t="shared" si="0"/>
        <v>1.0306456028472465E-3</v>
      </c>
    </row>
    <row r="6" spans="1:15" ht="14.25" customHeight="1" x14ac:dyDescent="0.3">
      <c r="A6" s="2">
        <v>45478</v>
      </c>
      <c r="B6" t="s">
        <v>15</v>
      </c>
      <c r="C6" s="3">
        <v>3107.65</v>
      </c>
      <c r="D6" s="3">
        <v>3197</v>
      </c>
      <c r="E6" s="3">
        <v>3096</v>
      </c>
      <c r="F6" s="3">
        <v>3108.05</v>
      </c>
      <c r="G6" s="3">
        <v>3189.9</v>
      </c>
      <c r="H6" s="3">
        <v>3177.25</v>
      </c>
      <c r="I6" s="3">
        <v>3149.82</v>
      </c>
      <c r="J6" s="3">
        <v>3197</v>
      </c>
      <c r="K6" s="3">
        <v>2220.3000000000002</v>
      </c>
      <c r="L6" s="4">
        <v>6134855</v>
      </c>
      <c r="M6" s="3">
        <v>19323716027.900002</v>
      </c>
      <c r="N6" s="4">
        <v>261494</v>
      </c>
      <c r="O6">
        <f t="shared" si="0"/>
        <v>2.2264764080371879E-2</v>
      </c>
    </row>
    <row r="7" spans="1:15" ht="14.25" customHeight="1" x14ac:dyDescent="0.3">
      <c r="A7" s="2">
        <v>45481</v>
      </c>
      <c r="B7" t="s">
        <v>15</v>
      </c>
      <c r="C7" s="3">
        <v>3178</v>
      </c>
      <c r="D7" s="3">
        <v>3217.6</v>
      </c>
      <c r="E7" s="3">
        <v>3165.05</v>
      </c>
      <c r="F7" s="3">
        <v>3177.25</v>
      </c>
      <c r="G7" s="3">
        <v>3201.5</v>
      </c>
      <c r="H7" s="3">
        <v>3201.8</v>
      </c>
      <c r="I7" s="3">
        <v>3195.83</v>
      </c>
      <c r="J7" s="3">
        <v>3217.6</v>
      </c>
      <c r="K7" s="3">
        <v>2220.3000000000002</v>
      </c>
      <c r="L7" s="4">
        <v>4750403</v>
      </c>
      <c r="M7" s="3">
        <v>15181479272.549999</v>
      </c>
      <c r="N7" s="4">
        <v>240527</v>
      </c>
      <c r="O7">
        <f t="shared" si="0"/>
        <v>7.7268077740184696E-3</v>
      </c>
    </row>
    <row r="8" spans="1:15" ht="14.25" customHeight="1" x14ac:dyDescent="0.3">
      <c r="A8" s="2">
        <v>45482</v>
      </c>
      <c r="B8" t="s">
        <v>15</v>
      </c>
      <c r="C8" s="3">
        <v>3195.2</v>
      </c>
      <c r="D8" s="3">
        <v>3201</v>
      </c>
      <c r="E8" s="3">
        <v>3161</v>
      </c>
      <c r="F8" s="3">
        <v>3201.8</v>
      </c>
      <c r="G8" s="3">
        <v>3176.3</v>
      </c>
      <c r="H8" s="3">
        <v>3180.55</v>
      </c>
      <c r="I8" s="3">
        <v>3178.56</v>
      </c>
      <c r="J8" s="3">
        <v>3217.6</v>
      </c>
      <c r="K8" s="3">
        <v>2220.3000000000002</v>
      </c>
      <c r="L8" s="4">
        <v>3480001</v>
      </c>
      <c r="M8" s="3">
        <v>11061403124.6</v>
      </c>
      <c r="N8" s="4">
        <v>159638</v>
      </c>
      <c r="O8">
        <f t="shared" si="0"/>
        <v>-6.6368917483915291E-3</v>
      </c>
    </row>
    <row r="9" spans="1:15" ht="14.25" customHeight="1" x14ac:dyDescent="0.3">
      <c r="A9" s="2">
        <v>45483</v>
      </c>
      <c r="B9" t="s">
        <v>15</v>
      </c>
      <c r="C9" s="3">
        <v>3190</v>
      </c>
      <c r="D9" s="3">
        <v>3195</v>
      </c>
      <c r="E9" s="3">
        <v>3126.3</v>
      </c>
      <c r="F9" s="3">
        <v>3180.55</v>
      </c>
      <c r="G9" s="3">
        <v>3164</v>
      </c>
      <c r="H9" s="3">
        <v>3168.45</v>
      </c>
      <c r="I9" s="3">
        <v>3154.77</v>
      </c>
      <c r="J9" s="3">
        <v>3217.6</v>
      </c>
      <c r="K9" s="3">
        <v>2220.3000000000002</v>
      </c>
      <c r="L9" s="4">
        <v>3567289</v>
      </c>
      <c r="M9" s="3">
        <v>11253968347.049999</v>
      </c>
      <c r="N9" s="4">
        <v>182113</v>
      </c>
      <c r="O9">
        <f t="shared" si="0"/>
        <v>-3.8043734574210006E-3</v>
      </c>
    </row>
    <row r="10" spans="1:15" ht="14.25" customHeight="1" x14ac:dyDescent="0.3">
      <c r="A10" s="2">
        <v>45484</v>
      </c>
      <c r="B10" t="s">
        <v>15</v>
      </c>
      <c r="C10" s="3">
        <v>3175</v>
      </c>
      <c r="D10" s="3">
        <v>3208.5</v>
      </c>
      <c r="E10" s="3">
        <v>3141</v>
      </c>
      <c r="F10" s="3">
        <v>3168.45</v>
      </c>
      <c r="G10" s="3">
        <v>3170</v>
      </c>
      <c r="H10" s="3">
        <v>3161.3</v>
      </c>
      <c r="I10" s="3">
        <v>3169.61</v>
      </c>
      <c r="J10" s="3">
        <v>3217.6</v>
      </c>
      <c r="K10" s="3">
        <v>2220.3000000000002</v>
      </c>
      <c r="L10" s="4">
        <v>5970473</v>
      </c>
      <c r="M10" s="3">
        <v>18924071474.549999</v>
      </c>
      <c r="N10" s="4">
        <v>246252</v>
      </c>
      <c r="O10">
        <f t="shared" si="0"/>
        <v>-2.2566239012765349E-3</v>
      </c>
    </row>
    <row r="11" spans="1:15" ht="14.25" customHeight="1" x14ac:dyDescent="0.3">
      <c r="A11" s="2">
        <v>45485</v>
      </c>
      <c r="B11" t="s">
        <v>15</v>
      </c>
      <c r="C11" s="3">
        <v>3169</v>
      </c>
      <c r="D11" s="3">
        <v>3210.3</v>
      </c>
      <c r="E11" s="3">
        <v>3149</v>
      </c>
      <c r="F11" s="3">
        <v>3161.3</v>
      </c>
      <c r="G11" s="3">
        <v>3195</v>
      </c>
      <c r="H11" s="3">
        <v>3193.45</v>
      </c>
      <c r="I11" s="3">
        <v>3186.07</v>
      </c>
      <c r="J11" s="3">
        <v>3217.6</v>
      </c>
      <c r="K11" s="3">
        <v>2220.3000000000002</v>
      </c>
      <c r="L11" s="4">
        <v>6462392</v>
      </c>
      <c r="M11" s="3">
        <v>20589634191.200001</v>
      </c>
      <c r="N11" s="4">
        <v>246838</v>
      </c>
      <c r="O11">
        <f t="shared" si="0"/>
        <v>1.0169866826938169E-2</v>
      </c>
    </row>
    <row r="12" spans="1:15" ht="14.25" customHeight="1" x14ac:dyDescent="0.3">
      <c r="A12" s="2">
        <v>45488</v>
      </c>
      <c r="B12" t="s">
        <v>15</v>
      </c>
      <c r="C12" s="3">
        <v>3208.9</v>
      </c>
      <c r="D12" s="3">
        <v>3211.7</v>
      </c>
      <c r="E12" s="3">
        <v>3171</v>
      </c>
      <c r="F12" s="3">
        <v>3193.45</v>
      </c>
      <c r="G12" s="3">
        <v>3193.6</v>
      </c>
      <c r="H12" s="3">
        <v>3194.45</v>
      </c>
      <c r="I12" s="3">
        <v>3191.4</v>
      </c>
      <c r="J12" s="3">
        <v>3217.6</v>
      </c>
      <c r="K12" s="3">
        <v>2220.3000000000002</v>
      </c>
      <c r="L12" s="4">
        <v>2664844</v>
      </c>
      <c r="M12" s="3">
        <v>8504591755</v>
      </c>
      <c r="N12" s="4">
        <v>187867</v>
      </c>
      <c r="O12">
        <f t="shared" si="0"/>
        <v>3.1314096040332555E-4</v>
      </c>
    </row>
    <row r="13" spans="1:15" ht="14.25" customHeight="1" x14ac:dyDescent="0.3">
      <c r="A13" s="2">
        <v>45489</v>
      </c>
      <c r="B13" t="s">
        <v>15</v>
      </c>
      <c r="C13" s="3">
        <v>3187</v>
      </c>
      <c r="D13" s="3">
        <v>3200</v>
      </c>
      <c r="E13" s="3">
        <v>3138.25</v>
      </c>
      <c r="F13" s="3">
        <v>3194.45</v>
      </c>
      <c r="G13" s="3">
        <v>3148.3</v>
      </c>
      <c r="H13" s="3">
        <v>3152.5</v>
      </c>
      <c r="I13" s="3">
        <v>3166.04</v>
      </c>
      <c r="J13" s="3">
        <v>3217.6</v>
      </c>
      <c r="K13" s="3">
        <v>2220.3000000000002</v>
      </c>
      <c r="L13" s="4">
        <v>4693419</v>
      </c>
      <c r="M13" s="3">
        <v>14859548266.1</v>
      </c>
      <c r="N13" s="4">
        <v>230262</v>
      </c>
      <c r="O13">
        <f t="shared" si="0"/>
        <v>-1.3132151074519814E-2</v>
      </c>
    </row>
    <row r="14" spans="1:15" ht="14.25" customHeight="1" x14ac:dyDescent="0.3">
      <c r="A14" s="2">
        <v>45491</v>
      </c>
      <c r="B14" t="s">
        <v>15</v>
      </c>
      <c r="C14" s="3">
        <v>3152</v>
      </c>
      <c r="D14" s="3">
        <v>3187.8</v>
      </c>
      <c r="E14" s="3">
        <v>3115.65</v>
      </c>
      <c r="F14" s="3">
        <v>3152.5</v>
      </c>
      <c r="G14" s="3">
        <v>3170.6</v>
      </c>
      <c r="H14" s="3">
        <v>3173.35</v>
      </c>
      <c r="I14" s="3">
        <v>3155.52</v>
      </c>
      <c r="J14" s="3">
        <v>3217.6</v>
      </c>
      <c r="K14" s="3">
        <v>2220.3000000000002</v>
      </c>
      <c r="L14" s="4">
        <v>6149187</v>
      </c>
      <c r="M14" s="3">
        <v>19403909511.400002</v>
      </c>
      <c r="N14" s="4">
        <v>212178</v>
      </c>
      <c r="O14">
        <f t="shared" si="0"/>
        <v>6.6137985725614303E-3</v>
      </c>
    </row>
    <row r="15" spans="1:15" ht="14.25" customHeight="1" x14ac:dyDescent="0.3">
      <c r="A15" s="2">
        <v>45492</v>
      </c>
      <c r="B15" t="s">
        <v>15</v>
      </c>
      <c r="C15" s="3">
        <v>3172</v>
      </c>
      <c r="D15" s="3">
        <v>3179.95</v>
      </c>
      <c r="E15" s="3">
        <v>3105.6</v>
      </c>
      <c r="F15" s="3">
        <v>3173.35</v>
      </c>
      <c r="G15" s="3">
        <v>3116.95</v>
      </c>
      <c r="H15" s="3">
        <v>3110.3</v>
      </c>
      <c r="I15" s="3">
        <v>3128.4</v>
      </c>
      <c r="J15" s="3">
        <v>3217.6</v>
      </c>
      <c r="K15" s="3">
        <v>2220.3000000000002</v>
      </c>
      <c r="L15" s="4">
        <v>6570195</v>
      </c>
      <c r="M15" s="3">
        <v>20554178349.450001</v>
      </c>
      <c r="N15" s="4">
        <v>213186</v>
      </c>
      <c r="O15">
        <f t="shared" si="0"/>
        <v>-1.9868593127136853E-2</v>
      </c>
    </row>
    <row r="16" spans="1:15" ht="14.25" customHeight="1" x14ac:dyDescent="0.3">
      <c r="A16" s="2">
        <v>45495</v>
      </c>
      <c r="B16" t="s">
        <v>15</v>
      </c>
      <c r="C16" s="3">
        <v>3074.5</v>
      </c>
      <c r="D16" s="3">
        <v>3075</v>
      </c>
      <c r="E16" s="3">
        <v>2998.55</v>
      </c>
      <c r="F16" s="3">
        <v>3110.3</v>
      </c>
      <c r="G16" s="3">
        <v>3004</v>
      </c>
      <c r="H16" s="3">
        <v>3001.35</v>
      </c>
      <c r="I16" s="3">
        <v>3016.24</v>
      </c>
      <c r="J16" s="3">
        <v>3217.6</v>
      </c>
      <c r="K16" s="3">
        <v>2220.3000000000002</v>
      </c>
      <c r="L16" s="4">
        <v>9837188</v>
      </c>
      <c r="M16" s="3">
        <v>29671339998.450001</v>
      </c>
      <c r="N16" s="4">
        <v>465224</v>
      </c>
      <c r="O16">
        <f t="shared" si="0"/>
        <v>-3.5028775359290186E-2</v>
      </c>
    </row>
    <row r="17" spans="1:15" ht="14.25" customHeight="1" x14ac:dyDescent="0.3">
      <c r="A17" s="2">
        <v>45496</v>
      </c>
      <c r="B17" t="s">
        <v>15</v>
      </c>
      <c r="C17" s="3">
        <v>3002</v>
      </c>
      <c r="D17" s="3">
        <v>3011.5</v>
      </c>
      <c r="E17" s="3">
        <v>2926</v>
      </c>
      <c r="F17" s="3">
        <v>3001.35</v>
      </c>
      <c r="G17" s="3">
        <v>2970.05</v>
      </c>
      <c r="H17" s="3">
        <v>2975.8</v>
      </c>
      <c r="I17" s="3">
        <v>2969.6</v>
      </c>
      <c r="J17" s="3">
        <v>3217.6</v>
      </c>
      <c r="K17" s="3">
        <v>2220.3000000000002</v>
      </c>
      <c r="L17" s="4">
        <v>9026022</v>
      </c>
      <c r="M17" s="3">
        <v>26803649945.599998</v>
      </c>
      <c r="N17" s="4">
        <v>384359</v>
      </c>
      <c r="O17">
        <f t="shared" si="0"/>
        <v>-8.5128358905158432E-3</v>
      </c>
    </row>
    <row r="18" spans="1:15" ht="14.25" customHeight="1" x14ac:dyDescent="0.3">
      <c r="A18" s="2">
        <v>45497</v>
      </c>
      <c r="B18" t="s">
        <v>15</v>
      </c>
      <c r="C18" s="3">
        <v>2970</v>
      </c>
      <c r="D18" s="3">
        <v>3019</v>
      </c>
      <c r="E18" s="3">
        <v>2952.8</v>
      </c>
      <c r="F18" s="3">
        <v>2975.8</v>
      </c>
      <c r="G18" s="3">
        <v>2988</v>
      </c>
      <c r="H18" s="3">
        <v>2991.4</v>
      </c>
      <c r="I18" s="3">
        <v>2987.68</v>
      </c>
      <c r="J18" s="3">
        <v>3217.6</v>
      </c>
      <c r="K18" s="3">
        <v>2220.3000000000002</v>
      </c>
      <c r="L18" s="4">
        <v>5956681</v>
      </c>
      <c r="M18" s="3">
        <v>17796651407.599998</v>
      </c>
      <c r="N18" s="4">
        <v>232120</v>
      </c>
      <c r="O18">
        <f t="shared" si="0"/>
        <v>5.2422877881577751E-3</v>
      </c>
    </row>
    <row r="19" spans="1:15" ht="14.25" customHeight="1" x14ac:dyDescent="0.3">
      <c r="A19" s="2">
        <v>45498</v>
      </c>
      <c r="B19" t="s">
        <v>15</v>
      </c>
      <c r="C19" s="3">
        <v>2962</v>
      </c>
      <c r="D19" s="3">
        <v>3000.95</v>
      </c>
      <c r="E19" s="3">
        <v>2954.15</v>
      </c>
      <c r="F19" s="3">
        <v>2991.4</v>
      </c>
      <c r="G19" s="3">
        <v>2988.35</v>
      </c>
      <c r="H19" s="3">
        <v>2984.8</v>
      </c>
      <c r="I19" s="3">
        <v>2980.72</v>
      </c>
      <c r="J19" s="3">
        <v>3217.6</v>
      </c>
      <c r="K19" s="3">
        <v>2220.3000000000002</v>
      </c>
      <c r="L19" s="4">
        <v>6259938</v>
      </c>
      <c r="M19" s="3">
        <v>18659122151.400002</v>
      </c>
      <c r="N19" s="4">
        <v>221753</v>
      </c>
      <c r="O19">
        <f t="shared" si="0"/>
        <v>-2.2063247977535299E-3</v>
      </c>
    </row>
    <row r="20" spans="1:15" ht="14.25" customHeight="1" x14ac:dyDescent="0.3">
      <c r="A20" s="2">
        <v>45499</v>
      </c>
      <c r="B20" t="s">
        <v>15</v>
      </c>
      <c r="C20" s="3">
        <v>2984.8</v>
      </c>
      <c r="D20" s="3">
        <v>3024.85</v>
      </c>
      <c r="E20" s="3">
        <v>2980.7</v>
      </c>
      <c r="F20" s="3">
        <v>2984.8</v>
      </c>
      <c r="G20" s="3">
        <v>3018.6</v>
      </c>
      <c r="H20" s="3">
        <v>3018.05</v>
      </c>
      <c r="I20" s="3">
        <v>3012.08</v>
      </c>
      <c r="J20" s="3">
        <v>3217.6</v>
      </c>
      <c r="K20" s="3">
        <v>2220.3000000000002</v>
      </c>
      <c r="L20" s="4">
        <v>4929970</v>
      </c>
      <c r="M20" s="3">
        <v>14849480970.799999</v>
      </c>
      <c r="N20" s="4">
        <v>180757</v>
      </c>
      <c r="O20">
        <f t="shared" si="0"/>
        <v>1.1139774859287055E-2</v>
      </c>
    </row>
    <row r="21" spans="1:15" ht="14.25" customHeight="1" x14ac:dyDescent="0.3">
      <c r="A21" s="2">
        <v>45502</v>
      </c>
      <c r="B21" t="s">
        <v>15</v>
      </c>
      <c r="C21" s="3">
        <v>3023.9</v>
      </c>
      <c r="D21" s="3">
        <v>3055</v>
      </c>
      <c r="E21" s="3">
        <v>3023.55</v>
      </c>
      <c r="F21" s="3">
        <v>3018.05</v>
      </c>
      <c r="G21" s="3">
        <v>3038.25</v>
      </c>
      <c r="H21" s="3">
        <v>3040.2</v>
      </c>
      <c r="I21" s="3">
        <v>3038.43</v>
      </c>
      <c r="J21" s="3">
        <v>3217.6</v>
      </c>
      <c r="K21" s="3">
        <v>2220.3000000000002</v>
      </c>
      <c r="L21" s="4">
        <v>3769275</v>
      </c>
      <c r="M21" s="3">
        <v>11452661155.4</v>
      </c>
      <c r="N21" s="4">
        <v>170155</v>
      </c>
      <c r="O21">
        <f t="shared" si="0"/>
        <v>7.339175957985996E-3</v>
      </c>
    </row>
    <row r="22" spans="1:15" ht="14.25" customHeight="1" x14ac:dyDescent="0.3">
      <c r="A22" s="2">
        <v>45503</v>
      </c>
      <c r="B22" t="s">
        <v>15</v>
      </c>
      <c r="C22" s="3">
        <v>3034.05</v>
      </c>
      <c r="D22" s="3">
        <v>3050</v>
      </c>
      <c r="E22" s="3">
        <v>3020</v>
      </c>
      <c r="F22" s="3">
        <v>3040.2</v>
      </c>
      <c r="G22" s="3">
        <v>3023</v>
      </c>
      <c r="H22" s="3">
        <v>3026.3</v>
      </c>
      <c r="I22" s="3">
        <v>3033.38</v>
      </c>
      <c r="J22" s="3">
        <v>3217.6</v>
      </c>
      <c r="K22" s="3">
        <v>2220.3000000000002</v>
      </c>
      <c r="L22" s="4">
        <v>4114104</v>
      </c>
      <c r="M22" s="3">
        <v>12479637390.299999</v>
      </c>
      <c r="N22" s="4">
        <v>184296</v>
      </c>
      <c r="O22">
        <f t="shared" si="0"/>
        <v>-4.5720676271296746E-3</v>
      </c>
    </row>
    <row r="23" spans="1:15" ht="14.25" customHeight="1" x14ac:dyDescent="0.3">
      <c r="A23" s="2">
        <v>45504</v>
      </c>
      <c r="B23" t="s">
        <v>15</v>
      </c>
      <c r="C23" s="3">
        <v>3008</v>
      </c>
      <c r="D23" s="3">
        <v>3020.9</v>
      </c>
      <c r="E23" s="3">
        <v>3002.3</v>
      </c>
      <c r="F23" s="3">
        <v>3026.3</v>
      </c>
      <c r="G23" s="3">
        <v>3009</v>
      </c>
      <c r="H23" s="3">
        <v>3010.85</v>
      </c>
      <c r="I23" s="3">
        <v>3010.83</v>
      </c>
      <c r="J23" s="3">
        <v>3217.6</v>
      </c>
      <c r="K23" s="3">
        <v>2220.3000000000002</v>
      </c>
      <c r="L23" s="4">
        <v>5028673</v>
      </c>
      <c r="M23" s="3">
        <v>15140471169.85</v>
      </c>
      <c r="N23" s="4">
        <v>201961</v>
      </c>
      <c r="O23">
        <f t="shared" si="0"/>
        <v>-5.1052440273602322E-3</v>
      </c>
    </row>
    <row r="24" spans="1:15" ht="14.25" customHeight="1" x14ac:dyDescent="0.3">
      <c r="A24" s="2">
        <v>45505</v>
      </c>
      <c r="B24" t="s">
        <v>15</v>
      </c>
      <c r="C24" s="3">
        <v>3024</v>
      </c>
      <c r="D24" s="3">
        <v>3036</v>
      </c>
      <c r="E24" s="3">
        <v>3008.6</v>
      </c>
      <c r="F24" s="3">
        <v>3010.85</v>
      </c>
      <c r="G24" s="3">
        <v>3035.9</v>
      </c>
      <c r="H24" s="3">
        <v>3030.6</v>
      </c>
      <c r="I24" s="3">
        <v>3025.5</v>
      </c>
      <c r="J24" s="3">
        <v>3217.6</v>
      </c>
      <c r="K24" s="3">
        <v>2220.3000000000002</v>
      </c>
      <c r="L24" s="4">
        <v>5382111</v>
      </c>
      <c r="M24" s="3">
        <v>16283566572.299999</v>
      </c>
      <c r="N24" s="4">
        <v>219081</v>
      </c>
      <c r="O24">
        <f t="shared" si="0"/>
        <v>6.5596094126243419E-3</v>
      </c>
    </row>
    <row r="25" spans="1:15" ht="14.25" customHeight="1" x14ac:dyDescent="0.3">
      <c r="A25" s="2">
        <v>45506</v>
      </c>
      <c r="B25" t="s">
        <v>15</v>
      </c>
      <c r="C25" s="3">
        <v>3010</v>
      </c>
      <c r="D25" s="3">
        <v>3018.65</v>
      </c>
      <c r="E25" s="3">
        <v>2986.55</v>
      </c>
      <c r="F25" s="3">
        <v>3030.6</v>
      </c>
      <c r="G25" s="3">
        <v>2992</v>
      </c>
      <c r="H25" s="3">
        <v>2998.65</v>
      </c>
      <c r="I25" s="3">
        <v>3001.82</v>
      </c>
      <c r="J25" s="3">
        <v>3217.6</v>
      </c>
      <c r="K25" s="3">
        <v>2220.3000000000002</v>
      </c>
      <c r="L25" s="4">
        <v>5134124</v>
      </c>
      <c r="M25" s="3">
        <v>15411692078.15</v>
      </c>
      <c r="N25" s="4">
        <v>176635</v>
      </c>
      <c r="O25">
        <f t="shared" si="0"/>
        <v>-1.0542466838249791E-2</v>
      </c>
    </row>
    <row r="26" spans="1:15" ht="14.25" customHeight="1" x14ac:dyDescent="0.3">
      <c r="A26" s="2">
        <v>45509</v>
      </c>
      <c r="B26" t="s">
        <v>15</v>
      </c>
      <c r="C26" s="3">
        <v>2960</v>
      </c>
      <c r="D26" s="3">
        <v>2967.8</v>
      </c>
      <c r="E26" s="3">
        <v>2866.5</v>
      </c>
      <c r="F26" s="3">
        <v>2998.65</v>
      </c>
      <c r="G26" s="3">
        <v>2896</v>
      </c>
      <c r="H26" s="3">
        <v>2894.65</v>
      </c>
      <c r="I26" s="3">
        <v>2901.81</v>
      </c>
      <c r="J26" s="3">
        <v>3217.6</v>
      </c>
      <c r="K26" s="3">
        <v>2220.3000000000002</v>
      </c>
      <c r="L26" s="4">
        <v>8523352</v>
      </c>
      <c r="M26" s="3">
        <v>24733128212</v>
      </c>
      <c r="N26" s="4">
        <v>448630</v>
      </c>
      <c r="O26">
        <f t="shared" si="0"/>
        <v>-3.4682273689827091E-2</v>
      </c>
    </row>
    <row r="27" spans="1:15" ht="14.25" customHeight="1" x14ac:dyDescent="0.3">
      <c r="A27" s="2">
        <v>45510</v>
      </c>
      <c r="B27" t="s">
        <v>15</v>
      </c>
      <c r="C27" s="3">
        <v>2910.3</v>
      </c>
      <c r="D27" s="3">
        <v>2955</v>
      </c>
      <c r="E27" s="3">
        <v>2902.65</v>
      </c>
      <c r="F27" s="3">
        <v>2894.65</v>
      </c>
      <c r="G27" s="3">
        <v>2915.55</v>
      </c>
      <c r="H27" s="3">
        <v>2912.1</v>
      </c>
      <c r="I27" s="3">
        <v>2929.53</v>
      </c>
      <c r="J27" s="3">
        <v>3217.6</v>
      </c>
      <c r="K27" s="3">
        <v>2220.3000000000002</v>
      </c>
      <c r="L27" s="4">
        <v>5118093</v>
      </c>
      <c r="M27" s="3">
        <v>14993589440.049999</v>
      </c>
      <c r="N27" s="4">
        <v>197549</v>
      </c>
      <c r="O27">
        <f t="shared" si="0"/>
        <v>6.0283626690618274E-3</v>
      </c>
    </row>
    <row r="28" spans="1:15" ht="14.25" customHeight="1" x14ac:dyDescent="0.3">
      <c r="A28" s="2">
        <v>45511</v>
      </c>
      <c r="B28" t="s">
        <v>15</v>
      </c>
      <c r="C28" s="3">
        <v>2938</v>
      </c>
      <c r="D28" s="3">
        <v>2945</v>
      </c>
      <c r="E28" s="3">
        <v>2923</v>
      </c>
      <c r="F28" s="3">
        <v>2912.1</v>
      </c>
      <c r="G28" s="3">
        <v>2930</v>
      </c>
      <c r="H28" s="3">
        <v>2929.65</v>
      </c>
      <c r="I28" s="3">
        <v>2930.89</v>
      </c>
      <c r="J28" s="3">
        <v>3217.6</v>
      </c>
      <c r="K28" s="3">
        <v>2220.3000000000002</v>
      </c>
      <c r="L28" s="4">
        <v>4087284</v>
      </c>
      <c r="M28" s="3">
        <v>11979363870.549999</v>
      </c>
      <c r="N28" s="4">
        <v>276362</v>
      </c>
      <c r="O28">
        <f t="shared" si="0"/>
        <v>6.0265787575976724E-3</v>
      </c>
    </row>
    <row r="29" spans="1:15" ht="14.25" customHeight="1" x14ac:dyDescent="0.3">
      <c r="A29" s="2">
        <v>45512</v>
      </c>
      <c r="B29" t="s">
        <v>15</v>
      </c>
      <c r="C29" s="3">
        <v>2915.05</v>
      </c>
      <c r="D29" s="3">
        <v>2930</v>
      </c>
      <c r="E29" s="3">
        <v>2891.85</v>
      </c>
      <c r="F29" s="3">
        <v>2929.65</v>
      </c>
      <c r="G29" s="3">
        <v>2896.45</v>
      </c>
      <c r="H29" s="3">
        <v>2898.25</v>
      </c>
      <c r="I29" s="3">
        <v>2905.69</v>
      </c>
      <c r="J29" s="3">
        <v>3217.6</v>
      </c>
      <c r="K29" s="3">
        <v>2220.3000000000002</v>
      </c>
      <c r="L29" s="4">
        <v>6193596</v>
      </c>
      <c r="M29" s="3">
        <v>17996662105.650002</v>
      </c>
      <c r="N29" s="4">
        <v>255138</v>
      </c>
      <c r="O29">
        <f t="shared" si="0"/>
        <v>-1.0718003857116068E-2</v>
      </c>
    </row>
    <row r="30" spans="1:15" ht="14.25" customHeight="1" x14ac:dyDescent="0.3">
      <c r="A30" s="2">
        <v>45513</v>
      </c>
      <c r="B30" t="s">
        <v>15</v>
      </c>
      <c r="C30" s="3">
        <v>2920</v>
      </c>
      <c r="D30" s="3">
        <v>2953</v>
      </c>
      <c r="E30" s="3">
        <v>2912</v>
      </c>
      <c r="F30" s="3">
        <v>2898.25</v>
      </c>
      <c r="G30" s="3">
        <v>2946.1</v>
      </c>
      <c r="H30" s="3">
        <v>2948.6</v>
      </c>
      <c r="I30" s="3">
        <v>2939.2</v>
      </c>
      <c r="J30" s="3">
        <v>3217.6</v>
      </c>
      <c r="K30" s="3">
        <v>2220.3000000000002</v>
      </c>
      <c r="L30" s="4">
        <v>3124888</v>
      </c>
      <c r="M30" s="3">
        <v>9184680574.0499992</v>
      </c>
      <c r="N30" s="4">
        <v>150169</v>
      </c>
      <c r="O30">
        <f t="shared" si="0"/>
        <v>1.7372552402311708E-2</v>
      </c>
    </row>
    <row r="31" spans="1:15" ht="14.25" customHeight="1" x14ac:dyDescent="0.3">
      <c r="A31" s="2">
        <v>45516</v>
      </c>
      <c r="B31" t="s">
        <v>15</v>
      </c>
      <c r="C31" s="3">
        <v>2940</v>
      </c>
      <c r="D31" s="3">
        <v>2946</v>
      </c>
      <c r="E31" s="3">
        <v>2915.5</v>
      </c>
      <c r="F31" s="3">
        <v>2948.6</v>
      </c>
      <c r="G31" s="3">
        <v>2923</v>
      </c>
      <c r="H31" s="3">
        <v>2921.25</v>
      </c>
      <c r="I31" s="3">
        <v>2929.82</v>
      </c>
      <c r="J31" s="3">
        <v>3217.6</v>
      </c>
      <c r="K31" s="3">
        <v>2220.3000000000002</v>
      </c>
      <c r="L31" s="4">
        <v>4092292</v>
      </c>
      <c r="M31" s="3">
        <v>11989680025.65</v>
      </c>
      <c r="N31" s="4">
        <v>188301</v>
      </c>
      <c r="O31">
        <f t="shared" si="0"/>
        <v>-9.2755884148409112E-3</v>
      </c>
    </row>
    <row r="32" spans="1:15" ht="14.25" customHeight="1" x14ac:dyDescent="0.3">
      <c r="A32" s="2">
        <v>45517</v>
      </c>
      <c r="B32" t="s">
        <v>15</v>
      </c>
      <c r="C32" s="3">
        <v>2921.5</v>
      </c>
      <c r="D32" s="3">
        <v>2940.15</v>
      </c>
      <c r="E32" s="3">
        <v>2916</v>
      </c>
      <c r="F32" s="3">
        <v>2921.25</v>
      </c>
      <c r="G32" s="3">
        <v>2925</v>
      </c>
      <c r="H32" s="3">
        <v>2927.25</v>
      </c>
      <c r="I32" s="3">
        <v>2928.29</v>
      </c>
      <c r="J32" s="3">
        <v>3217.6</v>
      </c>
      <c r="K32" s="3">
        <v>2220.3000000000002</v>
      </c>
      <c r="L32" s="4">
        <v>3132532</v>
      </c>
      <c r="M32" s="3">
        <v>9172971802.7000008</v>
      </c>
      <c r="N32" s="4">
        <v>134517</v>
      </c>
      <c r="O32">
        <f t="shared" si="0"/>
        <v>2.0539152759948653E-3</v>
      </c>
    </row>
    <row r="33" spans="1:15" ht="14.25" customHeight="1" x14ac:dyDescent="0.3">
      <c r="A33" s="2">
        <v>45518</v>
      </c>
      <c r="B33" t="s">
        <v>15</v>
      </c>
      <c r="C33" s="3">
        <v>2927.1</v>
      </c>
      <c r="D33" s="3">
        <v>2944</v>
      </c>
      <c r="E33" s="3">
        <v>2907.4</v>
      </c>
      <c r="F33" s="3">
        <v>2927.25</v>
      </c>
      <c r="G33" s="3">
        <v>2920.1</v>
      </c>
      <c r="H33" s="3">
        <v>2923.7</v>
      </c>
      <c r="I33" s="3">
        <v>2925.78</v>
      </c>
      <c r="J33" s="3">
        <v>3217.6</v>
      </c>
      <c r="K33" s="3">
        <v>2220.3000000000002</v>
      </c>
      <c r="L33" s="4">
        <v>3133733</v>
      </c>
      <c r="M33" s="3">
        <v>9168616380.7999992</v>
      </c>
      <c r="N33" s="4">
        <v>185733</v>
      </c>
      <c r="O33">
        <f t="shared" si="0"/>
        <v>-1.2127423349560789E-3</v>
      </c>
    </row>
    <row r="34" spans="1:15" ht="14.25" customHeight="1" x14ac:dyDescent="0.3">
      <c r="A34" s="2">
        <v>45520</v>
      </c>
      <c r="B34" t="s">
        <v>15</v>
      </c>
      <c r="C34" s="3">
        <v>2937.3</v>
      </c>
      <c r="D34" s="3">
        <v>2960.8</v>
      </c>
      <c r="E34" s="3">
        <v>2916.1</v>
      </c>
      <c r="F34" s="3">
        <v>2923.7</v>
      </c>
      <c r="G34" s="3">
        <v>2957.75</v>
      </c>
      <c r="H34" s="3">
        <v>2956.4</v>
      </c>
      <c r="I34" s="3">
        <v>2944.77</v>
      </c>
      <c r="J34" s="3">
        <v>3217.6</v>
      </c>
      <c r="K34" s="3">
        <v>2220.3000000000002</v>
      </c>
      <c r="L34" s="4">
        <v>4708451</v>
      </c>
      <c r="M34" s="3">
        <v>13865325209.75</v>
      </c>
      <c r="N34" s="4">
        <v>187365</v>
      </c>
      <c r="O34">
        <f t="shared" si="0"/>
        <v>1.1184458049731599E-2</v>
      </c>
    </row>
    <row r="35" spans="1:15" ht="14.25" customHeight="1" x14ac:dyDescent="0.3">
      <c r="A35" s="2">
        <v>45523</v>
      </c>
      <c r="B35" t="s">
        <v>15</v>
      </c>
      <c r="C35" s="3">
        <v>2965</v>
      </c>
      <c r="D35" s="3">
        <v>2996.6</v>
      </c>
      <c r="E35" s="3">
        <v>2961</v>
      </c>
      <c r="F35" s="3">
        <v>2956.4</v>
      </c>
      <c r="G35" s="3">
        <v>2979</v>
      </c>
      <c r="H35" s="3">
        <v>2976.8</v>
      </c>
      <c r="I35" s="3">
        <v>2980.25</v>
      </c>
      <c r="J35" s="3">
        <v>3217.6</v>
      </c>
      <c r="K35" s="3">
        <v>2220.3000000000002</v>
      </c>
      <c r="L35" s="4">
        <v>6898871</v>
      </c>
      <c r="M35" s="3">
        <v>20560327724.599998</v>
      </c>
      <c r="N35" s="4">
        <v>200328</v>
      </c>
      <c r="O35">
        <f t="shared" si="0"/>
        <v>6.9002841293465331E-3</v>
      </c>
    </row>
    <row r="36" spans="1:15" ht="14.25" customHeight="1" x14ac:dyDescent="0.3">
      <c r="A36" s="2">
        <v>45524</v>
      </c>
      <c r="B36" t="s">
        <v>15</v>
      </c>
      <c r="C36" s="3">
        <v>2994.45</v>
      </c>
      <c r="D36" s="3">
        <v>3007.85</v>
      </c>
      <c r="E36" s="3">
        <v>2980.05</v>
      </c>
      <c r="F36" s="3">
        <v>2976.8</v>
      </c>
      <c r="G36" s="3">
        <v>2986.5</v>
      </c>
      <c r="H36" s="3">
        <v>2991.9</v>
      </c>
      <c r="I36" s="3">
        <v>2996.98</v>
      </c>
      <c r="J36" s="3">
        <v>3217.6</v>
      </c>
      <c r="K36" s="3">
        <v>2220.3000000000002</v>
      </c>
      <c r="L36" s="4">
        <v>4205904</v>
      </c>
      <c r="M36" s="3">
        <v>12605024714.4</v>
      </c>
      <c r="N36" s="4">
        <v>175516</v>
      </c>
      <c r="O36">
        <f t="shared" si="0"/>
        <v>5.0725611394786038E-3</v>
      </c>
    </row>
    <row r="37" spans="1:15" ht="14.25" customHeight="1" x14ac:dyDescent="0.3">
      <c r="A37" s="2">
        <v>45525</v>
      </c>
      <c r="B37" t="s">
        <v>15</v>
      </c>
      <c r="C37" s="3">
        <v>2986.5</v>
      </c>
      <c r="D37" s="3">
        <v>3015.75</v>
      </c>
      <c r="E37" s="3">
        <v>2980</v>
      </c>
      <c r="F37" s="3">
        <v>2991.9</v>
      </c>
      <c r="G37" s="3">
        <v>2999</v>
      </c>
      <c r="H37" s="3">
        <v>2997.35</v>
      </c>
      <c r="I37" s="3">
        <v>3001.42</v>
      </c>
      <c r="J37" s="3">
        <v>3217.6</v>
      </c>
      <c r="K37" s="3">
        <v>2220.3000000000002</v>
      </c>
      <c r="L37" s="4">
        <v>3884998</v>
      </c>
      <c r="M37" s="3">
        <v>11660526038.6</v>
      </c>
      <c r="N37" s="4">
        <v>141353</v>
      </c>
      <c r="O37">
        <f t="shared" si="0"/>
        <v>1.8215849460208623E-3</v>
      </c>
    </row>
    <row r="38" spans="1:15" ht="14.25" customHeight="1" x14ac:dyDescent="0.3">
      <c r="A38" s="2">
        <v>45526</v>
      </c>
      <c r="B38" t="s">
        <v>15</v>
      </c>
      <c r="C38" s="3">
        <v>3006</v>
      </c>
      <c r="D38" s="3">
        <v>3013</v>
      </c>
      <c r="E38" s="3">
        <v>2981.3</v>
      </c>
      <c r="F38" s="3">
        <v>2997.35</v>
      </c>
      <c r="G38" s="3">
        <v>2996.5</v>
      </c>
      <c r="H38" s="3">
        <v>2996.25</v>
      </c>
      <c r="I38" s="3">
        <v>2994.88</v>
      </c>
      <c r="J38" s="3">
        <v>3217.6</v>
      </c>
      <c r="K38" s="3">
        <v>2220.3000000000002</v>
      </c>
      <c r="L38" s="4">
        <v>5222891</v>
      </c>
      <c r="M38" s="3">
        <v>15641935953.200001</v>
      </c>
      <c r="N38" s="4">
        <v>233216</v>
      </c>
      <c r="O38">
        <f t="shared" si="0"/>
        <v>-3.6699084191032383E-4</v>
      </c>
    </row>
    <row r="39" spans="1:15" ht="14.25" customHeight="1" x14ac:dyDescent="0.3">
      <c r="A39" s="2">
        <v>45527</v>
      </c>
      <c r="B39" t="s">
        <v>15</v>
      </c>
      <c r="C39" s="3">
        <v>3007.5</v>
      </c>
      <c r="D39" s="3">
        <v>3022.65</v>
      </c>
      <c r="E39" s="3">
        <v>2996.85</v>
      </c>
      <c r="F39" s="3">
        <v>2996.25</v>
      </c>
      <c r="G39" s="3">
        <v>2996.85</v>
      </c>
      <c r="H39" s="3">
        <v>2999.95</v>
      </c>
      <c r="I39" s="3">
        <v>3007.21</v>
      </c>
      <c r="J39" s="3">
        <v>3217.6</v>
      </c>
      <c r="K39" s="3">
        <v>2220.3000000000002</v>
      </c>
      <c r="L39" s="4">
        <v>4624827</v>
      </c>
      <c r="M39" s="3">
        <v>13907842193.299999</v>
      </c>
      <c r="N39" s="4">
        <v>168002</v>
      </c>
      <c r="O39">
        <f t="shared" si="0"/>
        <v>1.2348769294951416E-3</v>
      </c>
    </row>
    <row r="40" spans="1:15" ht="14.25" customHeight="1" x14ac:dyDescent="0.3">
      <c r="A40" s="2">
        <v>45530</v>
      </c>
      <c r="B40" t="s">
        <v>15</v>
      </c>
      <c r="C40" s="3">
        <v>3013.95</v>
      </c>
      <c r="D40" s="3">
        <v>3046</v>
      </c>
      <c r="E40" s="3">
        <v>3006</v>
      </c>
      <c r="F40" s="3">
        <v>2999.95</v>
      </c>
      <c r="G40" s="3">
        <v>3021.2</v>
      </c>
      <c r="H40" s="3">
        <v>3025.2</v>
      </c>
      <c r="I40" s="3">
        <v>3028.8</v>
      </c>
      <c r="J40" s="3">
        <v>3217.6</v>
      </c>
      <c r="K40" s="3">
        <v>2220.3000000000002</v>
      </c>
      <c r="L40" s="4">
        <v>4408057</v>
      </c>
      <c r="M40" s="3">
        <v>13351114538.35</v>
      </c>
      <c r="N40" s="4">
        <v>237540</v>
      </c>
      <c r="O40">
        <f t="shared" si="0"/>
        <v>8.4168069467824465E-3</v>
      </c>
    </row>
    <row r="41" spans="1:15" ht="14.25" customHeight="1" x14ac:dyDescent="0.3">
      <c r="A41" s="2">
        <v>45531</v>
      </c>
      <c r="B41" t="s">
        <v>15</v>
      </c>
      <c r="C41" s="3">
        <v>3021</v>
      </c>
      <c r="D41" s="3">
        <v>3026.95</v>
      </c>
      <c r="E41" s="3">
        <v>2998.9</v>
      </c>
      <c r="F41" s="3">
        <v>3025.2</v>
      </c>
      <c r="G41" s="3">
        <v>3001</v>
      </c>
      <c r="H41" s="3">
        <v>3000.9</v>
      </c>
      <c r="I41" s="3">
        <v>3008.12</v>
      </c>
      <c r="J41" s="3">
        <v>3217.6</v>
      </c>
      <c r="K41" s="3">
        <v>2220.3000000000002</v>
      </c>
      <c r="L41" s="4">
        <v>3125578</v>
      </c>
      <c r="M41" s="3">
        <v>9402108149.0499992</v>
      </c>
      <c r="N41" s="4">
        <v>101024</v>
      </c>
      <c r="O41">
        <f t="shared" si="0"/>
        <v>-8.0325267750891612E-3</v>
      </c>
    </row>
    <row r="42" spans="1:15" ht="14.25" customHeight="1" x14ac:dyDescent="0.3">
      <c r="A42" s="2">
        <v>45532</v>
      </c>
      <c r="B42" t="s">
        <v>15</v>
      </c>
      <c r="C42" s="3">
        <v>3010</v>
      </c>
      <c r="D42" s="3">
        <v>3014.95</v>
      </c>
      <c r="E42" s="3">
        <v>2986</v>
      </c>
      <c r="F42" s="3">
        <v>3000.9</v>
      </c>
      <c r="G42" s="3">
        <v>2999</v>
      </c>
      <c r="H42" s="3">
        <v>2996.6</v>
      </c>
      <c r="I42" s="3">
        <v>2999.57</v>
      </c>
      <c r="J42" s="3">
        <v>3217.6</v>
      </c>
      <c r="K42" s="3">
        <v>2220.3000000000002</v>
      </c>
      <c r="L42" s="4">
        <v>4805143</v>
      </c>
      <c r="M42" s="3">
        <v>14413356125.799999</v>
      </c>
      <c r="N42" s="4">
        <v>200883</v>
      </c>
      <c r="O42">
        <f t="shared" si="0"/>
        <v>-1.4329034622947055E-3</v>
      </c>
    </row>
    <row r="43" spans="1:15" ht="14.25" customHeight="1" x14ac:dyDescent="0.3">
      <c r="A43" s="2">
        <v>45533</v>
      </c>
      <c r="B43" t="s">
        <v>15</v>
      </c>
      <c r="C43" s="3">
        <v>3006.2</v>
      </c>
      <c r="D43" s="3">
        <v>3074</v>
      </c>
      <c r="E43" s="3">
        <v>2988</v>
      </c>
      <c r="F43" s="3">
        <v>2996.6</v>
      </c>
      <c r="G43" s="3">
        <v>3042.9</v>
      </c>
      <c r="H43" s="3">
        <v>3041.85</v>
      </c>
      <c r="I43" s="3">
        <v>3038.57</v>
      </c>
      <c r="J43" s="3">
        <v>3217.6</v>
      </c>
      <c r="K43" s="3">
        <v>2220.3000000000002</v>
      </c>
      <c r="L43" s="4">
        <v>19167679</v>
      </c>
      <c r="M43" s="3">
        <v>58242337590.949997</v>
      </c>
      <c r="N43" s="4">
        <v>570843</v>
      </c>
      <c r="O43">
        <f t="shared" si="0"/>
        <v>1.5100447173463259E-2</v>
      </c>
    </row>
    <row r="44" spans="1:15" ht="14.25" customHeight="1" x14ac:dyDescent="0.3">
      <c r="A44" s="2">
        <v>45534</v>
      </c>
      <c r="B44" t="s">
        <v>15</v>
      </c>
      <c r="C44" s="3">
        <v>3068</v>
      </c>
      <c r="D44" s="3">
        <v>3079.45</v>
      </c>
      <c r="E44" s="3">
        <v>3006.65</v>
      </c>
      <c r="F44" s="3">
        <v>3041.85</v>
      </c>
      <c r="G44" s="3">
        <v>3024.95</v>
      </c>
      <c r="H44" s="3">
        <v>3019.25</v>
      </c>
      <c r="I44" s="3">
        <v>3026.71</v>
      </c>
      <c r="J44" s="3">
        <v>3217.6</v>
      </c>
      <c r="K44" s="3">
        <v>2220.3000000000002</v>
      </c>
      <c r="L44" s="4">
        <v>20810365</v>
      </c>
      <c r="M44" s="3">
        <v>62987009675.800003</v>
      </c>
      <c r="N44" s="4">
        <v>599570</v>
      </c>
      <c r="O44">
        <f t="shared" si="0"/>
        <v>-7.4296891694198954E-3</v>
      </c>
    </row>
    <row r="45" spans="1:15" ht="14.25" customHeight="1" x14ac:dyDescent="0.3">
      <c r="A45" s="2">
        <v>45537</v>
      </c>
      <c r="B45" t="s">
        <v>15</v>
      </c>
      <c r="C45" s="3">
        <v>3021.75</v>
      </c>
      <c r="D45" s="3">
        <v>3053.6</v>
      </c>
      <c r="E45" s="3">
        <v>3013.25</v>
      </c>
      <c r="F45" s="3">
        <v>3019.25</v>
      </c>
      <c r="G45" s="3">
        <v>3034.4</v>
      </c>
      <c r="H45" s="3">
        <v>3032.5</v>
      </c>
      <c r="I45" s="3">
        <v>3034.1</v>
      </c>
      <c r="J45" s="3">
        <v>3217.6</v>
      </c>
      <c r="K45" s="3">
        <v>2220.3000000000002</v>
      </c>
      <c r="L45" s="4">
        <v>5620426</v>
      </c>
      <c r="M45" s="3">
        <v>17052933370.549999</v>
      </c>
      <c r="N45" s="4">
        <v>280541</v>
      </c>
      <c r="O45">
        <f t="shared" si="0"/>
        <v>4.3885070795727414E-3</v>
      </c>
    </row>
    <row r="46" spans="1:15" ht="14.25" customHeight="1" x14ac:dyDescent="0.3">
      <c r="A46" s="2">
        <v>45538</v>
      </c>
      <c r="B46" t="s">
        <v>15</v>
      </c>
      <c r="C46" s="3">
        <v>3042.5</v>
      </c>
      <c r="D46" s="3">
        <v>3046</v>
      </c>
      <c r="E46" s="3">
        <v>3015</v>
      </c>
      <c r="F46" s="3">
        <v>3032.5</v>
      </c>
      <c r="G46" s="3">
        <v>3018.9</v>
      </c>
      <c r="H46" s="3">
        <v>3018.25</v>
      </c>
      <c r="I46" s="3">
        <v>3026.09</v>
      </c>
      <c r="J46" s="3">
        <v>3217.6</v>
      </c>
      <c r="K46" s="3">
        <v>2220.3000000000002</v>
      </c>
      <c r="L46" s="4">
        <v>5461900</v>
      </c>
      <c r="M46" s="3">
        <v>16528193207.35</v>
      </c>
      <c r="N46" s="4">
        <v>226578</v>
      </c>
      <c r="O46">
        <f t="shared" si="0"/>
        <v>-4.6990931574608409E-3</v>
      </c>
    </row>
    <row r="47" spans="1:15" ht="14.25" customHeight="1" x14ac:dyDescent="0.3">
      <c r="A47" s="2">
        <v>45539</v>
      </c>
      <c r="B47" t="s">
        <v>15</v>
      </c>
      <c r="C47" s="3">
        <v>3001.4</v>
      </c>
      <c r="D47" s="3">
        <v>3035</v>
      </c>
      <c r="E47" s="3">
        <v>2999</v>
      </c>
      <c r="F47" s="3">
        <v>3018.25</v>
      </c>
      <c r="G47" s="3">
        <v>3031.95</v>
      </c>
      <c r="H47" s="3">
        <v>3029.1</v>
      </c>
      <c r="I47" s="3">
        <v>3023.3</v>
      </c>
      <c r="J47" s="3">
        <v>3217.6</v>
      </c>
      <c r="K47" s="3">
        <v>2220.3000000000002</v>
      </c>
      <c r="L47" s="4">
        <v>5991652</v>
      </c>
      <c r="M47" s="3">
        <v>18114582555.900002</v>
      </c>
      <c r="N47" s="4">
        <v>252191</v>
      </c>
      <c r="O47">
        <f t="shared" si="0"/>
        <v>3.5947983102791051E-3</v>
      </c>
    </row>
    <row r="48" spans="1:15" ht="14.25" customHeight="1" x14ac:dyDescent="0.3">
      <c r="A48" s="2">
        <v>45540</v>
      </c>
      <c r="B48" t="s">
        <v>15</v>
      </c>
      <c r="C48" s="3">
        <v>3038.1</v>
      </c>
      <c r="D48" s="3">
        <v>3051.55</v>
      </c>
      <c r="E48" s="3">
        <v>2974.1</v>
      </c>
      <c r="F48" s="3">
        <v>3029.1</v>
      </c>
      <c r="G48" s="3">
        <v>2991</v>
      </c>
      <c r="H48" s="3">
        <v>2985.95</v>
      </c>
      <c r="I48" s="3">
        <v>3007.1</v>
      </c>
      <c r="J48" s="3">
        <v>3217.6</v>
      </c>
      <c r="K48" s="3">
        <v>2220.3000000000002</v>
      </c>
      <c r="L48" s="4">
        <v>8132084</v>
      </c>
      <c r="M48" s="3">
        <v>24453950049.650002</v>
      </c>
      <c r="N48" s="4">
        <v>343225</v>
      </c>
      <c r="O48">
        <f t="shared" si="0"/>
        <v>-1.4245155326664717E-2</v>
      </c>
    </row>
    <row r="49" spans="1:15" ht="14.25" customHeight="1" x14ac:dyDescent="0.3">
      <c r="A49" s="2">
        <v>45541</v>
      </c>
      <c r="B49" t="s">
        <v>15</v>
      </c>
      <c r="C49" s="3">
        <v>2985</v>
      </c>
      <c r="D49" s="3">
        <v>2994</v>
      </c>
      <c r="E49" s="3">
        <v>2923.25</v>
      </c>
      <c r="F49" s="3">
        <v>2985.95</v>
      </c>
      <c r="G49" s="3">
        <v>2930.95</v>
      </c>
      <c r="H49" s="3">
        <v>2929.65</v>
      </c>
      <c r="I49" s="3">
        <v>2938.97</v>
      </c>
      <c r="J49" s="3">
        <v>3217.6</v>
      </c>
      <c r="K49" s="3">
        <v>2220.3000000000002</v>
      </c>
      <c r="L49" s="4">
        <v>9697114</v>
      </c>
      <c r="M49" s="3">
        <v>28499495837.099998</v>
      </c>
      <c r="N49" s="4">
        <v>447718</v>
      </c>
      <c r="O49">
        <f t="shared" si="0"/>
        <v>-1.8854970779818729E-2</v>
      </c>
    </row>
    <row r="50" spans="1:15" ht="14.25" customHeight="1" x14ac:dyDescent="0.3">
      <c r="A50" s="2">
        <v>45544</v>
      </c>
      <c r="B50" t="s">
        <v>15</v>
      </c>
      <c r="C50" s="3">
        <v>2933</v>
      </c>
      <c r="D50" s="3">
        <v>2939.85</v>
      </c>
      <c r="E50" s="3">
        <v>2911.2</v>
      </c>
      <c r="F50" s="3">
        <v>2929.65</v>
      </c>
      <c r="G50" s="3">
        <v>2927</v>
      </c>
      <c r="H50" s="3">
        <v>2924.9</v>
      </c>
      <c r="I50" s="3">
        <v>2923.84</v>
      </c>
      <c r="J50" s="3">
        <v>3217.6</v>
      </c>
      <c r="K50" s="3">
        <v>2220.3000000000002</v>
      </c>
      <c r="L50" s="4">
        <v>4505149</v>
      </c>
      <c r="M50" s="3">
        <v>13172342172.799999</v>
      </c>
      <c r="N50" s="4">
        <v>179506</v>
      </c>
      <c r="O50">
        <f t="shared" si="0"/>
        <v>-1.6213540866656425E-3</v>
      </c>
    </row>
    <row r="51" spans="1:15" ht="14.25" customHeight="1" x14ac:dyDescent="0.3">
      <c r="A51" s="2">
        <v>45545</v>
      </c>
      <c r="B51" t="s">
        <v>15</v>
      </c>
      <c r="C51" s="3">
        <v>2921</v>
      </c>
      <c r="D51" s="3">
        <v>2944.1</v>
      </c>
      <c r="E51" s="3">
        <v>2915.15</v>
      </c>
      <c r="F51" s="3">
        <v>2924.9</v>
      </c>
      <c r="G51" s="3">
        <v>2924</v>
      </c>
      <c r="H51" s="3">
        <v>2923.05</v>
      </c>
      <c r="I51" s="3">
        <v>2928.75</v>
      </c>
      <c r="J51" s="3">
        <v>3217.6</v>
      </c>
      <c r="K51" s="3">
        <v>2220.3000000000002</v>
      </c>
      <c r="L51" s="4">
        <v>5384130</v>
      </c>
      <c r="M51" s="3">
        <v>15768777163</v>
      </c>
      <c r="N51" s="4">
        <v>186858</v>
      </c>
      <c r="O51">
        <f t="shared" si="0"/>
        <v>-6.3250025641899176E-4</v>
      </c>
    </row>
    <row r="52" spans="1:15" ht="14.25" customHeight="1" x14ac:dyDescent="0.3">
      <c r="A52" s="2">
        <v>45546</v>
      </c>
      <c r="B52" t="s">
        <v>15</v>
      </c>
      <c r="C52" s="3">
        <v>2926.1</v>
      </c>
      <c r="D52" s="3">
        <v>2937.5</v>
      </c>
      <c r="E52" s="3">
        <v>2895.1</v>
      </c>
      <c r="F52" s="3">
        <v>2923.05</v>
      </c>
      <c r="G52" s="3">
        <v>2904.45</v>
      </c>
      <c r="H52" s="3">
        <v>2903</v>
      </c>
      <c r="I52" s="3">
        <v>2917.1</v>
      </c>
      <c r="J52" s="3">
        <v>3217.6</v>
      </c>
      <c r="K52" s="3">
        <v>2220.3000000000002</v>
      </c>
      <c r="L52" s="4">
        <v>4880101</v>
      </c>
      <c r="M52" s="3">
        <v>14235732813</v>
      </c>
      <c r="N52" s="4">
        <v>254431</v>
      </c>
      <c r="O52">
        <f t="shared" si="0"/>
        <v>-6.8592737038368073E-3</v>
      </c>
    </row>
    <row r="53" spans="1:15" ht="14.25" customHeight="1" x14ac:dyDescent="0.3">
      <c r="A53" s="2">
        <v>45547</v>
      </c>
      <c r="B53" t="s">
        <v>15</v>
      </c>
      <c r="C53" s="3">
        <v>2914</v>
      </c>
      <c r="D53" s="3">
        <v>2972</v>
      </c>
      <c r="E53" s="3">
        <v>2891.75</v>
      </c>
      <c r="F53" s="3">
        <v>2903</v>
      </c>
      <c r="G53" s="3">
        <v>2953</v>
      </c>
      <c r="H53" s="3">
        <v>2959.6</v>
      </c>
      <c r="I53" s="3">
        <v>2930.24</v>
      </c>
      <c r="J53" s="3">
        <v>3217.6</v>
      </c>
      <c r="K53" s="3">
        <v>2220.3000000000002</v>
      </c>
      <c r="L53" s="4">
        <v>11174688</v>
      </c>
      <c r="M53" s="3">
        <v>32744474466.75</v>
      </c>
      <c r="N53" s="4">
        <v>365694</v>
      </c>
      <c r="O53">
        <f t="shared" si="0"/>
        <v>1.949707199448843E-2</v>
      </c>
    </row>
    <row r="54" spans="1:15" ht="14.25" customHeight="1" x14ac:dyDescent="0.3">
      <c r="A54" s="2">
        <v>45548</v>
      </c>
      <c r="B54" t="s">
        <v>15</v>
      </c>
      <c r="C54" s="3">
        <v>2952.8</v>
      </c>
      <c r="D54" s="3">
        <v>2966.3</v>
      </c>
      <c r="E54" s="3">
        <v>2939</v>
      </c>
      <c r="F54" s="3">
        <v>2959.6</v>
      </c>
      <c r="G54" s="3">
        <v>2946.5</v>
      </c>
      <c r="H54" s="3">
        <v>2945.25</v>
      </c>
      <c r="I54" s="3">
        <v>2951.65</v>
      </c>
      <c r="J54" s="3">
        <v>3217.6</v>
      </c>
      <c r="K54" s="3">
        <v>2220.3000000000002</v>
      </c>
      <c r="L54" s="4">
        <v>4355664</v>
      </c>
      <c r="M54" s="3">
        <v>12856398757.549999</v>
      </c>
      <c r="N54" s="4">
        <v>133244</v>
      </c>
      <c r="O54">
        <f t="shared" si="0"/>
        <v>-4.8486281929990237E-3</v>
      </c>
    </row>
    <row r="55" spans="1:15" ht="14.25" customHeight="1" x14ac:dyDescent="0.3">
      <c r="A55" s="2">
        <v>45551</v>
      </c>
      <c r="B55" t="s">
        <v>15</v>
      </c>
      <c r="C55" s="3">
        <v>2955.1</v>
      </c>
      <c r="D55" s="3">
        <v>2961.8</v>
      </c>
      <c r="E55" s="3">
        <v>2929.5</v>
      </c>
      <c r="F55" s="3">
        <v>2945.25</v>
      </c>
      <c r="G55" s="3">
        <v>2944.35</v>
      </c>
      <c r="H55" s="3">
        <v>2942.7</v>
      </c>
      <c r="I55" s="3">
        <v>2944.45</v>
      </c>
      <c r="J55" s="3">
        <v>3217.6</v>
      </c>
      <c r="K55" s="3">
        <v>2220.3000000000002</v>
      </c>
      <c r="L55" s="4">
        <v>2740887</v>
      </c>
      <c r="M55" s="3">
        <v>8070408899.5500002</v>
      </c>
      <c r="N55" s="4">
        <v>127429</v>
      </c>
      <c r="O55">
        <f t="shared" si="0"/>
        <v>-8.658008658009276E-4</v>
      </c>
    </row>
    <row r="56" spans="1:15" ht="14.25" customHeight="1" x14ac:dyDescent="0.3">
      <c r="A56" s="2">
        <v>45552</v>
      </c>
      <c r="B56" t="s">
        <v>15</v>
      </c>
      <c r="C56" s="3">
        <v>2948</v>
      </c>
      <c r="D56" s="3">
        <v>2954.95</v>
      </c>
      <c r="E56" s="3">
        <v>2933.25</v>
      </c>
      <c r="F56" s="3">
        <v>2942.7</v>
      </c>
      <c r="G56" s="3">
        <v>2945</v>
      </c>
      <c r="H56" s="3">
        <v>2944.6</v>
      </c>
      <c r="I56" s="3">
        <v>2943.09</v>
      </c>
      <c r="J56" s="3">
        <v>3217.6</v>
      </c>
      <c r="K56" s="3">
        <v>2220.3000000000002</v>
      </c>
      <c r="L56" s="4">
        <v>2967664</v>
      </c>
      <c r="M56" s="3">
        <v>8734102749.7000008</v>
      </c>
      <c r="N56" s="4">
        <v>148458</v>
      </c>
      <c r="O56">
        <f t="shared" si="0"/>
        <v>6.4566554524759275E-4</v>
      </c>
    </row>
    <row r="57" spans="1:15" ht="14.25" customHeight="1" x14ac:dyDescent="0.3">
      <c r="A57" s="2">
        <v>45553</v>
      </c>
      <c r="B57" t="s">
        <v>15</v>
      </c>
      <c r="C57" s="3">
        <v>2940</v>
      </c>
      <c r="D57" s="3">
        <v>2964</v>
      </c>
      <c r="E57" s="3">
        <v>2921.1</v>
      </c>
      <c r="F57" s="3">
        <v>2944.6</v>
      </c>
      <c r="G57" s="3">
        <v>2923</v>
      </c>
      <c r="H57" s="3">
        <v>2926.9</v>
      </c>
      <c r="I57" s="3">
        <v>2939.96</v>
      </c>
      <c r="J57" s="3">
        <v>3217.6</v>
      </c>
      <c r="K57" s="3">
        <v>2220.3000000000002</v>
      </c>
      <c r="L57" s="4">
        <v>4287357</v>
      </c>
      <c r="M57" s="3">
        <v>12604650688.950001</v>
      </c>
      <c r="N57" s="4">
        <v>179852</v>
      </c>
      <c r="O57">
        <f t="shared" si="0"/>
        <v>-6.0110031922841201E-3</v>
      </c>
    </row>
    <row r="58" spans="1:15" ht="14.25" customHeight="1" x14ac:dyDescent="0.3">
      <c r="A58" s="2">
        <v>45554</v>
      </c>
      <c r="B58" t="s">
        <v>15</v>
      </c>
      <c r="C58" s="3">
        <v>2932.5</v>
      </c>
      <c r="D58" s="3">
        <v>2953</v>
      </c>
      <c r="E58" s="3">
        <v>2911.1</v>
      </c>
      <c r="F58" s="3">
        <v>2926.9</v>
      </c>
      <c r="G58" s="3">
        <v>2940</v>
      </c>
      <c r="H58" s="3">
        <v>2939.35</v>
      </c>
      <c r="I58" s="3">
        <v>2934.14</v>
      </c>
      <c r="J58" s="3">
        <v>3217.6</v>
      </c>
      <c r="K58" s="3">
        <v>2220.3000000000002</v>
      </c>
      <c r="L58" s="4">
        <v>8477951</v>
      </c>
      <c r="M58" s="3">
        <v>24875502062.25</v>
      </c>
      <c r="N58" s="4">
        <v>259931</v>
      </c>
      <c r="O58">
        <f t="shared" si="0"/>
        <v>4.2536472035258526E-3</v>
      </c>
    </row>
    <row r="59" spans="1:15" ht="14.25" customHeight="1" x14ac:dyDescent="0.3">
      <c r="A59" s="2">
        <v>45555</v>
      </c>
      <c r="B59" t="s">
        <v>15</v>
      </c>
      <c r="C59" s="3">
        <v>2948</v>
      </c>
      <c r="D59" s="3">
        <v>2990</v>
      </c>
      <c r="E59" s="3">
        <v>2942.75</v>
      </c>
      <c r="F59" s="3">
        <v>2939.35</v>
      </c>
      <c r="G59" s="3">
        <v>2972.1</v>
      </c>
      <c r="H59" s="3">
        <v>2971.85</v>
      </c>
      <c r="I59" s="3">
        <v>2970.54</v>
      </c>
      <c r="J59" s="3">
        <v>3217.6</v>
      </c>
      <c r="K59" s="3">
        <v>2220.3000000000002</v>
      </c>
      <c r="L59" s="4">
        <v>15448660</v>
      </c>
      <c r="M59" s="3">
        <v>45890894255.5</v>
      </c>
      <c r="N59" s="4">
        <v>379677</v>
      </c>
      <c r="O59">
        <f t="shared" si="0"/>
        <v>1.1056866313980982E-2</v>
      </c>
    </row>
    <row r="60" spans="1:15" ht="14.25" customHeight="1" x14ac:dyDescent="0.3">
      <c r="A60" s="2">
        <v>45558</v>
      </c>
      <c r="B60" t="s">
        <v>15</v>
      </c>
      <c r="C60" s="3">
        <v>2982</v>
      </c>
      <c r="D60" s="3">
        <v>3003</v>
      </c>
      <c r="E60" s="3">
        <v>2977.9</v>
      </c>
      <c r="F60" s="3">
        <v>2971.85</v>
      </c>
      <c r="G60" s="3">
        <v>2985</v>
      </c>
      <c r="H60" s="3">
        <v>2986.75</v>
      </c>
      <c r="I60" s="3">
        <v>2990.93</v>
      </c>
      <c r="J60" s="3">
        <v>3217.6</v>
      </c>
      <c r="K60" s="3">
        <v>2220.3000000000002</v>
      </c>
      <c r="L60" s="4">
        <v>4416157</v>
      </c>
      <c r="M60" s="3">
        <v>13208420985.1</v>
      </c>
      <c r="N60" s="4">
        <v>146805</v>
      </c>
      <c r="O60">
        <f t="shared" si="0"/>
        <v>5.0137119975772974E-3</v>
      </c>
    </row>
    <row r="61" spans="1:15" ht="14.25" customHeight="1" x14ac:dyDescent="0.3">
      <c r="A61" s="2">
        <v>45559</v>
      </c>
      <c r="B61" t="s">
        <v>15</v>
      </c>
      <c r="C61" s="3">
        <v>2977</v>
      </c>
      <c r="D61" s="3">
        <v>3001</v>
      </c>
      <c r="E61" s="3">
        <v>2975.75</v>
      </c>
      <c r="F61" s="3">
        <v>2986.75</v>
      </c>
      <c r="G61" s="3">
        <v>2980.5</v>
      </c>
      <c r="H61" s="3">
        <v>2978.75</v>
      </c>
      <c r="I61" s="3">
        <v>2986.14</v>
      </c>
      <c r="J61" s="3">
        <v>3217.6</v>
      </c>
      <c r="K61" s="3">
        <v>2220.3000000000002</v>
      </c>
      <c r="L61" s="4">
        <v>8568722</v>
      </c>
      <c r="M61" s="3">
        <v>25587444695.299999</v>
      </c>
      <c r="N61" s="4">
        <v>201586</v>
      </c>
      <c r="O61">
        <f t="shared" si="0"/>
        <v>-2.6784966937306435E-3</v>
      </c>
    </row>
    <row r="62" spans="1:15" ht="14.25" customHeight="1" x14ac:dyDescent="0.3">
      <c r="A62" s="2">
        <v>45560</v>
      </c>
      <c r="B62" t="s">
        <v>15</v>
      </c>
      <c r="C62" s="3">
        <v>2967.8</v>
      </c>
      <c r="D62" s="3">
        <v>2993</v>
      </c>
      <c r="E62" s="3">
        <v>2960.4</v>
      </c>
      <c r="F62" s="3">
        <v>2978.75</v>
      </c>
      <c r="G62" s="3">
        <v>2988.05</v>
      </c>
      <c r="H62" s="3">
        <v>2987.9</v>
      </c>
      <c r="I62" s="3">
        <v>2976.46</v>
      </c>
      <c r="J62" s="3">
        <v>3217.6</v>
      </c>
      <c r="K62" s="3">
        <v>2220.3000000000002</v>
      </c>
      <c r="L62" s="4">
        <v>3534501</v>
      </c>
      <c r="M62" s="3">
        <v>10520289097.25</v>
      </c>
      <c r="N62" s="4">
        <v>154120</v>
      </c>
      <c r="O62">
        <f t="shared" si="0"/>
        <v>3.0717582878724602E-3</v>
      </c>
    </row>
    <row r="63" spans="1:15" ht="14.25" customHeight="1" x14ac:dyDescent="0.3">
      <c r="A63" s="2">
        <v>45561</v>
      </c>
      <c r="B63" t="s">
        <v>15</v>
      </c>
      <c r="C63" s="3">
        <v>2981.3</v>
      </c>
      <c r="D63" s="3">
        <v>3008</v>
      </c>
      <c r="E63" s="3">
        <v>2976.1</v>
      </c>
      <c r="F63" s="3">
        <v>2987.9</v>
      </c>
      <c r="G63" s="3">
        <v>3008</v>
      </c>
      <c r="H63" s="3">
        <v>2995.9</v>
      </c>
      <c r="I63" s="3">
        <v>2994.82</v>
      </c>
      <c r="J63" s="3">
        <v>3217.6</v>
      </c>
      <c r="K63" s="3">
        <v>2220.3000000000002</v>
      </c>
      <c r="L63" s="4">
        <v>9409499</v>
      </c>
      <c r="M63" s="3">
        <v>28179760605.200001</v>
      </c>
      <c r="N63" s="4">
        <v>259792</v>
      </c>
      <c r="O63">
        <f t="shared" si="0"/>
        <v>2.6774657786405166E-3</v>
      </c>
    </row>
    <row r="64" spans="1:15" ht="14.25" customHeight="1" x14ac:dyDescent="0.3">
      <c r="A64" s="2">
        <v>45562</v>
      </c>
      <c r="B64" t="s">
        <v>15</v>
      </c>
      <c r="C64" s="3">
        <v>2998</v>
      </c>
      <c r="D64" s="3">
        <v>3066.95</v>
      </c>
      <c r="E64" s="3">
        <v>2984</v>
      </c>
      <c r="F64" s="3">
        <v>2995.9</v>
      </c>
      <c r="G64" s="3">
        <v>3047.05</v>
      </c>
      <c r="H64" s="3">
        <v>3052.35</v>
      </c>
      <c r="I64" s="3">
        <v>3024.87</v>
      </c>
      <c r="J64" s="3">
        <v>3217.6</v>
      </c>
      <c r="K64" s="3">
        <v>2220.3000000000002</v>
      </c>
      <c r="L64" s="4">
        <v>10298739</v>
      </c>
      <c r="M64" s="3">
        <v>31152328126.200001</v>
      </c>
      <c r="N64" s="4">
        <v>328612</v>
      </c>
      <c r="O64">
        <f t="shared" si="0"/>
        <v>1.8842417971227283E-2</v>
      </c>
    </row>
    <row r="65" spans="1:15" ht="14.25" customHeight="1" x14ac:dyDescent="0.3">
      <c r="A65" s="2">
        <v>45565</v>
      </c>
      <c r="B65" t="s">
        <v>15</v>
      </c>
      <c r="C65" s="3">
        <v>3038.8</v>
      </c>
      <c r="D65" s="3">
        <v>3049.95</v>
      </c>
      <c r="E65" s="3">
        <v>2948.8</v>
      </c>
      <c r="F65" s="3">
        <v>3052.35</v>
      </c>
      <c r="G65" s="3">
        <v>2958</v>
      </c>
      <c r="H65" s="3">
        <v>2953.15</v>
      </c>
      <c r="I65" s="3">
        <v>2977.44</v>
      </c>
      <c r="J65" s="3">
        <v>3217.6</v>
      </c>
      <c r="K65" s="3">
        <v>2220.3000000000002</v>
      </c>
      <c r="L65" s="4">
        <v>13504407</v>
      </c>
      <c r="M65" s="3">
        <v>40208625079.449997</v>
      </c>
      <c r="N65" s="4">
        <v>431656</v>
      </c>
      <c r="O65">
        <f t="shared" si="0"/>
        <v>-3.2499549527413248E-2</v>
      </c>
    </row>
    <row r="66" spans="1:15" ht="14.25" customHeight="1" x14ac:dyDescent="0.3">
      <c r="A66" s="2">
        <v>45566</v>
      </c>
      <c r="B66" t="s">
        <v>15</v>
      </c>
      <c r="C66" s="3">
        <v>2961.3</v>
      </c>
      <c r="D66" s="3">
        <v>2975.9</v>
      </c>
      <c r="E66" s="3">
        <v>2925.65</v>
      </c>
      <c r="F66" s="3">
        <v>2953.15</v>
      </c>
      <c r="G66" s="3">
        <v>2927</v>
      </c>
      <c r="H66" s="3">
        <v>2929.65</v>
      </c>
      <c r="I66" s="3">
        <v>2938.6</v>
      </c>
      <c r="J66" s="3">
        <v>3217.6</v>
      </c>
      <c r="K66" s="3">
        <v>2220.3000000000002</v>
      </c>
      <c r="L66" s="4">
        <v>8215821</v>
      </c>
      <c r="M66" s="3">
        <v>24142992536.599998</v>
      </c>
      <c r="N66" s="4">
        <v>330546</v>
      </c>
      <c r="O66">
        <f t="shared" si="0"/>
        <v>-7.9576045917071608E-3</v>
      </c>
    </row>
    <row r="67" spans="1:15" ht="14.25" customHeight="1" x14ac:dyDescent="0.3">
      <c r="A67" s="2">
        <v>45568</v>
      </c>
      <c r="B67" t="s">
        <v>15</v>
      </c>
      <c r="C67" s="3">
        <v>2873.15</v>
      </c>
      <c r="D67" s="3">
        <v>2898.8</v>
      </c>
      <c r="E67" s="3">
        <v>2804.15</v>
      </c>
      <c r="F67" s="3">
        <v>2929.65</v>
      </c>
      <c r="G67" s="3">
        <v>2813.95</v>
      </c>
      <c r="H67" s="3">
        <v>2813.95</v>
      </c>
      <c r="I67" s="3">
        <v>2846.93</v>
      </c>
      <c r="J67" s="3">
        <v>3217.6</v>
      </c>
      <c r="K67" s="3">
        <v>2220.3000000000002</v>
      </c>
      <c r="L67" s="4">
        <v>18878647</v>
      </c>
      <c r="M67" s="3">
        <v>53746234225.650002</v>
      </c>
      <c r="N67" s="4">
        <v>689559</v>
      </c>
      <c r="O67">
        <f t="shared" ref="O67:O130" si="1">(H67-H66)/H66</f>
        <v>-3.9492772174150585E-2</v>
      </c>
    </row>
    <row r="68" spans="1:15" ht="14.25" customHeight="1" x14ac:dyDescent="0.3">
      <c r="A68" s="2">
        <v>45569</v>
      </c>
      <c r="B68" t="s">
        <v>15</v>
      </c>
      <c r="C68" s="3">
        <v>2807.85</v>
      </c>
      <c r="D68" s="3">
        <v>2834.7</v>
      </c>
      <c r="E68" s="3">
        <v>2763.55</v>
      </c>
      <c r="F68" s="3">
        <v>2813.95</v>
      </c>
      <c r="G68" s="3">
        <v>2771.5</v>
      </c>
      <c r="H68" s="3">
        <v>2773.05</v>
      </c>
      <c r="I68" s="3">
        <v>2796.15</v>
      </c>
      <c r="J68" s="3">
        <v>3217.6</v>
      </c>
      <c r="K68" s="3">
        <v>2220.3000000000002</v>
      </c>
      <c r="L68" s="4">
        <v>18536438</v>
      </c>
      <c r="M68" s="3">
        <v>51830708670.550003</v>
      </c>
      <c r="N68" s="4">
        <v>534690</v>
      </c>
      <c r="O68">
        <f t="shared" si="1"/>
        <v>-1.4534728762060321E-2</v>
      </c>
    </row>
    <row r="69" spans="1:15" ht="14.25" customHeight="1" x14ac:dyDescent="0.3">
      <c r="A69" s="2">
        <v>45572</v>
      </c>
      <c r="B69" t="s">
        <v>15</v>
      </c>
      <c r="C69" s="3">
        <v>2787</v>
      </c>
      <c r="D69" s="3">
        <v>2793</v>
      </c>
      <c r="E69" s="3">
        <v>2722.75</v>
      </c>
      <c r="F69" s="3">
        <v>2773.05</v>
      </c>
      <c r="G69" s="3">
        <v>2740.7</v>
      </c>
      <c r="H69" s="3">
        <v>2741.45</v>
      </c>
      <c r="I69" s="3">
        <v>2750.92</v>
      </c>
      <c r="J69" s="3">
        <v>3217.6</v>
      </c>
      <c r="K69" s="3">
        <v>2220.3000000000002</v>
      </c>
      <c r="L69" s="4">
        <v>11090670</v>
      </c>
      <c r="M69" s="3">
        <v>30509518408.049999</v>
      </c>
      <c r="N69" s="4">
        <v>423167</v>
      </c>
      <c r="O69">
        <f t="shared" si="1"/>
        <v>-1.1395394962225839E-2</v>
      </c>
    </row>
    <row r="70" spans="1:15" ht="14.25" customHeight="1" x14ac:dyDescent="0.3">
      <c r="A70" s="2">
        <v>45573</v>
      </c>
      <c r="B70" t="s">
        <v>15</v>
      </c>
      <c r="C70" s="3">
        <v>2745.95</v>
      </c>
      <c r="D70" s="3">
        <v>2802</v>
      </c>
      <c r="E70" s="3">
        <v>2730.2</v>
      </c>
      <c r="F70" s="3">
        <v>2741.45</v>
      </c>
      <c r="G70" s="3">
        <v>2798.95</v>
      </c>
      <c r="H70" s="3">
        <v>2794.7</v>
      </c>
      <c r="I70" s="3">
        <v>2768.6</v>
      </c>
      <c r="J70" s="3">
        <v>3217.6</v>
      </c>
      <c r="K70" s="3">
        <v>2220.3000000000002</v>
      </c>
      <c r="L70" s="4">
        <v>8510404</v>
      </c>
      <c r="M70" s="3">
        <v>23561905588.150002</v>
      </c>
      <c r="N70" s="4">
        <v>358981</v>
      </c>
      <c r="O70">
        <f t="shared" si="1"/>
        <v>1.9424027430739208E-2</v>
      </c>
    </row>
    <row r="71" spans="1:15" ht="14.25" customHeight="1" x14ac:dyDescent="0.3">
      <c r="A71" s="2">
        <v>45574</v>
      </c>
      <c r="B71" t="s">
        <v>15</v>
      </c>
      <c r="C71" s="3">
        <v>2795.05</v>
      </c>
      <c r="D71" s="3">
        <v>2801.95</v>
      </c>
      <c r="E71" s="3">
        <v>2745</v>
      </c>
      <c r="F71" s="3">
        <v>2794.7</v>
      </c>
      <c r="G71" s="3">
        <v>2748</v>
      </c>
      <c r="H71" s="3">
        <v>2749.2</v>
      </c>
      <c r="I71" s="3">
        <v>2773.49</v>
      </c>
      <c r="J71" s="3">
        <v>3217.6</v>
      </c>
      <c r="K71" s="3">
        <v>2220.3000000000002</v>
      </c>
      <c r="L71" s="4">
        <v>7155305</v>
      </c>
      <c r="M71" s="3">
        <v>19845168137.950001</v>
      </c>
      <c r="N71" s="4">
        <v>358324</v>
      </c>
      <c r="O71">
        <f t="shared" si="1"/>
        <v>-1.6280817261244501E-2</v>
      </c>
    </row>
    <row r="72" spans="1:15" ht="14.25" customHeight="1" x14ac:dyDescent="0.3">
      <c r="A72" s="2">
        <v>45575</v>
      </c>
      <c r="B72" t="s">
        <v>15</v>
      </c>
      <c r="C72" s="3">
        <v>2760.05</v>
      </c>
      <c r="D72" s="3">
        <v>2772</v>
      </c>
      <c r="E72" s="3">
        <v>2738.85</v>
      </c>
      <c r="F72" s="3">
        <v>2749.2</v>
      </c>
      <c r="G72" s="3">
        <v>2742.5</v>
      </c>
      <c r="H72" s="3">
        <v>2742.1</v>
      </c>
      <c r="I72" s="3">
        <v>2749.69</v>
      </c>
      <c r="J72" s="3">
        <v>3217.6</v>
      </c>
      <c r="K72" s="3">
        <v>2220.3000000000002</v>
      </c>
      <c r="L72" s="4">
        <v>11179323</v>
      </c>
      <c r="M72" s="3">
        <v>30739675824.549999</v>
      </c>
      <c r="N72" s="4">
        <v>364305</v>
      </c>
      <c r="O72">
        <f t="shared" si="1"/>
        <v>-2.5825694747562597E-3</v>
      </c>
    </row>
    <row r="73" spans="1:15" ht="14.25" customHeight="1" x14ac:dyDescent="0.3">
      <c r="A73" s="2">
        <v>45576</v>
      </c>
      <c r="B73" t="s">
        <v>15</v>
      </c>
      <c r="C73" s="3">
        <v>2740</v>
      </c>
      <c r="D73" s="3">
        <v>2766.55</v>
      </c>
      <c r="E73" s="3">
        <v>2737.65</v>
      </c>
      <c r="F73" s="3">
        <v>2742.1</v>
      </c>
      <c r="G73" s="3">
        <v>2749</v>
      </c>
      <c r="H73" s="3">
        <v>2744.2</v>
      </c>
      <c r="I73" s="3">
        <v>2751.19</v>
      </c>
      <c r="J73" s="3">
        <v>3217.6</v>
      </c>
      <c r="K73" s="3">
        <v>2220.3000000000002</v>
      </c>
      <c r="L73" s="4">
        <v>3990061</v>
      </c>
      <c r="M73" s="3">
        <v>10977431923.950001</v>
      </c>
      <c r="N73" s="4">
        <v>197702</v>
      </c>
      <c r="O73">
        <f t="shared" si="1"/>
        <v>7.6583640275697793E-4</v>
      </c>
    </row>
    <row r="74" spans="1:15" ht="14.25" customHeight="1" x14ac:dyDescent="0.3">
      <c r="A74" s="2">
        <v>45579</v>
      </c>
      <c r="B74" t="s">
        <v>15</v>
      </c>
      <c r="C74" s="3">
        <v>2758.9</v>
      </c>
      <c r="D74" s="3">
        <v>2760.15</v>
      </c>
      <c r="E74" s="3">
        <v>2736.5</v>
      </c>
      <c r="F74" s="3">
        <v>2744.2</v>
      </c>
      <c r="G74" s="3">
        <v>2745.5</v>
      </c>
      <c r="H74" s="3">
        <v>2745.05</v>
      </c>
      <c r="I74" s="3">
        <v>2746.12</v>
      </c>
      <c r="J74" s="3">
        <v>3217.6</v>
      </c>
      <c r="K74" s="3">
        <v>2220.3000000000002</v>
      </c>
      <c r="L74" s="4">
        <v>6110716</v>
      </c>
      <c r="M74" s="3">
        <v>16780732590.049999</v>
      </c>
      <c r="N74" s="4">
        <v>233903</v>
      </c>
      <c r="O74">
        <f t="shared" si="1"/>
        <v>3.0974418774155086E-4</v>
      </c>
    </row>
    <row r="75" spans="1:15" ht="14.25" customHeight="1" x14ac:dyDescent="0.3">
      <c r="A75" s="2">
        <v>45580</v>
      </c>
      <c r="B75" t="s">
        <v>15</v>
      </c>
      <c r="C75" s="3">
        <v>2717.05</v>
      </c>
      <c r="D75" s="3">
        <v>2743.4</v>
      </c>
      <c r="E75" s="3">
        <v>2681.4</v>
      </c>
      <c r="F75" s="3">
        <v>2745.05</v>
      </c>
      <c r="G75" s="3">
        <v>2688.6</v>
      </c>
      <c r="H75" s="3">
        <v>2688.05</v>
      </c>
      <c r="I75" s="3">
        <v>2708.71</v>
      </c>
      <c r="J75" s="3">
        <v>3217.6</v>
      </c>
      <c r="K75" s="3">
        <v>2220.3000000000002</v>
      </c>
      <c r="L75" s="4">
        <v>16881397</v>
      </c>
      <c r="M75" s="3">
        <v>45726823453.349998</v>
      </c>
      <c r="N75" s="4">
        <v>602869</v>
      </c>
      <c r="O75">
        <f t="shared" si="1"/>
        <v>-2.0764649095644887E-2</v>
      </c>
    </row>
    <row r="76" spans="1:15" ht="14.25" customHeight="1" x14ac:dyDescent="0.3">
      <c r="A76" s="2">
        <v>45581</v>
      </c>
      <c r="B76" t="s">
        <v>15</v>
      </c>
      <c r="C76" s="3">
        <v>2680</v>
      </c>
      <c r="D76" s="3">
        <v>2728</v>
      </c>
      <c r="E76" s="3">
        <v>2675.25</v>
      </c>
      <c r="F76" s="3">
        <v>2688.05</v>
      </c>
      <c r="G76" s="3">
        <v>2709.4</v>
      </c>
      <c r="H76" s="3">
        <v>2708.15</v>
      </c>
      <c r="I76" s="3">
        <v>2696.84</v>
      </c>
      <c r="J76" s="3">
        <v>3217.6</v>
      </c>
      <c r="K76" s="3">
        <v>2220.3000000000002</v>
      </c>
      <c r="L76" s="4">
        <v>10017219</v>
      </c>
      <c r="M76" s="3">
        <v>27014852678</v>
      </c>
      <c r="N76" s="4">
        <v>356705</v>
      </c>
      <c r="O76">
        <f t="shared" si="1"/>
        <v>7.477539480292371E-3</v>
      </c>
    </row>
    <row r="77" spans="1:15" ht="14.25" customHeight="1" x14ac:dyDescent="0.3">
      <c r="A77" s="2">
        <v>45582</v>
      </c>
      <c r="B77" t="s">
        <v>15</v>
      </c>
      <c r="C77" s="3">
        <v>2731.4</v>
      </c>
      <c r="D77" s="3">
        <v>2736.9</v>
      </c>
      <c r="E77" s="3">
        <v>2704.1</v>
      </c>
      <c r="F77" s="3">
        <v>2708.15</v>
      </c>
      <c r="G77" s="3">
        <v>2713.3</v>
      </c>
      <c r="H77" s="3">
        <v>2712.85</v>
      </c>
      <c r="I77" s="3">
        <v>2718.84</v>
      </c>
      <c r="J77" s="3">
        <v>3217.6</v>
      </c>
      <c r="K77" s="3">
        <v>2220.3000000000002</v>
      </c>
      <c r="L77" s="4">
        <v>7771830</v>
      </c>
      <c r="M77" s="3">
        <v>21130392926.650002</v>
      </c>
      <c r="N77" s="4">
        <v>383984</v>
      </c>
      <c r="O77">
        <f t="shared" si="1"/>
        <v>1.7355020955263992E-3</v>
      </c>
    </row>
    <row r="78" spans="1:15" ht="14.25" customHeight="1" x14ac:dyDescent="0.3">
      <c r="A78" s="2">
        <v>45583</v>
      </c>
      <c r="B78" t="s">
        <v>15</v>
      </c>
      <c r="C78" s="3">
        <v>2704.35</v>
      </c>
      <c r="D78" s="3">
        <v>2736.85</v>
      </c>
      <c r="E78" s="3">
        <v>2682.65</v>
      </c>
      <c r="F78" s="3">
        <v>2712.85</v>
      </c>
      <c r="G78" s="3">
        <v>2717</v>
      </c>
      <c r="H78" s="3">
        <v>2718.6</v>
      </c>
      <c r="I78" s="3">
        <v>2713.87</v>
      </c>
      <c r="J78" s="3">
        <v>3217.6</v>
      </c>
      <c r="K78" s="3">
        <v>2220.3000000000002</v>
      </c>
      <c r="L78" s="4">
        <v>6041226</v>
      </c>
      <c r="M78" s="3">
        <v>16395116698.5</v>
      </c>
      <c r="N78" s="4">
        <v>295032</v>
      </c>
      <c r="O78">
        <f t="shared" si="1"/>
        <v>2.1195421788893598E-3</v>
      </c>
    </row>
    <row r="79" spans="1:15" ht="14.25" customHeight="1" x14ac:dyDescent="0.3">
      <c r="A79" s="2">
        <v>45586</v>
      </c>
      <c r="B79" t="s">
        <v>15</v>
      </c>
      <c r="C79" s="3">
        <v>2734.25</v>
      </c>
      <c r="D79" s="3">
        <v>2748</v>
      </c>
      <c r="E79" s="3">
        <v>2715.45</v>
      </c>
      <c r="F79" s="3">
        <v>2718.6</v>
      </c>
      <c r="G79" s="3">
        <v>2736</v>
      </c>
      <c r="H79" s="3">
        <v>2738.4</v>
      </c>
      <c r="I79" s="3">
        <v>2734.41</v>
      </c>
      <c r="J79" s="3">
        <v>3217.6</v>
      </c>
      <c r="K79" s="3">
        <v>2220.3000000000002</v>
      </c>
      <c r="L79" s="4">
        <v>7033704</v>
      </c>
      <c r="M79" s="3">
        <v>19233063988.400002</v>
      </c>
      <c r="N79" s="4">
        <v>228845</v>
      </c>
      <c r="O79">
        <f t="shared" si="1"/>
        <v>7.2831604502318044E-3</v>
      </c>
    </row>
    <row r="80" spans="1:15" ht="14.25" customHeight="1" x14ac:dyDescent="0.3">
      <c r="A80" s="2">
        <v>45587</v>
      </c>
      <c r="B80" t="s">
        <v>15</v>
      </c>
      <c r="C80" s="3">
        <v>2738.4</v>
      </c>
      <c r="D80" s="3">
        <v>2752</v>
      </c>
      <c r="E80" s="3">
        <v>2680.45</v>
      </c>
      <c r="F80" s="3">
        <v>2738.4</v>
      </c>
      <c r="G80" s="3">
        <v>2684.15</v>
      </c>
      <c r="H80" s="3">
        <v>2686.7</v>
      </c>
      <c r="I80" s="3">
        <v>2707.8</v>
      </c>
      <c r="J80" s="3">
        <v>3217.6</v>
      </c>
      <c r="K80" s="3">
        <v>2220.3000000000002</v>
      </c>
      <c r="L80" s="4">
        <v>7915980</v>
      </c>
      <c r="M80" s="3">
        <v>21434871569.75</v>
      </c>
      <c r="N80" s="4">
        <v>363161</v>
      </c>
      <c r="O80">
        <f t="shared" si="1"/>
        <v>-1.8879637744668519E-2</v>
      </c>
    </row>
    <row r="81" spans="1:15" ht="14.25" customHeight="1" x14ac:dyDescent="0.3">
      <c r="A81" s="2">
        <v>45588</v>
      </c>
      <c r="B81" t="s">
        <v>15</v>
      </c>
      <c r="C81" s="3">
        <v>2675</v>
      </c>
      <c r="D81" s="3">
        <v>2714.95</v>
      </c>
      <c r="E81" s="3">
        <v>2670</v>
      </c>
      <c r="F81" s="3">
        <v>2686.7</v>
      </c>
      <c r="G81" s="3">
        <v>2682.35</v>
      </c>
      <c r="H81" s="3">
        <v>2677.05</v>
      </c>
      <c r="I81" s="3">
        <v>2688.32</v>
      </c>
      <c r="J81" s="3">
        <v>3217.6</v>
      </c>
      <c r="K81" s="3">
        <v>2220.3000000000002</v>
      </c>
      <c r="L81" s="4">
        <v>8607371</v>
      </c>
      <c r="M81" s="3">
        <v>23139346660.099998</v>
      </c>
      <c r="N81" s="4">
        <v>337356</v>
      </c>
      <c r="O81">
        <f t="shared" si="1"/>
        <v>-3.5917668515277616E-3</v>
      </c>
    </row>
    <row r="82" spans="1:15" ht="14.25" customHeight="1" x14ac:dyDescent="0.3">
      <c r="A82" s="2">
        <v>45589</v>
      </c>
      <c r="B82" t="s">
        <v>15</v>
      </c>
      <c r="C82" s="3">
        <v>2670.55</v>
      </c>
      <c r="D82" s="3">
        <v>2687.4</v>
      </c>
      <c r="E82" s="3">
        <v>2646.25</v>
      </c>
      <c r="F82" s="3">
        <v>2677.05</v>
      </c>
      <c r="G82" s="3">
        <v>2678.9</v>
      </c>
      <c r="H82" s="3">
        <v>2679.6</v>
      </c>
      <c r="I82" s="3">
        <v>2668.53</v>
      </c>
      <c r="J82" s="3">
        <v>3217.6</v>
      </c>
      <c r="K82" s="3">
        <v>2220.3000000000002</v>
      </c>
      <c r="L82" s="4">
        <v>11077967</v>
      </c>
      <c r="M82" s="3">
        <v>29561935442.549999</v>
      </c>
      <c r="N82" s="4">
        <v>345601</v>
      </c>
      <c r="O82">
        <f t="shared" si="1"/>
        <v>9.5254104331249953E-4</v>
      </c>
    </row>
    <row r="83" spans="1:15" ht="14.25" customHeight="1" x14ac:dyDescent="0.3">
      <c r="A83" s="2">
        <v>45590</v>
      </c>
      <c r="B83" t="s">
        <v>15</v>
      </c>
      <c r="C83" s="3">
        <v>2687</v>
      </c>
      <c r="D83" s="3">
        <v>2688.7</v>
      </c>
      <c r="E83" s="3">
        <v>2644</v>
      </c>
      <c r="F83" s="3">
        <v>2679.6</v>
      </c>
      <c r="G83" s="3">
        <v>2656.3</v>
      </c>
      <c r="H83" s="3">
        <v>2655.7</v>
      </c>
      <c r="I83" s="3">
        <v>2659.8</v>
      </c>
      <c r="J83" s="3">
        <v>3217.6</v>
      </c>
      <c r="K83" s="3">
        <v>2220.3000000000002</v>
      </c>
      <c r="L83" s="4">
        <v>9298748</v>
      </c>
      <c r="M83" s="3">
        <v>24732826126.099998</v>
      </c>
      <c r="N83" s="4">
        <v>388238</v>
      </c>
      <c r="O83">
        <f t="shared" si="1"/>
        <v>-8.9192416778624013E-3</v>
      </c>
    </row>
    <row r="84" spans="1:15" ht="14.25" customHeight="1" x14ac:dyDescent="0.3">
      <c r="A84" s="2">
        <v>45593</v>
      </c>
      <c r="B84" t="s">
        <v>15</v>
      </c>
      <c r="C84" s="3">
        <v>1337</v>
      </c>
      <c r="D84" s="3">
        <v>1353</v>
      </c>
      <c r="E84" s="3">
        <v>1322.1</v>
      </c>
      <c r="F84" s="3">
        <v>2655.7</v>
      </c>
      <c r="G84" s="3">
        <v>1335</v>
      </c>
      <c r="H84" s="3">
        <v>1334.35</v>
      </c>
      <c r="I84" s="3">
        <v>1337.7</v>
      </c>
      <c r="J84" s="3">
        <v>3217.6</v>
      </c>
      <c r="K84" s="3">
        <v>1322.1</v>
      </c>
      <c r="L84" s="4">
        <v>10824350</v>
      </c>
      <c r="M84" s="3">
        <v>14479733719.25</v>
      </c>
      <c r="N84" s="4">
        <v>368817</v>
      </c>
      <c r="O84">
        <f t="shared" si="1"/>
        <v>-0.49755243438641411</v>
      </c>
    </row>
    <row r="85" spans="1:15" ht="14.25" customHeight="1" x14ac:dyDescent="0.3">
      <c r="A85" s="2">
        <v>45594</v>
      </c>
      <c r="B85" t="s">
        <v>15</v>
      </c>
      <c r="C85" s="3">
        <v>1328.1</v>
      </c>
      <c r="D85" s="3">
        <v>1343.2</v>
      </c>
      <c r="E85" s="3">
        <v>1320.3</v>
      </c>
      <c r="F85" s="3">
        <v>1334.35</v>
      </c>
      <c r="G85" s="3">
        <v>1340</v>
      </c>
      <c r="H85" s="3">
        <v>1340</v>
      </c>
      <c r="I85" s="3">
        <v>1331.46</v>
      </c>
      <c r="J85" s="3">
        <v>3217.6</v>
      </c>
      <c r="K85" s="3">
        <v>1320.3</v>
      </c>
      <c r="L85" s="4">
        <v>12008361</v>
      </c>
      <c r="M85" s="3">
        <v>15988683034</v>
      </c>
      <c r="N85" s="4">
        <v>436915</v>
      </c>
      <c r="O85">
        <f t="shared" si="1"/>
        <v>4.2342713680819056E-3</v>
      </c>
    </row>
    <row r="86" spans="1:15" ht="14.25" customHeight="1" x14ac:dyDescent="0.3">
      <c r="A86" s="2">
        <v>45595</v>
      </c>
      <c r="B86" t="s">
        <v>15</v>
      </c>
      <c r="C86" s="3">
        <v>1335</v>
      </c>
      <c r="D86" s="3">
        <v>1350</v>
      </c>
      <c r="E86" s="3">
        <v>1325.35</v>
      </c>
      <c r="F86" s="3">
        <v>1340</v>
      </c>
      <c r="G86" s="3">
        <v>1344.85</v>
      </c>
      <c r="H86" s="3">
        <v>1343.9</v>
      </c>
      <c r="I86" s="3">
        <v>1341.16</v>
      </c>
      <c r="J86" s="3">
        <v>3217.6</v>
      </c>
      <c r="K86" s="3">
        <v>1320.3</v>
      </c>
      <c r="L86" s="4">
        <v>11984423</v>
      </c>
      <c r="M86" s="3">
        <v>16073073274.15</v>
      </c>
      <c r="N86" s="4">
        <v>295954</v>
      </c>
      <c r="O86">
        <f t="shared" si="1"/>
        <v>2.9104477611940978E-3</v>
      </c>
    </row>
    <row r="87" spans="1:15" ht="14.25" customHeight="1" x14ac:dyDescent="0.3">
      <c r="A87" s="2">
        <v>45596</v>
      </c>
      <c r="B87" t="s">
        <v>15</v>
      </c>
      <c r="C87" s="3">
        <v>1340</v>
      </c>
      <c r="D87" s="3">
        <v>1343</v>
      </c>
      <c r="E87" s="3">
        <v>1326.15</v>
      </c>
      <c r="F87" s="3">
        <v>1343.9</v>
      </c>
      <c r="G87" s="3">
        <v>1332</v>
      </c>
      <c r="H87" s="3">
        <v>1332.05</v>
      </c>
      <c r="I87" s="3">
        <v>1334.14</v>
      </c>
      <c r="J87" s="3">
        <v>3217.6</v>
      </c>
      <c r="K87" s="3">
        <v>1320.3</v>
      </c>
      <c r="L87" s="4">
        <v>9331650</v>
      </c>
      <c r="M87" s="3">
        <v>12449744606.9</v>
      </c>
      <c r="N87" s="4">
        <v>414741</v>
      </c>
      <c r="O87">
        <f t="shared" si="1"/>
        <v>-8.8176203586577389E-3</v>
      </c>
    </row>
    <row r="88" spans="1:15" ht="14.25" customHeight="1" x14ac:dyDescent="0.3">
      <c r="A88" s="2">
        <v>45597</v>
      </c>
      <c r="B88" t="s">
        <v>15</v>
      </c>
      <c r="C88" s="3">
        <v>1333.05</v>
      </c>
      <c r="D88" s="3">
        <v>1341.95</v>
      </c>
      <c r="E88" s="3">
        <v>1333</v>
      </c>
      <c r="F88" s="3">
        <v>1332.05</v>
      </c>
      <c r="G88" s="3">
        <v>1338.4</v>
      </c>
      <c r="H88" s="3">
        <v>1338.65</v>
      </c>
      <c r="I88" s="3">
        <v>1338.89</v>
      </c>
      <c r="J88" s="3">
        <v>3217.6</v>
      </c>
      <c r="K88" s="3">
        <v>1320.3</v>
      </c>
      <c r="L88" s="4">
        <v>2127335</v>
      </c>
      <c r="M88" s="3">
        <v>2848264119.8000002</v>
      </c>
      <c r="N88" s="4">
        <v>127374</v>
      </c>
      <c r="O88">
        <f t="shared" si="1"/>
        <v>4.9547689651290392E-3</v>
      </c>
    </row>
    <row r="89" spans="1:15" ht="14.25" customHeight="1" x14ac:dyDescent="0.3">
      <c r="A89" s="2">
        <v>45600</v>
      </c>
      <c r="B89" t="s">
        <v>15</v>
      </c>
      <c r="C89" s="3">
        <v>1337.85</v>
      </c>
      <c r="D89" s="3">
        <v>1340</v>
      </c>
      <c r="E89" s="3">
        <v>1285.0999999999999</v>
      </c>
      <c r="F89" s="3">
        <v>1338.65</v>
      </c>
      <c r="G89" s="3">
        <v>1298.5</v>
      </c>
      <c r="H89" s="3">
        <v>1302.1500000000001</v>
      </c>
      <c r="I89" s="3">
        <v>1301.44</v>
      </c>
      <c r="J89" s="3">
        <v>3217.6</v>
      </c>
      <c r="K89" s="3">
        <v>1285.0999999999999</v>
      </c>
      <c r="L89" s="4">
        <v>19796890</v>
      </c>
      <c r="M89" s="3">
        <v>25764450096.549999</v>
      </c>
      <c r="N89" s="4">
        <v>554958</v>
      </c>
      <c r="O89">
        <f t="shared" si="1"/>
        <v>-2.7266275725544391E-2</v>
      </c>
    </row>
    <row r="90" spans="1:15" ht="14.25" customHeight="1" x14ac:dyDescent="0.3">
      <c r="A90" s="2">
        <v>45601</v>
      </c>
      <c r="B90" t="s">
        <v>15</v>
      </c>
      <c r="C90" s="3">
        <v>1293</v>
      </c>
      <c r="D90" s="3">
        <v>1309.55</v>
      </c>
      <c r="E90" s="3">
        <v>1286.1500000000001</v>
      </c>
      <c r="F90" s="3">
        <v>1302.1500000000001</v>
      </c>
      <c r="G90" s="3">
        <v>1307.5</v>
      </c>
      <c r="H90" s="3">
        <v>1305.3</v>
      </c>
      <c r="I90" s="3">
        <v>1297.8699999999999</v>
      </c>
      <c r="J90" s="3">
        <v>3217.6</v>
      </c>
      <c r="K90" s="3">
        <v>1285.0999999999999</v>
      </c>
      <c r="L90" s="4">
        <v>16267479</v>
      </c>
      <c r="M90" s="3">
        <v>21113119455.5</v>
      </c>
      <c r="N90" s="4">
        <v>371758</v>
      </c>
      <c r="O90">
        <f t="shared" si="1"/>
        <v>2.4190761433013582E-3</v>
      </c>
    </row>
    <row r="91" spans="1:15" ht="14.25" customHeight="1" x14ac:dyDescent="0.3">
      <c r="A91" s="2">
        <v>45602</v>
      </c>
      <c r="B91" t="s">
        <v>15</v>
      </c>
      <c r="C91" s="3">
        <v>1310</v>
      </c>
      <c r="D91" s="3">
        <v>1328.3</v>
      </c>
      <c r="E91" s="3">
        <v>1300.2</v>
      </c>
      <c r="F91" s="3">
        <v>1305.3</v>
      </c>
      <c r="G91" s="3">
        <v>1326</v>
      </c>
      <c r="H91" s="3">
        <v>1325.35</v>
      </c>
      <c r="I91" s="3">
        <v>1315.57</v>
      </c>
      <c r="J91" s="3">
        <v>3217.6</v>
      </c>
      <c r="K91" s="3">
        <v>1285.0999999999999</v>
      </c>
      <c r="L91" s="4">
        <v>21625209</v>
      </c>
      <c r="M91" s="3">
        <v>28449504045.349998</v>
      </c>
      <c r="N91" s="4">
        <v>349627</v>
      </c>
      <c r="O91">
        <f t="shared" si="1"/>
        <v>1.5360453535585655E-2</v>
      </c>
    </row>
    <row r="92" spans="1:15" ht="14.25" customHeight="1" x14ac:dyDescent="0.3">
      <c r="A92" s="2">
        <v>45603</v>
      </c>
      <c r="B92" t="s">
        <v>15</v>
      </c>
      <c r="C92" s="3">
        <v>1324</v>
      </c>
      <c r="D92" s="3">
        <v>1324</v>
      </c>
      <c r="E92" s="3">
        <v>1302.5999999999999</v>
      </c>
      <c r="F92" s="3">
        <v>1325.35</v>
      </c>
      <c r="G92" s="3">
        <v>1305</v>
      </c>
      <c r="H92" s="3">
        <v>1305.6500000000001</v>
      </c>
      <c r="I92" s="3">
        <v>1308.97</v>
      </c>
      <c r="J92" s="3">
        <v>3217.6</v>
      </c>
      <c r="K92" s="3">
        <v>1285.0999999999999</v>
      </c>
      <c r="L92" s="4">
        <v>9611974</v>
      </c>
      <c r="M92" s="3">
        <v>12581800339</v>
      </c>
      <c r="N92" s="4">
        <v>261277</v>
      </c>
      <c r="O92">
        <f t="shared" si="1"/>
        <v>-1.4863998189157445E-2</v>
      </c>
    </row>
    <row r="93" spans="1:15" ht="14.25" customHeight="1" x14ac:dyDescent="0.3">
      <c r="A93" s="2">
        <v>45604</v>
      </c>
      <c r="B93" t="s">
        <v>15</v>
      </c>
      <c r="C93" s="3">
        <v>1297.6500000000001</v>
      </c>
      <c r="D93" s="3">
        <v>1301.6500000000001</v>
      </c>
      <c r="E93" s="3">
        <v>1275</v>
      </c>
      <c r="F93" s="3">
        <v>1305.6500000000001</v>
      </c>
      <c r="G93" s="3">
        <v>1280.2</v>
      </c>
      <c r="H93" s="3">
        <v>1283.75</v>
      </c>
      <c r="I93" s="3">
        <v>1284.01</v>
      </c>
      <c r="J93" s="3">
        <v>3217.6</v>
      </c>
      <c r="K93" s="3">
        <v>1275</v>
      </c>
      <c r="L93" s="4">
        <v>19814406</v>
      </c>
      <c r="M93" s="3">
        <v>25441900935.599998</v>
      </c>
      <c r="N93" s="4">
        <v>477001</v>
      </c>
      <c r="O93">
        <f t="shared" si="1"/>
        <v>-1.6773254700723845E-2</v>
      </c>
    </row>
    <row r="94" spans="1:15" ht="14.25" customHeight="1" x14ac:dyDescent="0.3">
      <c r="A94" s="2">
        <v>45607</v>
      </c>
      <c r="B94" t="s">
        <v>15</v>
      </c>
      <c r="C94" s="3">
        <v>1278.95</v>
      </c>
      <c r="D94" s="3">
        <v>1286</v>
      </c>
      <c r="E94" s="3">
        <v>1267</v>
      </c>
      <c r="F94" s="3">
        <v>1283.75</v>
      </c>
      <c r="G94" s="3">
        <v>1273.4000000000001</v>
      </c>
      <c r="H94" s="3">
        <v>1272.7</v>
      </c>
      <c r="I94" s="3">
        <v>1275.44</v>
      </c>
      <c r="J94" s="3">
        <v>3217.6</v>
      </c>
      <c r="K94" s="3">
        <v>1267</v>
      </c>
      <c r="L94" s="4">
        <v>9056552</v>
      </c>
      <c r="M94" s="3">
        <v>11551068872.5</v>
      </c>
      <c r="N94" s="4">
        <v>286019</v>
      </c>
      <c r="O94">
        <f t="shared" si="1"/>
        <v>-8.6075949367088248E-3</v>
      </c>
    </row>
    <row r="95" spans="1:15" ht="14.25" customHeight="1" x14ac:dyDescent="0.3">
      <c r="A95" s="2">
        <v>45608</v>
      </c>
      <c r="B95" t="s">
        <v>15</v>
      </c>
      <c r="C95" s="3">
        <v>1275.55</v>
      </c>
      <c r="D95" s="3">
        <v>1289.3</v>
      </c>
      <c r="E95" s="3">
        <v>1267.5</v>
      </c>
      <c r="F95" s="3">
        <v>1272.7</v>
      </c>
      <c r="G95" s="3">
        <v>1269.5</v>
      </c>
      <c r="H95" s="3">
        <v>1274.25</v>
      </c>
      <c r="I95" s="3">
        <v>1277.82</v>
      </c>
      <c r="J95" s="3">
        <v>3217.6</v>
      </c>
      <c r="K95" s="3">
        <v>1267</v>
      </c>
      <c r="L95" s="4">
        <v>10671091</v>
      </c>
      <c r="M95" s="3">
        <v>13635694812.299999</v>
      </c>
      <c r="N95" s="4">
        <v>299780</v>
      </c>
      <c r="O95">
        <f t="shared" si="1"/>
        <v>1.2178832403551146E-3</v>
      </c>
    </row>
    <row r="96" spans="1:15" ht="14.25" customHeight="1" x14ac:dyDescent="0.3">
      <c r="A96" s="2">
        <v>45609</v>
      </c>
      <c r="B96" t="s">
        <v>15</v>
      </c>
      <c r="C96" s="3">
        <v>1270.25</v>
      </c>
      <c r="D96" s="3">
        <v>1275.45</v>
      </c>
      <c r="E96" s="3">
        <v>1249.5</v>
      </c>
      <c r="F96" s="3">
        <v>1274.25</v>
      </c>
      <c r="G96" s="3">
        <v>1252.7</v>
      </c>
      <c r="H96" s="3">
        <v>1252.05</v>
      </c>
      <c r="I96" s="3">
        <v>1258.6199999999999</v>
      </c>
      <c r="J96" s="3">
        <v>3217.6</v>
      </c>
      <c r="K96" s="3">
        <v>1249.5</v>
      </c>
      <c r="L96" s="4">
        <v>14633633</v>
      </c>
      <c r="M96" s="3">
        <v>18418208535.900002</v>
      </c>
      <c r="N96" s="4">
        <v>469215</v>
      </c>
      <c r="O96">
        <f t="shared" si="1"/>
        <v>-1.7422012948793444E-2</v>
      </c>
    </row>
    <row r="97" spans="1:15" ht="14.25" customHeight="1" x14ac:dyDescent="0.3">
      <c r="A97" s="2">
        <v>45610</v>
      </c>
      <c r="B97" t="s">
        <v>15</v>
      </c>
      <c r="C97" s="3">
        <v>1253.5999999999999</v>
      </c>
      <c r="D97" s="3">
        <v>1272.5999999999999</v>
      </c>
      <c r="E97" s="3">
        <v>1251.0999999999999</v>
      </c>
      <c r="F97" s="3">
        <v>1252.05</v>
      </c>
      <c r="G97" s="3">
        <v>1266.9000000000001</v>
      </c>
      <c r="H97" s="3">
        <v>1267.5999999999999</v>
      </c>
      <c r="I97" s="3">
        <v>1263.73</v>
      </c>
      <c r="J97" s="3">
        <v>3217.6</v>
      </c>
      <c r="K97" s="3">
        <v>1249.5</v>
      </c>
      <c r="L97" s="4">
        <v>12612633</v>
      </c>
      <c r="M97" s="3">
        <v>15938929092.75</v>
      </c>
      <c r="N97" s="4">
        <v>301253</v>
      </c>
      <c r="O97">
        <f t="shared" si="1"/>
        <v>1.2419631803841664E-2</v>
      </c>
    </row>
    <row r="98" spans="1:15" ht="14.25" customHeight="1" x14ac:dyDescent="0.3">
      <c r="A98" s="2">
        <v>45614</v>
      </c>
      <c r="B98" t="s">
        <v>15</v>
      </c>
      <c r="C98" s="3">
        <v>1267.5999999999999</v>
      </c>
      <c r="D98" s="3">
        <v>1272.9000000000001</v>
      </c>
      <c r="E98" s="3">
        <v>1243.9000000000001</v>
      </c>
      <c r="F98" s="3">
        <v>1267.5999999999999</v>
      </c>
      <c r="G98" s="3">
        <v>1259.1500000000001</v>
      </c>
      <c r="H98" s="3">
        <v>1260.75</v>
      </c>
      <c r="I98" s="3">
        <v>1258.6400000000001</v>
      </c>
      <c r="J98" s="3">
        <v>3217.6</v>
      </c>
      <c r="K98" s="3">
        <v>1243.9000000000001</v>
      </c>
      <c r="L98" s="4">
        <v>13620611</v>
      </c>
      <c r="M98" s="3">
        <v>17143501436.4</v>
      </c>
      <c r="N98" s="4">
        <v>301906</v>
      </c>
      <c r="O98">
        <f t="shared" si="1"/>
        <v>-5.4039129062795118E-3</v>
      </c>
    </row>
    <row r="99" spans="1:15" ht="14.25" customHeight="1" x14ac:dyDescent="0.3">
      <c r="A99" s="2">
        <v>45615</v>
      </c>
      <c r="B99" t="s">
        <v>15</v>
      </c>
      <c r="C99" s="3">
        <v>1260.75</v>
      </c>
      <c r="D99" s="3">
        <v>1281.5</v>
      </c>
      <c r="E99" s="3">
        <v>1235.1500000000001</v>
      </c>
      <c r="F99" s="3">
        <v>1260.75</v>
      </c>
      <c r="G99" s="3">
        <v>1237.4000000000001</v>
      </c>
      <c r="H99" s="3">
        <v>1241.6500000000001</v>
      </c>
      <c r="I99" s="3">
        <v>1265.5</v>
      </c>
      <c r="J99" s="3">
        <v>3217.6</v>
      </c>
      <c r="K99" s="3">
        <v>1235.1500000000001</v>
      </c>
      <c r="L99" s="4">
        <v>14183746</v>
      </c>
      <c r="M99" s="3">
        <v>17949463404.349998</v>
      </c>
      <c r="N99" s="4">
        <v>355649</v>
      </c>
      <c r="O99">
        <f t="shared" si="1"/>
        <v>-1.5149712472734412E-2</v>
      </c>
    </row>
    <row r="100" spans="1:15" ht="14.25" customHeight="1" x14ac:dyDescent="0.3">
      <c r="A100" s="2">
        <v>45617</v>
      </c>
      <c r="B100" t="s">
        <v>15</v>
      </c>
      <c r="C100" s="3">
        <v>1241.6500000000001</v>
      </c>
      <c r="D100" s="3">
        <v>1243.95</v>
      </c>
      <c r="E100" s="3">
        <v>1217.25</v>
      </c>
      <c r="F100" s="3">
        <v>1241.6500000000001</v>
      </c>
      <c r="G100" s="3">
        <v>1220.45</v>
      </c>
      <c r="H100" s="3">
        <v>1223</v>
      </c>
      <c r="I100" s="3">
        <v>1224.92</v>
      </c>
      <c r="J100" s="3">
        <v>3217.6</v>
      </c>
      <c r="K100" s="3">
        <v>1217.25</v>
      </c>
      <c r="L100" s="4">
        <v>19433843</v>
      </c>
      <c r="M100" s="3">
        <v>23804902094.900002</v>
      </c>
      <c r="N100" s="4">
        <v>553410</v>
      </c>
      <c r="O100">
        <f t="shared" si="1"/>
        <v>-1.5020335843434212E-2</v>
      </c>
    </row>
    <row r="101" spans="1:15" ht="14.25" customHeight="1" x14ac:dyDescent="0.3">
      <c r="A101" s="2">
        <v>45618</v>
      </c>
      <c r="B101" t="s">
        <v>15</v>
      </c>
      <c r="C101" s="3">
        <v>1229.4000000000001</v>
      </c>
      <c r="D101" s="3">
        <v>1268.8499999999999</v>
      </c>
      <c r="E101" s="3">
        <v>1222.45</v>
      </c>
      <c r="F101" s="3">
        <v>1223</v>
      </c>
      <c r="G101" s="3">
        <v>1264</v>
      </c>
      <c r="H101" s="3">
        <v>1265.4000000000001</v>
      </c>
      <c r="I101" s="3">
        <v>1247.0899999999999</v>
      </c>
      <c r="J101" s="3">
        <v>3217.6</v>
      </c>
      <c r="K101" s="3">
        <v>1217.25</v>
      </c>
      <c r="L101" s="4">
        <v>20471957</v>
      </c>
      <c r="M101" s="3">
        <v>25530460769.299999</v>
      </c>
      <c r="N101" s="4">
        <v>323219</v>
      </c>
      <c r="O101">
        <f t="shared" si="1"/>
        <v>3.4668847097301794E-2</v>
      </c>
    </row>
    <row r="102" spans="1:15" ht="14.25" customHeight="1" x14ac:dyDescent="0.3">
      <c r="A102" s="2">
        <v>45621</v>
      </c>
      <c r="B102" t="s">
        <v>15</v>
      </c>
      <c r="C102" s="3">
        <v>1290</v>
      </c>
      <c r="D102" s="3">
        <v>1304.45</v>
      </c>
      <c r="E102" s="3">
        <v>1282.45</v>
      </c>
      <c r="F102" s="3">
        <v>1265.4000000000001</v>
      </c>
      <c r="G102" s="3">
        <v>1290.95</v>
      </c>
      <c r="H102" s="3">
        <v>1287</v>
      </c>
      <c r="I102" s="3">
        <v>1291.52</v>
      </c>
      <c r="J102" s="3">
        <v>3217.6</v>
      </c>
      <c r="K102" s="3">
        <v>1217.25</v>
      </c>
      <c r="L102" s="4">
        <v>28923341</v>
      </c>
      <c r="M102" s="3">
        <v>37355089803.050003</v>
      </c>
      <c r="N102" s="4">
        <v>390544</v>
      </c>
      <c r="O102">
        <f t="shared" si="1"/>
        <v>1.7069701280227521E-2</v>
      </c>
    </row>
    <row r="103" spans="1:15" ht="14.25" customHeight="1" x14ac:dyDescent="0.3">
      <c r="A103" s="2">
        <v>45622</v>
      </c>
      <c r="B103" t="s">
        <v>15</v>
      </c>
      <c r="C103" s="3">
        <v>1294.95</v>
      </c>
      <c r="D103" s="3">
        <v>1297.8499999999999</v>
      </c>
      <c r="E103" s="3">
        <v>1284.2</v>
      </c>
      <c r="F103" s="3">
        <v>1287</v>
      </c>
      <c r="G103" s="3">
        <v>1295.5999999999999</v>
      </c>
      <c r="H103" s="3">
        <v>1295.7</v>
      </c>
      <c r="I103" s="3">
        <v>1292.03</v>
      </c>
      <c r="J103" s="3">
        <v>3217.6</v>
      </c>
      <c r="K103" s="3">
        <v>1217.25</v>
      </c>
      <c r="L103" s="4">
        <v>9247557</v>
      </c>
      <c r="M103" s="3">
        <v>11948133607.6</v>
      </c>
      <c r="N103" s="4">
        <v>218738</v>
      </c>
      <c r="O103">
        <f t="shared" si="1"/>
        <v>6.759906759906795E-3</v>
      </c>
    </row>
    <row r="104" spans="1:15" ht="14.25" customHeight="1" x14ac:dyDescent="0.3">
      <c r="A104" s="2">
        <v>45623</v>
      </c>
      <c r="B104" t="s">
        <v>15</v>
      </c>
      <c r="C104" s="3">
        <v>1293.5</v>
      </c>
      <c r="D104" s="3">
        <v>1303.8499999999999</v>
      </c>
      <c r="E104" s="3">
        <v>1286</v>
      </c>
      <c r="F104" s="3">
        <v>1295.7</v>
      </c>
      <c r="G104" s="3">
        <v>1293.4000000000001</v>
      </c>
      <c r="H104" s="3">
        <v>1293.2</v>
      </c>
      <c r="I104" s="3">
        <v>1293.8399999999999</v>
      </c>
      <c r="J104" s="3">
        <v>3217.6</v>
      </c>
      <c r="K104" s="3">
        <v>1217.25</v>
      </c>
      <c r="L104" s="4">
        <v>9572746</v>
      </c>
      <c r="M104" s="3">
        <v>12385614506.450001</v>
      </c>
      <c r="N104" s="4">
        <v>196614</v>
      </c>
      <c r="O104">
        <f t="shared" si="1"/>
        <v>-1.9294589797020914E-3</v>
      </c>
    </row>
    <row r="105" spans="1:15" ht="14.25" customHeight="1" x14ac:dyDescent="0.3">
      <c r="A105" s="2">
        <v>45624</v>
      </c>
      <c r="B105" t="s">
        <v>15</v>
      </c>
      <c r="C105" s="3">
        <v>1289.95</v>
      </c>
      <c r="D105" s="3">
        <v>1296.5999999999999</v>
      </c>
      <c r="E105" s="3">
        <v>1269.05</v>
      </c>
      <c r="F105" s="3">
        <v>1293.2</v>
      </c>
      <c r="G105" s="3">
        <v>1272.75</v>
      </c>
      <c r="H105" s="3">
        <v>1270.8</v>
      </c>
      <c r="I105" s="3">
        <v>1280.74</v>
      </c>
      <c r="J105" s="3">
        <v>3217.6</v>
      </c>
      <c r="K105" s="3">
        <v>1217.25</v>
      </c>
      <c r="L105" s="4">
        <v>15027412</v>
      </c>
      <c r="M105" s="3">
        <v>19246153609.299999</v>
      </c>
      <c r="N105" s="4">
        <v>311959</v>
      </c>
      <c r="O105">
        <f t="shared" si="1"/>
        <v>-1.7321373337457539E-2</v>
      </c>
    </row>
    <row r="106" spans="1:15" ht="14.25" customHeight="1" x14ac:dyDescent="0.3">
      <c r="A106" s="2">
        <v>45625</v>
      </c>
      <c r="B106" t="s">
        <v>15</v>
      </c>
      <c r="C106" s="3">
        <v>1280</v>
      </c>
      <c r="D106" s="3">
        <v>1299.5</v>
      </c>
      <c r="E106" s="3">
        <v>1275.25</v>
      </c>
      <c r="F106" s="3">
        <v>1270.8</v>
      </c>
      <c r="G106" s="3">
        <v>1291.5</v>
      </c>
      <c r="H106" s="3">
        <v>1292.2</v>
      </c>
      <c r="I106" s="3">
        <v>1290.83</v>
      </c>
      <c r="J106" s="3">
        <v>3217.6</v>
      </c>
      <c r="K106" s="3">
        <v>1217.25</v>
      </c>
      <c r="L106" s="4">
        <v>13202307</v>
      </c>
      <c r="M106" s="3">
        <v>17041975591.700001</v>
      </c>
      <c r="N106" s="4">
        <v>280529</v>
      </c>
      <c r="O106">
        <f t="shared" si="1"/>
        <v>1.6839785961599064E-2</v>
      </c>
    </row>
    <row r="107" spans="1:15" ht="14.25" customHeight="1" x14ac:dyDescent="0.3">
      <c r="A107" s="2">
        <v>45628</v>
      </c>
      <c r="B107" t="s">
        <v>15</v>
      </c>
      <c r="C107" s="3">
        <v>1288</v>
      </c>
      <c r="D107" s="3">
        <v>1311.35</v>
      </c>
      <c r="E107" s="3">
        <v>1277.05</v>
      </c>
      <c r="F107" s="3">
        <v>1292.2</v>
      </c>
      <c r="G107" s="3">
        <v>1310.5999999999999</v>
      </c>
      <c r="H107" s="3">
        <v>1309.1500000000001</v>
      </c>
      <c r="I107" s="3">
        <v>1298.5999999999999</v>
      </c>
      <c r="J107" s="3">
        <v>3217.6</v>
      </c>
      <c r="K107" s="3">
        <v>1217.25</v>
      </c>
      <c r="L107" s="4">
        <v>11024152</v>
      </c>
      <c r="M107" s="3">
        <v>14315972962.549999</v>
      </c>
      <c r="N107" s="4">
        <v>272825</v>
      </c>
      <c r="O107">
        <f t="shared" si="1"/>
        <v>1.3117164525615264E-2</v>
      </c>
    </row>
    <row r="108" spans="1:15" ht="14.25" customHeight="1" x14ac:dyDescent="0.3">
      <c r="A108" s="2">
        <v>45629</v>
      </c>
      <c r="B108" t="s">
        <v>15</v>
      </c>
      <c r="C108" s="3">
        <v>1317</v>
      </c>
      <c r="D108" s="3">
        <v>1326.8</v>
      </c>
      <c r="E108" s="3">
        <v>1307</v>
      </c>
      <c r="F108" s="3">
        <v>1309.1500000000001</v>
      </c>
      <c r="G108" s="3">
        <v>1325.05</v>
      </c>
      <c r="H108" s="3">
        <v>1323.3</v>
      </c>
      <c r="I108" s="3">
        <v>1320.68</v>
      </c>
      <c r="J108" s="3">
        <v>3217.6</v>
      </c>
      <c r="K108" s="3">
        <v>1217.25</v>
      </c>
      <c r="L108" s="4">
        <v>16869482</v>
      </c>
      <c r="M108" s="3">
        <v>22279247257.549999</v>
      </c>
      <c r="N108" s="4">
        <v>349204</v>
      </c>
      <c r="O108">
        <f t="shared" si="1"/>
        <v>1.0808539892296423E-2</v>
      </c>
    </row>
    <row r="109" spans="1:15" ht="14.25" customHeight="1" x14ac:dyDescent="0.3">
      <c r="A109" s="2">
        <v>45630</v>
      </c>
      <c r="B109" t="s">
        <v>15</v>
      </c>
      <c r="C109" s="3">
        <v>1326</v>
      </c>
      <c r="D109" s="3">
        <v>1328.4</v>
      </c>
      <c r="E109" s="3">
        <v>1304.05</v>
      </c>
      <c r="F109" s="3">
        <v>1323.3</v>
      </c>
      <c r="G109" s="3">
        <v>1309.5</v>
      </c>
      <c r="H109" s="3">
        <v>1308.95</v>
      </c>
      <c r="I109" s="3">
        <v>1310.74</v>
      </c>
      <c r="J109" s="3">
        <v>3217.6</v>
      </c>
      <c r="K109" s="3">
        <v>1217.25</v>
      </c>
      <c r="L109" s="4">
        <v>19608540</v>
      </c>
      <c r="M109" s="3">
        <v>25701743568.799999</v>
      </c>
      <c r="N109" s="4">
        <v>250873</v>
      </c>
      <c r="O109">
        <f t="shared" si="1"/>
        <v>-1.0844101866545688E-2</v>
      </c>
    </row>
    <row r="110" spans="1:15" ht="14.25" customHeight="1" x14ac:dyDescent="0.3">
      <c r="A110" s="2">
        <v>45631</v>
      </c>
      <c r="B110" t="s">
        <v>15</v>
      </c>
      <c r="C110" s="3">
        <v>1314.35</v>
      </c>
      <c r="D110" s="3">
        <v>1329.95</v>
      </c>
      <c r="E110" s="3">
        <v>1306.1500000000001</v>
      </c>
      <c r="F110" s="3">
        <v>1308.95</v>
      </c>
      <c r="G110" s="3">
        <v>1320.9</v>
      </c>
      <c r="H110" s="3">
        <v>1322.05</v>
      </c>
      <c r="I110" s="3">
        <v>1319.78</v>
      </c>
      <c r="J110" s="3">
        <v>3217.6</v>
      </c>
      <c r="K110" s="3">
        <v>1217.25</v>
      </c>
      <c r="L110" s="4">
        <v>16858723</v>
      </c>
      <c r="M110" s="3">
        <v>22249886629.549999</v>
      </c>
      <c r="N110" s="4">
        <v>309667</v>
      </c>
      <c r="O110">
        <f t="shared" si="1"/>
        <v>1.0008021696779792E-2</v>
      </c>
    </row>
    <row r="111" spans="1:15" ht="14.25" customHeight="1" x14ac:dyDescent="0.3">
      <c r="A111" s="2">
        <v>45632</v>
      </c>
      <c r="B111" t="s">
        <v>15</v>
      </c>
      <c r="C111" s="3">
        <v>1323.9</v>
      </c>
      <c r="D111" s="3">
        <v>1323.9</v>
      </c>
      <c r="E111" s="3">
        <v>1310</v>
      </c>
      <c r="F111" s="3">
        <v>1322.05</v>
      </c>
      <c r="G111" s="3">
        <v>1311.6</v>
      </c>
      <c r="H111" s="3">
        <v>1311.55</v>
      </c>
      <c r="I111" s="3">
        <v>1314.49</v>
      </c>
      <c r="J111" s="3">
        <v>3217.6</v>
      </c>
      <c r="K111" s="3">
        <v>1217.25</v>
      </c>
      <c r="L111" s="4">
        <v>9037514</v>
      </c>
      <c r="M111" s="3">
        <v>11879701933.9</v>
      </c>
      <c r="N111" s="4">
        <v>193736</v>
      </c>
      <c r="O111">
        <f t="shared" si="1"/>
        <v>-7.942210960251125E-3</v>
      </c>
    </row>
    <row r="112" spans="1:15" ht="14.25" customHeight="1" x14ac:dyDescent="0.3">
      <c r="A112" s="2">
        <v>45635</v>
      </c>
      <c r="B112" t="s">
        <v>15</v>
      </c>
      <c r="C112" s="3">
        <v>1303</v>
      </c>
      <c r="D112" s="3">
        <v>1315</v>
      </c>
      <c r="E112" s="3">
        <v>1293.0999999999999</v>
      </c>
      <c r="F112" s="3">
        <v>1311.55</v>
      </c>
      <c r="G112" s="3">
        <v>1296.4000000000001</v>
      </c>
      <c r="H112" s="3">
        <v>1295.1500000000001</v>
      </c>
      <c r="I112" s="3">
        <v>1304.0999999999999</v>
      </c>
      <c r="J112" s="3">
        <v>3217.6</v>
      </c>
      <c r="K112" s="3">
        <v>1217.25</v>
      </c>
      <c r="L112" s="4">
        <v>14650002</v>
      </c>
      <c r="M112" s="3">
        <v>19105110924.900002</v>
      </c>
      <c r="N112" s="4">
        <v>202850</v>
      </c>
      <c r="O112">
        <f t="shared" si="1"/>
        <v>-1.250428881857334E-2</v>
      </c>
    </row>
    <row r="113" spans="1:15" ht="14.25" customHeight="1" x14ac:dyDescent="0.3">
      <c r="A113" s="2">
        <v>45636</v>
      </c>
      <c r="B113" t="s">
        <v>15</v>
      </c>
      <c r="C113" s="3">
        <v>1289.25</v>
      </c>
      <c r="D113" s="3">
        <v>1294.9000000000001</v>
      </c>
      <c r="E113" s="3">
        <v>1280.2</v>
      </c>
      <c r="F113" s="3">
        <v>1295.1500000000001</v>
      </c>
      <c r="G113" s="3">
        <v>1285.95</v>
      </c>
      <c r="H113" s="3">
        <v>1284.8499999999999</v>
      </c>
      <c r="I113" s="3">
        <v>1286.46</v>
      </c>
      <c r="J113" s="3">
        <v>3217.6</v>
      </c>
      <c r="K113" s="3">
        <v>1217.25</v>
      </c>
      <c r="L113" s="4">
        <v>16043729</v>
      </c>
      <c r="M113" s="3">
        <v>20639594557.200001</v>
      </c>
      <c r="N113" s="4">
        <v>456341</v>
      </c>
      <c r="O113">
        <f t="shared" si="1"/>
        <v>-7.9527467860866941E-3</v>
      </c>
    </row>
    <row r="114" spans="1:15" ht="14.25" customHeight="1" x14ac:dyDescent="0.3">
      <c r="A114" s="2">
        <v>45637</v>
      </c>
      <c r="B114" t="s">
        <v>15</v>
      </c>
      <c r="C114" s="3">
        <v>1285</v>
      </c>
      <c r="D114" s="3">
        <v>1290</v>
      </c>
      <c r="E114" s="3">
        <v>1276.05</v>
      </c>
      <c r="F114" s="3">
        <v>1284.8499999999999</v>
      </c>
      <c r="G114" s="3">
        <v>1279</v>
      </c>
      <c r="H114" s="3">
        <v>1278.2</v>
      </c>
      <c r="I114" s="3">
        <v>1282.33</v>
      </c>
      <c r="J114" s="3">
        <v>3217.6</v>
      </c>
      <c r="K114" s="3">
        <v>1217.25</v>
      </c>
      <c r="L114" s="4">
        <v>11724373</v>
      </c>
      <c r="M114" s="3">
        <v>15034457832.65</v>
      </c>
      <c r="N114" s="4">
        <v>272365</v>
      </c>
      <c r="O114">
        <f t="shared" si="1"/>
        <v>-5.1757014437481914E-3</v>
      </c>
    </row>
    <row r="115" spans="1:15" ht="14.25" customHeight="1" x14ac:dyDescent="0.3">
      <c r="A115" s="2">
        <v>45638</v>
      </c>
      <c r="B115" t="s">
        <v>15</v>
      </c>
      <c r="C115" s="3">
        <v>1270</v>
      </c>
      <c r="D115" s="3">
        <v>1278.2</v>
      </c>
      <c r="E115" s="3">
        <v>1260.5999999999999</v>
      </c>
      <c r="F115" s="3">
        <v>1278.2</v>
      </c>
      <c r="G115" s="3">
        <v>1261.3</v>
      </c>
      <c r="H115" s="3">
        <v>1262.9000000000001</v>
      </c>
      <c r="I115" s="3">
        <v>1265.58</v>
      </c>
      <c r="J115" s="3">
        <v>3217.6</v>
      </c>
      <c r="K115" s="3">
        <v>1217.25</v>
      </c>
      <c r="L115" s="4">
        <v>20906813</v>
      </c>
      <c r="M115" s="3">
        <v>26459166488.549999</v>
      </c>
      <c r="N115" s="4">
        <v>363205</v>
      </c>
      <c r="O115">
        <f t="shared" si="1"/>
        <v>-1.1969957753090248E-2</v>
      </c>
    </row>
    <row r="116" spans="1:15" ht="14.25" customHeight="1" x14ac:dyDescent="0.3">
      <c r="A116" s="2">
        <v>45639</v>
      </c>
      <c r="B116" t="s">
        <v>15</v>
      </c>
      <c r="C116" s="3">
        <v>1260</v>
      </c>
      <c r="D116" s="3">
        <v>1275.2</v>
      </c>
      <c r="E116" s="3">
        <v>1239.5999999999999</v>
      </c>
      <c r="F116" s="3">
        <v>1262.9000000000001</v>
      </c>
      <c r="G116" s="3">
        <v>1274.45</v>
      </c>
      <c r="H116" s="3">
        <v>1272.8499999999999</v>
      </c>
      <c r="I116" s="3">
        <v>1257.5</v>
      </c>
      <c r="J116" s="3">
        <v>3217.6</v>
      </c>
      <c r="K116" s="3">
        <v>1217.25</v>
      </c>
      <c r="L116" s="4">
        <v>28630222</v>
      </c>
      <c r="M116" s="3">
        <v>36002621429.300003</v>
      </c>
      <c r="N116" s="4">
        <v>482467</v>
      </c>
      <c r="O116">
        <f t="shared" si="1"/>
        <v>7.8786918995960228E-3</v>
      </c>
    </row>
    <row r="117" spans="1:15" ht="14.25" customHeight="1" x14ac:dyDescent="0.3">
      <c r="A117" s="2">
        <v>45642</v>
      </c>
      <c r="B117" t="s">
        <v>15</v>
      </c>
      <c r="C117" s="3">
        <v>1275</v>
      </c>
      <c r="D117" s="3">
        <v>1281</v>
      </c>
      <c r="E117" s="3">
        <v>1266.55</v>
      </c>
      <c r="F117" s="3">
        <v>1272.8499999999999</v>
      </c>
      <c r="G117" s="3">
        <v>1268.4000000000001</v>
      </c>
      <c r="H117" s="3">
        <v>1268.3</v>
      </c>
      <c r="I117" s="3">
        <v>1271.94</v>
      </c>
      <c r="J117" s="3">
        <v>3217.6</v>
      </c>
      <c r="K117" s="3">
        <v>1217.25</v>
      </c>
      <c r="L117" s="4">
        <v>9486781</v>
      </c>
      <c r="M117" s="3">
        <v>12066629924.299999</v>
      </c>
      <c r="N117" s="4">
        <v>224571</v>
      </c>
      <c r="O117">
        <f t="shared" si="1"/>
        <v>-3.5746553010959302E-3</v>
      </c>
    </row>
    <row r="118" spans="1:15" ht="14.25" customHeight="1" x14ac:dyDescent="0.3">
      <c r="A118" s="2">
        <v>45643</v>
      </c>
      <c r="B118" t="s">
        <v>15</v>
      </c>
      <c r="C118" s="3">
        <v>1261.05</v>
      </c>
      <c r="D118" s="3">
        <v>1263.9000000000001</v>
      </c>
      <c r="E118" s="3">
        <v>1242.8</v>
      </c>
      <c r="F118" s="3">
        <v>1268.3</v>
      </c>
      <c r="G118" s="3">
        <v>1244.7</v>
      </c>
      <c r="H118" s="3">
        <v>1245.3</v>
      </c>
      <c r="I118" s="3">
        <v>1249.22</v>
      </c>
      <c r="J118" s="3">
        <v>3217.6</v>
      </c>
      <c r="K118" s="3">
        <v>1217.25</v>
      </c>
      <c r="L118" s="4">
        <v>17462791</v>
      </c>
      <c r="M118" s="3">
        <v>21814794516.849998</v>
      </c>
      <c r="N118" s="4">
        <v>481698</v>
      </c>
      <c r="O118">
        <f t="shared" si="1"/>
        <v>-1.8134510762437911E-2</v>
      </c>
    </row>
    <row r="119" spans="1:15" ht="14.25" customHeight="1" x14ac:dyDescent="0.3">
      <c r="A119" s="2">
        <v>45644</v>
      </c>
      <c r="B119" t="s">
        <v>15</v>
      </c>
      <c r="C119" s="3">
        <v>1240.6500000000001</v>
      </c>
      <c r="D119" s="3">
        <v>1259.95</v>
      </c>
      <c r="E119" s="3">
        <v>1240.6500000000001</v>
      </c>
      <c r="F119" s="3">
        <v>1245.3</v>
      </c>
      <c r="G119" s="3">
        <v>1254.3499999999999</v>
      </c>
      <c r="H119" s="3">
        <v>1253.25</v>
      </c>
      <c r="I119" s="3">
        <v>1252.58</v>
      </c>
      <c r="J119" s="3">
        <v>3217.6</v>
      </c>
      <c r="K119" s="3">
        <v>1217.25</v>
      </c>
      <c r="L119" s="4">
        <v>12670179</v>
      </c>
      <c r="M119" s="3">
        <v>15870398087.1</v>
      </c>
      <c r="N119" s="4">
        <v>266155</v>
      </c>
      <c r="O119">
        <f t="shared" si="1"/>
        <v>6.3840038544929296E-3</v>
      </c>
    </row>
    <row r="120" spans="1:15" ht="14.25" customHeight="1" x14ac:dyDescent="0.3">
      <c r="A120" s="2">
        <v>45645</v>
      </c>
      <c r="B120" t="s">
        <v>15</v>
      </c>
      <c r="C120" s="3">
        <v>1239</v>
      </c>
      <c r="D120" s="3">
        <v>1244.9000000000001</v>
      </c>
      <c r="E120" s="3">
        <v>1229</v>
      </c>
      <c r="F120" s="3">
        <v>1253.25</v>
      </c>
      <c r="G120" s="3">
        <v>1230.5</v>
      </c>
      <c r="H120" s="3">
        <v>1230.45</v>
      </c>
      <c r="I120" s="3">
        <v>1235.73</v>
      </c>
      <c r="J120" s="3">
        <v>3217.6</v>
      </c>
      <c r="K120" s="3">
        <v>1217.25</v>
      </c>
      <c r="L120" s="4">
        <v>14244653</v>
      </c>
      <c r="M120" s="3">
        <v>17602540036</v>
      </c>
      <c r="N120" s="4">
        <v>503893</v>
      </c>
      <c r="O120">
        <f t="shared" si="1"/>
        <v>-1.8192698982645087E-2</v>
      </c>
    </row>
    <row r="121" spans="1:15" ht="14.25" customHeight="1" x14ac:dyDescent="0.3">
      <c r="A121" s="2">
        <v>45646</v>
      </c>
      <c r="B121" t="s">
        <v>15</v>
      </c>
      <c r="C121" s="3">
        <v>1224</v>
      </c>
      <c r="D121" s="3">
        <v>1239.5</v>
      </c>
      <c r="E121" s="3">
        <v>1201.5</v>
      </c>
      <c r="F121" s="3">
        <v>1230.45</v>
      </c>
      <c r="G121" s="3">
        <v>1206</v>
      </c>
      <c r="H121" s="3">
        <v>1205.3</v>
      </c>
      <c r="I121" s="3">
        <v>1215.95</v>
      </c>
      <c r="J121" s="3">
        <v>3217.6</v>
      </c>
      <c r="K121" s="3">
        <v>1201.5</v>
      </c>
      <c r="L121" s="4">
        <v>20312896</v>
      </c>
      <c r="M121" s="3">
        <v>24699497247.5</v>
      </c>
      <c r="N121" s="4">
        <v>499900</v>
      </c>
      <c r="O121">
        <f t="shared" si="1"/>
        <v>-2.0439676541102923E-2</v>
      </c>
    </row>
    <row r="122" spans="1:15" ht="14.25" customHeight="1" x14ac:dyDescent="0.3">
      <c r="A122" s="2">
        <v>45649</v>
      </c>
      <c r="B122" t="s">
        <v>15</v>
      </c>
      <c r="C122" s="3">
        <v>1215</v>
      </c>
      <c r="D122" s="3">
        <v>1227.2</v>
      </c>
      <c r="E122" s="3">
        <v>1213.2</v>
      </c>
      <c r="F122" s="3">
        <v>1205.3</v>
      </c>
      <c r="G122" s="3">
        <v>1223.8499999999999</v>
      </c>
      <c r="H122" s="3">
        <v>1222.3</v>
      </c>
      <c r="I122" s="3">
        <v>1219.77</v>
      </c>
      <c r="J122" s="3">
        <v>3217.6</v>
      </c>
      <c r="K122" s="3">
        <v>1201.5</v>
      </c>
      <c r="L122" s="4">
        <v>10052824</v>
      </c>
      <c r="M122" s="3">
        <v>12262091651.049999</v>
      </c>
      <c r="N122" s="4">
        <v>258756</v>
      </c>
      <c r="O122">
        <f t="shared" si="1"/>
        <v>1.4104372355430184E-2</v>
      </c>
    </row>
    <row r="123" spans="1:15" ht="14.25" customHeight="1" x14ac:dyDescent="0.3">
      <c r="A123" s="2">
        <v>45650</v>
      </c>
      <c r="B123" t="s">
        <v>15</v>
      </c>
      <c r="C123" s="3">
        <v>1222.3</v>
      </c>
      <c r="D123" s="3">
        <v>1233.55</v>
      </c>
      <c r="E123" s="3">
        <v>1221</v>
      </c>
      <c r="F123" s="3">
        <v>1222.3</v>
      </c>
      <c r="G123" s="3">
        <v>1224.2</v>
      </c>
      <c r="H123" s="3">
        <v>1222.75</v>
      </c>
      <c r="I123" s="3">
        <v>1227.1400000000001</v>
      </c>
      <c r="J123" s="3">
        <v>3217.6</v>
      </c>
      <c r="K123" s="3">
        <v>1201.5</v>
      </c>
      <c r="L123" s="4">
        <v>6734917</v>
      </c>
      <c r="M123" s="3">
        <v>8264675853.25</v>
      </c>
      <c r="N123" s="4">
        <v>207746</v>
      </c>
      <c r="O123">
        <f t="shared" si="1"/>
        <v>3.6815838992067864E-4</v>
      </c>
    </row>
    <row r="124" spans="1:15" ht="14.25" customHeight="1" x14ac:dyDescent="0.3">
      <c r="A124" s="2">
        <v>45652</v>
      </c>
      <c r="B124" t="s">
        <v>15</v>
      </c>
      <c r="C124" s="3">
        <v>1224.25</v>
      </c>
      <c r="D124" s="3">
        <v>1227.7</v>
      </c>
      <c r="E124" s="3">
        <v>1214.25</v>
      </c>
      <c r="F124" s="3">
        <v>1222.75</v>
      </c>
      <c r="G124" s="3">
        <v>1217</v>
      </c>
      <c r="H124" s="3">
        <v>1216.55</v>
      </c>
      <c r="I124" s="3">
        <v>1219.74</v>
      </c>
      <c r="J124" s="3">
        <v>3217.6</v>
      </c>
      <c r="K124" s="3">
        <v>1201.5</v>
      </c>
      <c r="L124" s="4">
        <v>10016178</v>
      </c>
      <c r="M124" s="3">
        <v>12217176986.799999</v>
      </c>
      <c r="N124" s="4">
        <v>256436</v>
      </c>
      <c r="O124">
        <f t="shared" si="1"/>
        <v>-5.0705377223472054E-3</v>
      </c>
    </row>
    <row r="125" spans="1:15" ht="14.25" customHeight="1" x14ac:dyDescent="0.3">
      <c r="A125" s="2">
        <v>45653</v>
      </c>
      <c r="B125" t="s">
        <v>15</v>
      </c>
      <c r="C125" s="3">
        <v>1218.3</v>
      </c>
      <c r="D125" s="3">
        <v>1227.9000000000001</v>
      </c>
      <c r="E125" s="3">
        <v>1217</v>
      </c>
      <c r="F125" s="3">
        <v>1216.55</v>
      </c>
      <c r="G125" s="3">
        <v>1221.5</v>
      </c>
      <c r="H125" s="3">
        <v>1221.05</v>
      </c>
      <c r="I125" s="3">
        <v>1223.2</v>
      </c>
      <c r="J125" s="3">
        <v>3217.6</v>
      </c>
      <c r="K125" s="3">
        <v>1201.5</v>
      </c>
      <c r="L125" s="4">
        <v>7000397</v>
      </c>
      <c r="M125" s="3">
        <v>8562895530.1999998</v>
      </c>
      <c r="N125" s="4">
        <v>174882</v>
      </c>
      <c r="O125">
        <f t="shared" si="1"/>
        <v>3.6989848341621801E-3</v>
      </c>
    </row>
    <row r="126" spans="1:15" ht="14.25" customHeight="1" x14ac:dyDescent="0.3">
      <c r="A126" s="2">
        <v>45656</v>
      </c>
      <c r="B126" t="s">
        <v>15</v>
      </c>
      <c r="C126" s="3">
        <v>1216.4000000000001</v>
      </c>
      <c r="D126" s="3">
        <v>1223.2</v>
      </c>
      <c r="E126" s="3">
        <v>1208.0999999999999</v>
      </c>
      <c r="F126" s="3">
        <v>1221.05</v>
      </c>
      <c r="G126" s="3">
        <v>1211.5</v>
      </c>
      <c r="H126" s="3">
        <v>1210.7</v>
      </c>
      <c r="I126" s="3">
        <v>1214.71</v>
      </c>
      <c r="J126" s="3">
        <v>3217.6</v>
      </c>
      <c r="K126" s="3">
        <v>1201.5</v>
      </c>
      <c r="L126" s="4">
        <v>8818766</v>
      </c>
      <c r="M126" s="3">
        <v>10712229377.5</v>
      </c>
      <c r="N126" s="4">
        <v>308317</v>
      </c>
      <c r="O126">
        <f t="shared" si="1"/>
        <v>-8.4763113713606404E-3</v>
      </c>
    </row>
    <row r="127" spans="1:15" ht="14.25" customHeight="1" x14ac:dyDescent="0.3">
      <c r="A127" s="2">
        <v>45657</v>
      </c>
      <c r="B127" t="s">
        <v>15</v>
      </c>
      <c r="C127" s="3">
        <v>1208</v>
      </c>
      <c r="D127" s="3">
        <v>1219.0999999999999</v>
      </c>
      <c r="E127" s="3">
        <v>1206.1500000000001</v>
      </c>
      <c r="F127" s="3">
        <v>1210.7</v>
      </c>
      <c r="G127" s="3">
        <v>1216.4000000000001</v>
      </c>
      <c r="H127" s="3">
        <v>1215.45</v>
      </c>
      <c r="I127" s="3">
        <v>1213.08</v>
      </c>
      <c r="J127" s="3">
        <v>3217.6</v>
      </c>
      <c r="K127" s="3">
        <v>1201.5</v>
      </c>
      <c r="L127" s="4">
        <v>6405475</v>
      </c>
      <c r="M127" s="3">
        <v>7770338353.8999996</v>
      </c>
      <c r="N127" s="4">
        <v>180916</v>
      </c>
      <c r="O127">
        <f t="shared" si="1"/>
        <v>3.9233501280251095E-3</v>
      </c>
    </row>
    <row r="128" spans="1:15" ht="14.25" customHeight="1" x14ac:dyDescent="0.3">
      <c r="A128" s="2">
        <v>45658</v>
      </c>
      <c r="B128" t="s">
        <v>15</v>
      </c>
      <c r="C128" s="3">
        <v>1214.8499999999999</v>
      </c>
      <c r="D128" s="3">
        <v>1226.3</v>
      </c>
      <c r="E128" s="3">
        <v>1211.5999999999999</v>
      </c>
      <c r="F128" s="3">
        <v>1215.45</v>
      </c>
      <c r="G128" s="3">
        <v>1222.75</v>
      </c>
      <c r="H128" s="3">
        <v>1221.25</v>
      </c>
      <c r="I128" s="3">
        <v>1221.01</v>
      </c>
      <c r="J128" s="3">
        <v>3217.6</v>
      </c>
      <c r="K128" s="3">
        <v>1201.5</v>
      </c>
      <c r="L128" s="4">
        <v>5892590</v>
      </c>
      <c r="M128" s="3">
        <v>7194899836.4499998</v>
      </c>
      <c r="N128" s="4">
        <v>138528</v>
      </c>
      <c r="O128">
        <f t="shared" si="1"/>
        <v>4.7718951828540496E-3</v>
      </c>
    </row>
    <row r="129" spans="1:15" ht="14.25" customHeight="1" x14ac:dyDescent="0.3">
      <c r="A129" s="2">
        <v>45659</v>
      </c>
      <c r="B129" t="s">
        <v>15</v>
      </c>
      <c r="C129" s="3">
        <v>1221.25</v>
      </c>
      <c r="D129" s="3">
        <v>1244.45</v>
      </c>
      <c r="E129" s="3">
        <v>1220</v>
      </c>
      <c r="F129" s="3">
        <v>1221.25</v>
      </c>
      <c r="G129" s="3">
        <v>1240.55</v>
      </c>
      <c r="H129" s="3">
        <v>1241.8</v>
      </c>
      <c r="I129" s="3">
        <v>1234.32</v>
      </c>
      <c r="J129" s="3">
        <v>3217.6</v>
      </c>
      <c r="K129" s="3">
        <v>1201.5</v>
      </c>
      <c r="L129" s="4">
        <v>15486276</v>
      </c>
      <c r="M129" s="3">
        <v>19115027208.349998</v>
      </c>
      <c r="N129" s="4">
        <v>271108</v>
      </c>
      <c r="O129">
        <f t="shared" si="1"/>
        <v>1.6827021494370483E-2</v>
      </c>
    </row>
    <row r="130" spans="1:15" ht="14.25" customHeight="1" x14ac:dyDescent="0.3">
      <c r="A130" s="2">
        <v>45660</v>
      </c>
      <c r="B130" t="s">
        <v>15</v>
      </c>
      <c r="C130" s="3">
        <v>1243.9000000000001</v>
      </c>
      <c r="D130" s="3">
        <v>1262.05</v>
      </c>
      <c r="E130" s="3">
        <v>1235.5</v>
      </c>
      <c r="F130" s="3">
        <v>1241.8</v>
      </c>
      <c r="G130" s="3">
        <v>1249.8499999999999</v>
      </c>
      <c r="H130" s="3">
        <v>1251.1500000000001</v>
      </c>
      <c r="I130" s="3">
        <v>1250.3399999999999</v>
      </c>
      <c r="J130" s="3">
        <v>3217.6</v>
      </c>
      <c r="K130" s="3">
        <v>1201.5</v>
      </c>
      <c r="L130" s="4">
        <v>15521102</v>
      </c>
      <c r="M130" s="3">
        <v>19406715598.75</v>
      </c>
      <c r="N130" s="4">
        <v>277290</v>
      </c>
      <c r="O130">
        <f t="shared" si="1"/>
        <v>7.5293928168788347E-3</v>
      </c>
    </row>
    <row r="131" spans="1:15" ht="14.25" customHeight="1" x14ac:dyDescent="0.3">
      <c r="A131" s="2">
        <v>45663</v>
      </c>
      <c r="B131" t="s">
        <v>15</v>
      </c>
      <c r="C131" s="3">
        <v>1253.95</v>
      </c>
      <c r="D131" s="3">
        <v>1262</v>
      </c>
      <c r="E131" s="3">
        <v>1215</v>
      </c>
      <c r="F131" s="3">
        <v>1251.1500000000001</v>
      </c>
      <c r="G131" s="3">
        <v>1216.25</v>
      </c>
      <c r="H131" s="3">
        <v>1218</v>
      </c>
      <c r="I131" s="3">
        <v>1235.67</v>
      </c>
      <c r="J131" s="3">
        <v>3217.6</v>
      </c>
      <c r="K131" s="3">
        <v>1201.5</v>
      </c>
      <c r="L131" s="4">
        <v>14816766</v>
      </c>
      <c r="M131" s="3">
        <v>18308652263.950001</v>
      </c>
      <c r="N131" s="4">
        <v>317843</v>
      </c>
      <c r="O131">
        <f t="shared" ref="O131:O194" si="2">(H131-H130)/H130</f>
        <v>-2.6495624025896246E-2</v>
      </c>
    </row>
    <row r="132" spans="1:15" ht="14.25" customHeight="1" x14ac:dyDescent="0.3">
      <c r="A132" s="2">
        <v>45664</v>
      </c>
      <c r="B132" t="s">
        <v>15</v>
      </c>
      <c r="C132" s="3">
        <v>1222</v>
      </c>
      <c r="D132" s="3">
        <v>1244.5</v>
      </c>
      <c r="E132" s="3">
        <v>1221.25</v>
      </c>
      <c r="F132" s="3">
        <v>1218</v>
      </c>
      <c r="G132" s="3">
        <v>1239.95</v>
      </c>
      <c r="H132" s="3">
        <v>1240.8499999999999</v>
      </c>
      <c r="I132" s="3">
        <v>1237.6300000000001</v>
      </c>
      <c r="J132" s="3">
        <v>3217.6</v>
      </c>
      <c r="K132" s="3">
        <v>1201.5</v>
      </c>
      <c r="L132" s="4">
        <v>10070505</v>
      </c>
      <c r="M132" s="3">
        <v>12463597633.450001</v>
      </c>
      <c r="N132" s="4">
        <v>216620</v>
      </c>
      <c r="O132">
        <f t="shared" si="2"/>
        <v>1.8760262725779891E-2</v>
      </c>
    </row>
    <row r="133" spans="1:15" ht="14.25" customHeight="1" x14ac:dyDescent="0.3">
      <c r="A133" s="2">
        <v>45665</v>
      </c>
      <c r="B133" t="s">
        <v>15</v>
      </c>
      <c r="C133" s="3">
        <v>1249</v>
      </c>
      <c r="D133" s="3">
        <v>1271.05</v>
      </c>
      <c r="E133" s="3">
        <v>1245.3499999999999</v>
      </c>
      <c r="F133" s="3">
        <v>1240.8499999999999</v>
      </c>
      <c r="G133" s="3">
        <v>1261.3499999999999</v>
      </c>
      <c r="H133" s="3">
        <v>1265.5</v>
      </c>
      <c r="I133" s="3">
        <v>1263.24</v>
      </c>
      <c r="J133" s="3">
        <v>3217.6</v>
      </c>
      <c r="K133" s="3">
        <v>1201.5</v>
      </c>
      <c r="L133" s="4">
        <v>19346579</v>
      </c>
      <c r="M133" s="3">
        <v>24439345120.549999</v>
      </c>
      <c r="N133" s="4">
        <v>531488</v>
      </c>
      <c r="O133">
        <f t="shared" si="2"/>
        <v>1.9865414836604017E-2</v>
      </c>
    </row>
    <row r="134" spans="1:15" ht="14.25" customHeight="1" x14ac:dyDescent="0.3">
      <c r="A134" s="2">
        <v>45666</v>
      </c>
      <c r="B134" t="s">
        <v>15</v>
      </c>
      <c r="C134" s="3">
        <v>1267</v>
      </c>
      <c r="D134" s="3">
        <v>1269.75</v>
      </c>
      <c r="E134" s="3">
        <v>1248.05</v>
      </c>
      <c r="F134" s="3">
        <v>1265.5</v>
      </c>
      <c r="G134" s="3">
        <v>1256.8</v>
      </c>
      <c r="H134" s="3">
        <v>1254.75</v>
      </c>
      <c r="I134" s="3">
        <v>1257.46</v>
      </c>
      <c r="J134" s="3">
        <v>3217.6</v>
      </c>
      <c r="K134" s="3">
        <v>1201.5</v>
      </c>
      <c r="L134" s="4">
        <v>12794704</v>
      </c>
      <c r="M134" s="3">
        <v>16088882554.200001</v>
      </c>
      <c r="N134" s="4">
        <v>390501</v>
      </c>
      <c r="O134">
        <f t="shared" si="2"/>
        <v>-8.4946661398656656E-3</v>
      </c>
    </row>
    <row r="135" spans="1:15" ht="14.25" customHeight="1" x14ac:dyDescent="0.3">
      <c r="A135" s="2">
        <v>45667</v>
      </c>
      <c r="B135" t="s">
        <v>15</v>
      </c>
      <c r="C135" s="3">
        <v>1253.8499999999999</v>
      </c>
      <c r="D135" s="3">
        <v>1256.75</v>
      </c>
      <c r="E135" s="3">
        <v>1236</v>
      </c>
      <c r="F135" s="3">
        <v>1254.75</v>
      </c>
      <c r="G135" s="3">
        <v>1245.55</v>
      </c>
      <c r="H135" s="3">
        <v>1241.9000000000001</v>
      </c>
      <c r="I135" s="3">
        <v>1245.97</v>
      </c>
      <c r="J135" s="3">
        <v>3217.6</v>
      </c>
      <c r="K135" s="3">
        <v>1201.5</v>
      </c>
      <c r="L135" s="4">
        <v>8120332</v>
      </c>
      <c r="M135" s="3">
        <v>10117685547.700001</v>
      </c>
      <c r="N135" s="4">
        <v>340024</v>
      </c>
      <c r="O135">
        <f t="shared" si="2"/>
        <v>-1.0241083881251173E-2</v>
      </c>
    </row>
    <row r="136" spans="1:15" ht="14.25" customHeight="1" x14ac:dyDescent="0.3">
      <c r="A136" s="2">
        <v>45670</v>
      </c>
      <c r="B136" t="s">
        <v>15</v>
      </c>
      <c r="C136" s="3">
        <v>1230</v>
      </c>
      <c r="D136" s="3">
        <v>1245.25</v>
      </c>
      <c r="E136" s="3">
        <v>1226.4000000000001</v>
      </c>
      <c r="F136" s="3">
        <v>1241.9000000000001</v>
      </c>
      <c r="G136" s="3">
        <v>1240.75</v>
      </c>
      <c r="H136" s="3">
        <v>1239.8499999999999</v>
      </c>
      <c r="I136" s="3">
        <v>1238.0999999999999</v>
      </c>
      <c r="J136" s="3">
        <v>3217.6</v>
      </c>
      <c r="K136" s="3">
        <v>1201.5</v>
      </c>
      <c r="L136" s="4">
        <v>13764861</v>
      </c>
      <c r="M136" s="3">
        <v>17042274859.85</v>
      </c>
      <c r="N136" s="4">
        <v>398257</v>
      </c>
      <c r="O136">
        <f t="shared" si="2"/>
        <v>-1.6506965134070229E-3</v>
      </c>
    </row>
    <row r="137" spans="1:15" ht="14.25" customHeight="1" x14ac:dyDescent="0.3">
      <c r="A137" s="2">
        <v>45671</v>
      </c>
      <c r="B137" t="s">
        <v>15</v>
      </c>
      <c r="C137" s="3">
        <v>1244.0999999999999</v>
      </c>
      <c r="D137" s="3">
        <v>1253.3499999999999</v>
      </c>
      <c r="E137" s="3">
        <v>1227.25</v>
      </c>
      <c r="F137" s="3">
        <v>1239.8499999999999</v>
      </c>
      <c r="G137" s="3">
        <v>1239</v>
      </c>
      <c r="H137" s="3">
        <v>1238.75</v>
      </c>
      <c r="I137" s="3">
        <v>1236.46</v>
      </c>
      <c r="J137" s="3">
        <v>3217.6</v>
      </c>
      <c r="K137" s="3">
        <v>1201.5</v>
      </c>
      <c r="L137" s="4">
        <v>13095266</v>
      </c>
      <c r="M137" s="3">
        <v>16191765836.200001</v>
      </c>
      <c r="N137" s="4">
        <v>278977</v>
      </c>
      <c r="O137">
        <f t="shared" si="2"/>
        <v>-8.8720409726975773E-4</v>
      </c>
    </row>
    <row r="138" spans="1:15" ht="14.25" customHeight="1" x14ac:dyDescent="0.3">
      <c r="A138" s="2">
        <v>45672</v>
      </c>
      <c r="B138" t="s">
        <v>15</v>
      </c>
      <c r="C138" s="3">
        <v>1244.95</v>
      </c>
      <c r="D138" s="3">
        <v>1257</v>
      </c>
      <c r="E138" s="3">
        <v>1241.8499999999999</v>
      </c>
      <c r="F138" s="3">
        <v>1238.75</v>
      </c>
      <c r="G138" s="3">
        <v>1252</v>
      </c>
      <c r="H138" s="3">
        <v>1252.2</v>
      </c>
      <c r="I138" s="3">
        <v>1250.1099999999999</v>
      </c>
      <c r="J138" s="3">
        <v>3217.6</v>
      </c>
      <c r="K138" s="3">
        <v>1201.5</v>
      </c>
      <c r="L138" s="4">
        <v>9578856</v>
      </c>
      <c r="M138" s="3">
        <v>11974600753.049999</v>
      </c>
      <c r="N138" s="4">
        <v>220174</v>
      </c>
      <c r="O138">
        <f t="shared" si="2"/>
        <v>1.0857719475277534E-2</v>
      </c>
    </row>
    <row r="139" spans="1:15" ht="14.25" customHeight="1" x14ac:dyDescent="0.3">
      <c r="A139" s="2">
        <v>45673</v>
      </c>
      <c r="B139" t="s">
        <v>15</v>
      </c>
      <c r="C139" s="3">
        <v>1258.9000000000001</v>
      </c>
      <c r="D139" s="3">
        <v>1275</v>
      </c>
      <c r="E139" s="3">
        <v>1251.3</v>
      </c>
      <c r="F139" s="3">
        <v>1252.2</v>
      </c>
      <c r="G139" s="3">
        <v>1275</v>
      </c>
      <c r="H139" s="3">
        <v>1266.45</v>
      </c>
      <c r="I139" s="3">
        <v>1262.8599999999999</v>
      </c>
      <c r="J139" s="3">
        <v>3217.6</v>
      </c>
      <c r="K139" s="3">
        <v>1201.5</v>
      </c>
      <c r="L139" s="4">
        <v>14117603</v>
      </c>
      <c r="M139" s="3">
        <v>17828486685.900002</v>
      </c>
      <c r="N139" s="4">
        <v>207451</v>
      </c>
      <c r="O139">
        <f t="shared" si="2"/>
        <v>1.1379971250598945E-2</v>
      </c>
    </row>
    <row r="140" spans="1:15" ht="14.25" customHeight="1" x14ac:dyDescent="0.3">
      <c r="A140" s="2">
        <v>45674</v>
      </c>
      <c r="B140" t="s">
        <v>15</v>
      </c>
      <c r="C140" s="3">
        <v>1322.25</v>
      </c>
      <c r="D140" s="3">
        <v>1326</v>
      </c>
      <c r="E140" s="3">
        <v>1285</v>
      </c>
      <c r="F140" s="3">
        <v>1266.45</v>
      </c>
      <c r="G140" s="3">
        <v>1300</v>
      </c>
      <c r="H140" s="3">
        <v>1302.3499999999999</v>
      </c>
      <c r="I140" s="3">
        <v>1300.8</v>
      </c>
      <c r="J140" s="3">
        <v>3217.6</v>
      </c>
      <c r="K140" s="3">
        <v>1201.5</v>
      </c>
      <c r="L140" s="4">
        <v>29366277</v>
      </c>
      <c r="M140" s="3">
        <v>38199728794.400002</v>
      </c>
      <c r="N140" s="4">
        <v>594018</v>
      </c>
      <c r="O140">
        <f t="shared" si="2"/>
        <v>2.8346954084251145E-2</v>
      </c>
    </row>
    <row r="141" spans="1:15" ht="14.25" customHeight="1" x14ac:dyDescent="0.3">
      <c r="A141" s="2">
        <v>45677</v>
      </c>
      <c r="B141" t="s">
        <v>15</v>
      </c>
      <c r="C141" s="3">
        <v>1316</v>
      </c>
      <c r="D141" s="3">
        <v>1316</v>
      </c>
      <c r="E141" s="3">
        <v>1300.25</v>
      </c>
      <c r="F141" s="3">
        <v>1302.3499999999999</v>
      </c>
      <c r="G141" s="3">
        <v>1304</v>
      </c>
      <c r="H141" s="3">
        <v>1305.45</v>
      </c>
      <c r="I141" s="3">
        <v>1307.82</v>
      </c>
      <c r="J141" s="3">
        <v>3217.6</v>
      </c>
      <c r="K141" s="3">
        <v>1201.5</v>
      </c>
      <c r="L141" s="4">
        <v>14040244</v>
      </c>
      <c r="M141" s="3">
        <v>18362047246.700001</v>
      </c>
      <c r="N141" s="4">
        <v>280553</v>
      </c>
      <c r="O141">
        <f t="shared" si="2"/>
        <v>2.3803125119976477E-3</v>
      </c>
    </row>
    <row r="142" spans="1:15" ht="14.25" customHeight="1" x14ac:dyDescent="0.3">
      <c r="A142" s="2">
        <v>45678</v>
      </c>
      <c r="B142" t="s">
        <v>15</v>
      </c>
      <c r="C142" s="3">
        <v>1310.5</v>
      </c>
      <c r="D142" s="3">
        <v>1313</v>
      </c>
      <c r="E142" s="3">
        <v>1270.2</v>
      </c>
      <c r="F142" s="3">
        <v>1305.45</v>
      </c>
      <c r="G142" s="3">
        <v>1277.5999999999999</v>
      </c>
      <c r="H142" s="3">
        <v>1273.7</v>
      </c>
      <c r="I142" s="3">
        <v>1284.79</v>
      </c>
      <c r="J142" s="3">
        <v>3217.6</v>
      </c>
      <c r="K142" s="3">
        <v>1201.5</v>
      </c>
      <c r="L142" s="4">
        <v>14562976</v>
      </c>
      <c r="M142" s="3">
        <v>18710366859.099998</v>
      </c>
      <c r="N142" s="4">
        <v>325783</v>
      </c>
      <c r="O142">
        <f t="shared" si="2"/>
        <v>-2.4321115324217702E-2</v>
      </c>
    </row>
    <row r="143" spans="1:15" ht="14.25" customHeight="1" x14ac:dyDescent="0.3">
      <c r="A143" s="2">
        <v>45679</v>
      </c>
      <c r="B143" t="s">
        <v>15</v>
      </c>
      <c r="C143" s="3">
        <v>1278.3</v>
      </c>
      <c r="D143" s="3">
        <v>1282.9000000000001</v>
      </c>
      <c r="E143" s="3">
        <v>1268.7</v>
      </c>
      <c r="F143" s="3">
        <v>1273.7</v>
      </c>
      <c r="G143" s="3">
        <v>1278</v>
      </c>
      <c r="H143" s="3">
        <v>1277.0999999999999</v>
      </c>
      <c r="I143" s="3">
        <v>1276.0899999999999</v>
      </c>
      <c r="J143" s="3">
        <v>3217.6</v>
      </c>
      <c r="K143" s="3">
        <v>1201.5</v>
      </c>
      <c r="L143" s="4">
        <v>10273590</v>
      </c>
      <c r="M143" s="3">
        <v>13110004094.65</v>
      </c>
      <c r="N143" s="4">
        <v>239816</v>
      </c>
      <c r="O143">
        <f t="shared" si="2"/>
        <v>2.6693883960115126E-3</v>
      </c>
    </row>
    <row r="144" spans="1:15" ht="14.25" customHeight="1" x14ac:dyDescent="0.3">
      <c r="A144" s="2">
        <v>45680</v>
      </c>
      <c r="B144" t="s">
        <v>15</v>
      </c>
      <c r="C144" s="3">
        <v>1270</v>
      </c>
      <c r="D144" s="3">
        <v>1277.3499999999999</v>
      </c>
      <c r="E144" s="3">
        <v>1261.5999999999999</v>
      </c>
      <c r="F144" s="3">
        <v>1277.0999999999999</v>
      </c>
      <c r="G144" s="3">
        <v>1264.9000000000001</v>
      </c>
      <c r="H144" s="3">
        <v>1263.6500000000001</v>
      </c>
      <c r="I144" s="3">
        <v>1267.52</v>
      </c>
      <c r="J144" s="3">
        <v>3217.6</v>
      </c>
      <c r="K144" s="3">
        <v>1201.5</v>
      </c>
      <c r="L144" s="4">
        <v>8720682</v>
      </c>
      <c r="M144" s="3">
        <v>11053624692.799999</v>
      </c>
      <c r="N144" s="4">
        <v>188421</v>
      </c>
      <c r="O144">
        <f t="shared" si="2"/>
        <v>-1.0531673322370856E-2</v>
      </c>
    </row>
    <row r="145" spans="1:15" ht="14.25" customHeight="1" x14ac:dyDescent="0.3">
      <c r="A145" s="2">
        <v>45681</v>
      </c>
      <c r="B145" t="s">
        <v>15</v>
      </c>
      <c r="C145" s="3">
        <v>1266</v>
      </c>
      <c r="D145" s="3">
        <v>1273</v>
      </c>
      <c r="E145" s="3">
        <v>1243.5</v>
      </c>
      <c r="F145" s="3">
        <v>1263.6500000000001</v>
      </c>
      <c r="G145" s="3">
        <v>1244.45</v>
      </c>
      <c r="H145" s="3">
        <v>1246.3</v>
      </c>
      <c r="I145" s="3">
        <v>1252.27</v>
      </c>
      <c r="J145" s="3">
        <v>3217.6</v>
      </c>
      <c r="K145" s="3">
        <v>1201.5</v>
      </c>
      <c r="L145" s="4">
        <v>14235970</v>
      </c>
      <c r="M145" s="3">
        <v>17827272395</v>
      </c>
      <c r="N145" s="4">
        <v>263461</v>
      </c>
      <c r="O145">
        <f t="shared" si="2"/>
        <v>-1.3730067661140455E-2</v>
      </c>
    </row>
    <row r="146" spans="1:15" ht="14.25" customHeight="1" x14ac:dyDescent="0.3">
      <c r="A146" s="2">
        <v>45684</v>
      </c>
      <c r="B146" t="s">
        <v>15</v>
      </c>
      <c r="C146" s="3">
        <v>1239.0999999999999</v>
      </c>
      <c r="D146" s="3">
        <v>1240.45</v>
      </c>
      <c r="E146" s="3">
        <v>1220</v>
      </c>
      <c r="F146" s="3">
        <v>1246.3</v>
      </c>
      <c r="G146" s="3">
        <v>1229</v>
      </c>
      <c r="H146" s="3">
        <v>1229.3499999999999</v>
      </c>
      <c r="I146" s="3">
        <v>1229.3499999999999</v>
      </c>
      <c r="J146" s="3">
        <v>3217.6</v>
      </c>
      <c r="K146" s="3">
        <v>1201.5</v>
      </c>
      <c r="L146" s="4">
        <v>9536019</v>
      </c>
      <c r="M146" s="3">
        <v>11723127883.65</v>
      </c>
      <c r="N146" s="4">
        <v>368025</v>
      </c>
      <c r="O146">
        <f t="shared" si="2"/>
        <v>-1.3600256760009666E-2</v>
      </c>
    </row>
    <row r="147" spans="1:15" ht="14.25" customHeight="1" x14ac:dyDescent="0.3">
      <c r="A147" s="2">
        <v>45685</v>
      </c>
      <c r="B147" t="s">
        <v>15</v>
      </c>
      <c r="C147" s="3">
        <v>1238</v>
      </c>
      <c r="D147" s="3">
        <v>1244.75</v>
      </c>
      <c r="E147" s="3">
        <v>1218.5</v>
      </c>
      <c r="F147" s="3">
        <v>1229.3499999999999</v>
      </c>
      <c r="G147" s="3">
        <v>1235</v>
      </c>
      <c r="H147" s="3">
        <v>1234.4000000000001</v>
      </c>
      <c r="I147" s="3">
        <v>1232.6500000000001</v>
      </c>
      <c r="J147" s="3">
        <v>3217.6</v>
      </c>
      <c r="K147" s="3">
        <v>1201.5</v>
      </c>
      <c r="L147" s="4">
        <v>10568025</v>
      </c>
      <c r="M147" s="3">
        <v>13026673067.35</v>
      </c>
      <c r="N147" s="4">
        <v>286863</v>
      </c>
      <c r="O147">
        <f t="shared" si="2"/>
        <v>4.1078618782284804E-3</v>
      </c>
    </row>
    <row r="148" spans="1:15" ht="14.25" customHeight="1" x14ac:dyDescent="0.3">
      <c r="A148" s="2">
        <v>45686</v>
      </c>
      <c r="B148" t="s">
        <v>15</v>
      </c>
      <c r="C148" s="3">
        <v>1236</v>
      </c>
      <c r="D148" s="3">
        <v>1242.75</v>
      </c>
      <c r="E148" s="3">
        <v>1228.05</v>
      </c>
      <c r="F148" s="3">
        <v>1234.4000000000001</v>
      </c>
      <c r="G148" s="3">
        <v>1237.25</v>
      </c>
      <c r="H148" s="3">
        <v>1235.5</v>
      </c>
      <c r="I148" s="3">
        <v>1236.6600000000001</v>
      </c>
      <c r="J148" s="3">
        <v>3217.6</v>
      </c>
      <c r="K148" s="3">
        <v>1201.5</v>
      </c>
      <c r="L148" s="4">
        <v>5928156</v>
      </c>
      <c r="M148" s="3">
        <v>7331119895.8000002</v>
      </c>
      <c r="N148" s="4">
        <v>167073</v>
      </c>
      <c r="O148">
        <f t="shared" si="2"/>
        <v>8.9112119248210386E-4</v>
      </c>
    </row>
    <row r="149" spans="1:15" ht="14.25" customHeight="1" x14ac:dyDescent="0.3">
      <c r="A149" s="2">
        <v>45687</v>
      </c>
      <c r="B149" t="s">
        <v>15</v>
      </c>
      <c r="C149" s="3">
        <v>1235.55</v>
      </c>
      <c r="D149" s="3">
        <v>1257</v>
      </c>
      <c r="E149" s="3">
        <v>1232.4000000000001</v>
      </c>
      <c r="F149" s="3">
        <v>1235.5</v>
      </c>
      <c r="G149" s="3">
        <v>1253.1500000000001</v>
      </c>
      <c r="H149" s="3">
        <v>1253.05</v>
      </c>
      <c r="I149" s="3">
        <v>1249.1500000000001</v>
      </c>
      <c r="J149" s="3">
        <v>3217.6</v>
      </c>
      <c r="K149" s="3">
        <v>1201.5</v>
      </c>
      <c r="L149" s="4">
        <v>9269259</v>
      </c>
      <c r="M149" s="3">
        <v>11578693152.950001</v>
      </c>
      <c r="N149" s="4">
        <v>227871</v>
      </c>
      <c r="O149">
        <f t="shared" si="2"/>
        <v>1.4204775394577058E-2</v>
      </c>
    </row>
    <row r="150" spans="1:15" ht="14.25" customHeight="1" x14ac:dyDescent="0.3">
      <c r="A150" s="2">
        <v>45688</v>
      </c>
      <c r="B150" t="s">
        <v>15</v>
      </c>
      <c r="C150" s="3">
        <v>1255.8499999999999</v>
      </c>
      <c r="D150" s="3">
        <v>1267</v>
      </c>
      <c r="E150" s="3">
        <v>1249</v>
      </c>
      <c r="F150" s="3">
        <v>1253.05</v>
      </c>
      <c r="G150" s="3">
        <v>1266</v>
      </c>
      <c r="H150" s="3">
        <v>1265.0999999999999</v>
      </c>
      <c r="I150" s="3">
        <v>1261.32</v>
      </c>
      <c r="J150" s="3">
        <v>3217.6</v>
      </c>
      <c r="K150" s="3">
        <v>1201.5</v>
      </c>
      <c r="L150" s="4">
        <v>6584612</v>
      </c>
      <c r="M150" s="3">
        <v>8305291978.4499998</v>
      </c>
      <c r="N150" s="4">
        <v>169481</v>
      </c>
      <c r="O150">
        <f t="shared" si="2"/>
        <v>9.6165356530066286E-3</v>
      </c>
    </row>
    <row r="151" spans="1:15" ht="14.25" customHeight="1" x14ac:dyDescent="0.3">
      <c r="A151" s="2">
        <v>45689</v>
      </c>
      <c r="B151" t="s">
        <v>15</v>
      </c>
      <c r="C151" s="3">
        <v>1265.0999999999999</v>
      </c>
      <c r="D151" s="3">
        <v>1270.55</v>
      </c>
      <c r="E151" s="3">
        <v>1241</v>
      </c>
      <c r="F151" s="3">
        <v>1265.0999999999999</v>
      </c>
      <c r="G151" s="3">
        <v>1264</v>
      </c>
      <c r="H151" s="3">
        <v>1264.5999999999999</v>
      </c>
      <c r="I151" s="3">
        <v>1260.42</v>
      </c>
      <c r="J151" s="3">
        <v>3217.6</v>
      </c>
      <c r="K151" s="3">
        <v>1201.5</v>
      </c>
      <c r="L151" s="4">
        <v>7118453</v>
      </c>
      <c r="M151" s="3">
        <v>8972248877.3500004</v>
      </c>
      <c r="N151" s="4">
        <v>143258</v>
      </c>
      <c r="O151">
        <f t="shared" si="2"/>
        <v>-3.9522567385977394E-4</v>
      </c>
    </row>
    <row r="152" spans="1:15" ht="14.25" customHeight="1" x14ac:dyDescent="0.3">
      <c r="A152" s="2">
        <v>45691</v>
      </c>
      <c r="B152" t="s">
        <v>15</v>
      </c>
      <c r="C152" s="3">
        <v>1251</v>
      </c>
      <c r="D152" s="3">
        <v>1256</v>
      </c>
      <c r="E152" s="3">
        <v>1237.55</v>
      </c>
      <c r="F152" s="3">
        <v>1264.5999999999999</v>
      </c>
      <c r="G152" s="3">
        <v>1247</v>
      </c>
      <c r="H152" s="3">
        <v>1245.9000000000001</v>
      </c>
      <c r="I152" s="3">
        <v>1247.1400000000001</v>
      </c>
      <c r="J152" s="3">
        <v>3217.6</v>
      </c>
      <c r="K152" s="3">
        <v>1201.5</v>
      </c>
      <c r="L152" s="4">
        <v>9252345</v>
      </c>
      <c r="M152" s="3">
        <v>11538963041</v>
      </c>
      <c r="N152" s="4">
        <v>268425</v>
      </c>
      <c r="O152">
        <f t="shared" si="2"/>
        <v>-1.4787284516843129E-2</v>
      </c>
    </row>
    <row r="153" spans="1:15" ht="14.25" customHeight="1" x14ac:dyDescent="0.3">
      <c r="A153" s="2">
        <v>45692</v>
      </c>
      <c r="B153" t="s">
        <v>15</v>
      </c>
      <c r="C153" s="3">
        <v>1248.05</v>
      </c>
      <c r="D153" s="3">
        <v>1288.8</v>
      </c>
      <c r="E153" s="3">
        <v>1246.5999999999999</v>
      </c>
      <c r="F153" s="3">
        <v>1245.9000000000001</v>
      </c>
      <c r="G153" s="3">
        <v>1282.9000000000001</v>
      </c>
      <c r="H153" s="3">
        <v>1285.2</v>
      </c>
      <c r="I153" s="3">
        <v>1273.6500000000001</v>
      </c>
      <c r="J153" s="3">
        <v>3217.6</v>
      </c>
      <c r="K153" s="3">
        <v>1201.5</v>
      </c>
      <c r="L153" s="4">
        <v>16691069</v>
      </c>
      <c r="M153" s="3">
        <v>21258496964.75</v>
      </c>
      <c r="N153" s="4">
        <v>323415</v>
      </c>
      <c r="O153">
        <f t="shared" si="2"/>
        <v>3.1543462557187534E-2</v>
      </c>
    </row>
    <row r="154" spans="1:15" ht="14.25" customHeight="1" x14ac:dyDescent="0.3">
      <c r="A154" s="2">
        <v>45693</v>
      </c>
      <c r="B154" t="s">
        <v>15</v>
      </c>
      <c r="C154" s="3">
        <v>1282.6500000000001</v>
      </c>
      <c r="D154" s="3">
        <v>1290.5</v>
      </c>
      <c r="E154" s="3">
        <v>1276.7</v>
      </c>
      <c r="F154" s="3">
        <v>1285.2</v>
      </c>
      <c r="G154" s="3">
        <v>1278.5</v>
      </c>
      <c r="H154" s="3">
        <v>1278.2</v>
      </c>
      <c r="I154" s="3">
        <v>1281.97</v>
      </c>
      <c r="J154" s="3">
        <v>3217.6</v>
      </c>
      <c r="K154" s="3">
        <v>1201.5</v>
      </c>
      <c r="L154" s="4">
        <v>10112028</v>
      </c>
      <c r="M154" s="3">
        <v>12963336513.049999</v>
      </c>
      <c r="N154" s="4">
        <v>219550</v>
      </c>
      <c r="O154">
        <f t="shared" si="2"/>
        <v>-5.4466230936819167E-3</v>
      </c>
    </row>
    <row r="155" spans="1:15" ht="14.25" customHeight="1" x14ac:dyDescent="0.3">
      <c r="A155" s="2">
        <v>45694</v>
      </c>
      <c r="B155" t="s">
        <v>15</v>
      </c>
      <c r="C155" s="3">
        <v>1273.7</v>
      </c>
      <c r="D155" s="3">
        <v>1288</v>
      </c>
      <c r="E155" s="3">
        <v>1270.3499999999999</v>
      </c>
      <c r="F155" s="3">
        <v>1278.2</v>
      </c>
      <c r="G155" s="3">
        <v>1283</v>
      </c>
      <c r="H155" s="3">
        <v>1281.55</v>
      </c>
      <c r="I155" s="3">
        <v>1279.27</v>
      </c>
      <c r="J155" s="3">
        <v>3217.6</v>
      </c>
      <c r="K155" s="3">
        <v>1201.5</v>
      </c>
      <c r="L155" s="4">
        <v>9956001</v>
      </c>
      <c r="M155" s="3">
        <v>12736385821.450001</v>
      </c>
      <c r="N155" s="4">
        <v>217888</v>
      </c>
      <c r="O155">
        <f t="shared" si="2"/>
        <v>2.6208731028007424E-3</v>
      </c>
    </row>
    <row r="156" spans="1:15" ht="14.25" customHeight="1" x14ac:dyDescent="0.3">
      <c r="A156" s="2">
        <v>45695</v>
      </c>
      <c r="B156" t="s">
        <v>15</v>
      </c>
      <c r="C156" s="3">
        <v>1276.1500000000001</v>
      </c>
      <c r="D156" s="3">
        <v>1283.7</v>
      </c>
      <c r="E156" s="3">
        <v>1262</v>
      </c>
      <c r="F156" s="3">
        <v>1281.55</v>
      </c>
      <c r="G156" s="3">
        <v>1266.5</v>
      </c>
      <c r="H156" s="3">
        <v>1266.7</v>
      </c>
      <c r="I156" s="3">
        <v>1270.98</v>
      </c>
      <c r="J156" s="3">
        <v>3217.6</v>
      </c>
      <c r="K156" s="3">
        <v>1201.5</v>
      </c>
      <c r="L156" s="4">
        <v>8764283</v>
      </c>
      <c r="M156" s="3">
        <v>11139240963.049999</v>
      </c>
      <c r="N156" s="4">
        <v>174531</v>
      </c>
      <c r="O156">
        <f t="shared" si="2"/>
        <v>-1.1587530724513214E-2</v>
      </c>
    </row>
    <row r="157" spans="1:15" ht="14.25" customHeight="1" x14ac:dyDescent="0.3">
      <c r="A157" s="2">
        <v>45698</v>
      </c>
      <c r="B157" t="s">
        <v>15</v>
      </c>
      <c r="C157" s="3">
        <v>1264.5</v>
      </c>
      <c r="D157" s="3">
        <v>1266.5</v>
      </c>
      <c r="E157" s="3">
        <v>1245.55</v>
      </c>
      <c r="F157" s="3">
        <v>1266.7</v>
      </c>
      <c r="G157" s="3">
        <v>1254.6500000000001</v>
      </c>
      <c r="H157" s="3">
        <v>1253.6500000000001</v>
      </c>
      <c r="I157" s="3">
        <v>1251.52</v>
      </c>
      <c r="J157" s="3">
        <v>3217.6</v>
      </c>
      <c r="K157" s="3">
        <v>1201.5</v>
      </c>
      <c r="L157" s="4">
        <v>6970972</v>
      </c>
      <c r="M157" s="3">
        <v>8724286360.5499992</v>
      </c>
      <c r="N157" s="4">
        <v>173316</v>
      </c>
      <c r="O157">
        <f t="shared" si="2"/>
        <v>-1.0302360464198274E-2</v>
      </c>
    </row>
    <row r="158" spans="1:15" ht="14.25" customHeight="1" x14ac:dyDescent="0.3">
      <c r="A158" s="2">
        <v>45699</v>
      </c>
      <c r="B158" t="s">
        <v>15</v>
      </c>
      <c r="C158" s="3">
        <v>1264.55</v>
      </c>
      <c r="D158" s="3">
        <v>1264.55</v>
      </c>
      <c r="E158" s="3">
        <v>1230.0999999999999</v>
      </c>
      <c r="F158" s="3">
        <v>1253.6500000000001</v>
      </c>
      <c r="G158" s="3">
        <v>1237.55</v>
      </c>
      <c r="H158" s="3">
        <v>1234.8499999999999</v>
      </c>
      <c r="I158" s="3">
        <v>1244.26</v>
      </c>
      <c r="J158" s="3">
        <v>3217.6</v>
      </c>
      <c r="K158" s="3">
        <v>1201.5</v>
      </c>
      <c r="L158" s="4">
        <v>8859714</v>
      </c>
      <c r="M158" s="3">
        <v>11023757522.950001</v>
      </c>
      <c r="N158" s="4">
        <v>240683</v>
      </c>
      <c r="O158">
        <f t="shared" si="2"/>
        <v>-1.4996211063694158E-2</v>
      </c>
    </row>
    <row r="159" spans="1:15" ht="14.25" customHeight="1" x14ac:dyDescent="0.3">
      <c r="A159" s="2">
        <v>45700</v>
      </c>
      <c r="B159" t="s">
        <v>15</v>
      </c>
      <c r="C159" s="3">
        <v>1219.45</v>
      </c>
      <c r="D159" s="3">
        <v>1226.9000000000001</v>
      </c>
      <c r="E159" s="3">
        <v>1193.3499999999999</v>
      </c>
      <c r="F159" s="3">
        <v>1234.8499999999999</v>
      </c>
      <c r="G159" s="3">
        <v>1217.05</v>
      </c>
      <c r="H159" s="3">
        <v>1216.55</v>
      </c>
      <c r="I159" s="3">
        <v>1211.3900000000001</v>
      </c>
      <c r="J159" s="3">
        <v>3217.6</v>
      </c>
      <c r="K159" s="3">
        <v>1193.3499999999999</v>
      </c>
      <c r="L159" s="4">
        <v>21131654</v>
      </c>
      <c r="M159" s="3">
        <v>25598619531.25</v>
      </c>
      <c r="N159" s="4">
        <v>404276</v>
      </c>
      <c r="O159">
        <f t="shared" si="2"/>
        <v>-1.481961371826534E-2</v>
      </c>
    </row>
    <row r="160" spans="1:15" ht="14.25" customHeight="1" x14ac:dyDescent="0.3">
      <c r="A160" s="2">
        <v>45701</v>
      </c>
      <c r="B160" t="s">
        <v>15</v>
      </c>
      <c r="C160" s="3">
        <v>1217.05</v>
      </c>
      <c r="D160" s="3">
        <v>1228</v>
      </c>
      <c r="E160" s="3">
        <v>1212</v>
      </c>
      <c r="F160" s="3">
        <v>1216.55</v>
      </c>
      <c r="G160" s="3">
        <v>1216.2</v>
      </c>
      <c r="H160" s="3">
        <v>1216.0999999999999</v>
      </c>
      <c r="I160" s="3">
        <v>1219.5999999999999</v>
      </c>
      <c r="J160" s="3">
        <v>3217.6</v>
      </c>
      <c r="K160" s="3">
        <v>1193.3499999999999</v>
      </c>
      <c r="L160" s="4">
        <v>8511216</v>
      </c>
      <c r="M160" s="3">
        <v>10380276762.25</v>
      </c>
      <c r="N160" s="4">
        <v>266249</v>
      </c>
      <c r="O160">
        <f t="shared" si="2"/>
        <v>-3.6989848341625539E-4</v>
      </c>
    </row>
    <row r="161" spans="1:15" ht="14.25" customHeight="1" x14ac:dyDescent="0.3">
      <c r="A161" s="2">
        <v>45702</v>
      </c>
      <c r="B161" t="s">
        <v>15</v>
      </c>
      <c r="C161" s="3">
        <v>1219</v>
      </c>
      <c r="D161" s="3">
        <v>1224</v>
      </c>
      <c r="E161" s="3">
        <v>1205.45</v>
      </c>
      <c r="F161" s="3">
        <v>1216.0999999999999</v>
      </c>
      <c r="G161" s="3">
        <v>1214.75</v>
      </c>
      <c r="H161" s="3">
        <v>1217.25</v>
      </c>
      <c r="I161" s="3">
        <v>1215.0999999999999</v>
      </c>
      <c r="J161" s="3">
        <v>3217.6</v>
      </c>
      <c r="K161" s="3">
        <v>1193.3499999999999</v>
      </c>
      <c r="L161" s="4">
        <v>10298145</v>
      </c>
      <c r="M161" s="3">
        <v>12513277266.75</v>
      </c>
      <c r="N161" s="4">
        <v>202314</v>
      </c>
      <c r="O161">
        <f t="shared" si="2"/>
        <v>9.4564591727661464E-4</v>
      </c>
    </row>
    <row r="162" spans="1:15" ht="14.25" customHeight="1" x14ac:dyDescent="0.3">
      <c r="A162" s="2">
        <v>45705</v>
      </c>
      <c r="B162" t="s">
        <v>15</v>
      </c>
      <c r="C162" s="3">
        <v>1211.0999999999999</v>
      </c>
      <c r="D162" s="3">
        <v>1227.5</v>
      </c>
      <c r="E162" s="3">
        <v>1204.5</v>
      </c>
      <c r="F162" s="3">
        <v>1217.25</v>
      </c>
      <c r="G162" s="3">
        <v>1225.45</v>
      </c>
      <c r="H162" s="3">
        <v>1224.9000000000001</v>
      </c>
      <c r="I162" s="3">
        <v>1219.6199999999999</v>
      </c>
      <c r="J162" s="3">
        <v>3217.6</v>
      </c>
      <c r="K162" s="3">
        <v>1193.3499999999999</v>
      </c>
      <c r="L162" s="4">
        <v>8166683</v>
      </c>
      <c r="M162" s="3">
        <v>9960241446.8500004</v>
      </c>
      <c r="N162" s="4">
        <v>220670</v>
      </c>
      <c r="O162">
        <f t="shared" si="2"/>
        <v>6.2846580406655094E-3</v>
      </c>
    </row>
    <row r="163" spans="1:15" ht="14.25" customHeight="1" x14ac:dyDescent="0.3">
      <c r="A163" s="2">
        <v>45706</v>
      </c>
      <c r="B163" t="s">
        <v>15</v>
      </c>
      <c r="C163" s="3">
        <v>1224.8499999999999</v>
      </c>
      <c r="D163" s="3">
        <v>1229.9000000000001</v>
      </c>
      <c r="E163" s="3">
        <v>1216.0999999999999</v>
      </c>
      <c r="F163" s="3">
        <v>1224.9000000000001</v>
      </c>
      <c r="G163" s="3">
        <v>1223.95</v>
      </c>
      <c r="H163" s="3">
        <v>1225.4000000000001</v>
      </c>
      <c r="I163" s="3">
        <v>1223.94</v>
      </c>
      <c r="J163" s="3">
        <v>3217.6</v>
      </c>
      <c r="K163" s="3">
        <v>1193.3499999999999</v>
      </c>
      <c r="L163" s="4">
        <v>6673250</v>
      </c>
      <c r="M163" s="3">
        <v>8167661853.9499998</v>
      </c>
      <c r="N163" s="4">
        <v>181273</v>
      </c>
      <c r="O163">
        <f t="shared" si="2"/>
        <v>4.0819658747652868E-4</v>
      </c>
    </row>
    <row r="164" spans="1:15" ht="14.25" customHeight="1" x14ac:dyDescent="0.3">
      <c r="A164" s="2">
        <v>45707</v>
      </c>
      <c r="B164" t="s">
        <v>15</v>
      </c>
      <c r="C164" s="3">
        <v>1219.5</v>
      </c>
      <c r="D164" s="3">
        <v>1232.75</v>
      </c>
      <c r="E164" s="3">
        <v>1217.55</v>
      </c>
      <c r="F164" s="3">
        <v>1225.4000000000001</v>
      </c>
      <c r="G164" s="3">
        <v>1226.3</v>
      </c>
      <c r="H164" s="3">
        <v>1227.45</v>
      </c>
      <c r="I164" s="3">
        <v>1226.67</v>
      </c>
      <c r="J164" s="3">
        <v>3217.6</v>
      </c>
      <c r="K164" s="3">
        <v>1193.3499999999999</v>
      </c>
      <c r="L164" s="4">
        <v>6217338</v>
      </c>
      <c r="M164" s="3">
        <v>7626601753.25</v>
      </c>
      <c r="N164" s="4">
        <v>178165</v>
      </c>
      <c r="O164">
        <f t="shared" si="2"/>
        <v>1.6729231271421204E-3</v>
      </c>
    </row>
    <row r="165" spans="1:15" ht="14.25" customHeight="1" x14ac:dyDescent="0.3">
      <c r="A165" s="2">
        <v>45708</v>
      </c>
      <c r="B165" t="s">
        <v>15</v>
      </c>
      <c r="C165" s="3">
        <v>1223.95</v>
      </c>
      <c r="D165" s="3">
        <v>1239.3499999999999</v>
      </c>
      <c r="E165" s="3">
        <v>1222</v>
      </c>
      <c r="F165" s="3">
        <v>1227.45</v>
      </c>
      <c r="G165" s="3">
        <v>1232</v>
      </c>
      <c r="H165" s="3">
        <v>1233</v>
      </c>
      <c r="I165" s="3">
        <v>1233.94</v>
      </c>
      <c r="J165" s="3">
        <v>3217.6</v>
      </c>
      <c r="K165" s="3">
        <v>1193.3499999999999</v>
      </c>
      <c r="L165" s="4">
        <v>7795582</v>
      </c>
      <c r="M165" s="3">
        <v>9619277166.5</v>
      </c>
      <c r="N165" s="4">
        <v>162561</v>
      </c>
      <c r="O165">
        <f t="shared" si="2"/>
        <v>4.5215691066845531E-3</v>
      </c>
    </row>
    <row r="166" spans="1:15" ht="14.25" customHeight="1" x14ac:dyDescent="0.3">
      <c r="A166" s="2">
        <v>45709</v>
      </c>
      <c r="B166" t="s">
        <v>15</v>
      </c>
      <c r="C166" s="3">
        <v>1228.7</v>
      </c>
      <c r="D166" s="3">
        <v>1240</v>
      </c>
      <c r="E166" s="3">
        <v>1222.1500000000001</v>
      </c>
      <c r="F166" s="3">
        <v>1233</v>
      </c>
      <c r="G166" s="3">
        <v>1226.9000000000001</v>
      </c>
      <c r="H166" s="3">
        <v>1228.1500000000001</v>
      </c>
      <c r="I166" s="3">
        <v>1231.3699999999999</v>
      </c>
      <c r="J166" s="3">
        <v>3217.6</v>
      </c>
      <c r="K166" s="3">
        <v>1193.3499999999999</v>
      </c>
      <c r="L166" s="4">
        <v>6904025</v>
      </c>
      <c r="M166" s="3">
        <v>8501382497.6999998</v>
      </c>
      <c r="N166" s="4">
        <v>213824</v>
      </c>
      <c r="O166">
        <f t="shared" si="2"/>
        <v>-3.9334955393348818E-3</v>
      </c>
    </row>
    <row r="167" spans="1:15" ht="14.25" customHeight="1" x14ac:dyDescent="0.3">
      <c r="A167" s="2">
        <v>45712</v>
      </c>
      <c r="B167" t="s">
        <v>15</v>
      </c>
      <c r="C167" s="3">
        <v>1216.55</v>
      </c>
      <c r="D167" s="3">
        <v>1223.25</v>
      </c>
      <c r="E167" s="3">
        <v>1210.5</v>
      </c>
      <c r="F167" s="3">
        <v>1228.1500000000001</v>
      </c>
      <c r="G167" s="3">
        <v>1215</v>
      </c>
      <c r="H167" s="3">
        <v>1214.55</v>
      </c>
      <c r="I167" s="3">
        <v>1215.9000000000001</v>
      </c>
      <c r="J167" s="3">
        <v>3217.6</v>
      </c>
      <c r="K167" s="3">
        <v>1193.3499999999999</v>
      </c>
      <c r="L167" s="4">
        <v>7172498</v>
      </c>
      <c r="M167" s="3">
        <v>8721021715.3500004</v>
      </c>
      <c r="N167" s="4">
        <v>200264</v>
      </c>
      <c r="O167">
        <f t="shared" si="2"/>
        <v>-1.1073565932500211E-2</v>
      </c>
    </row>
    <row r="168" spans="1:15" ht="14.25" customHeight="1" x14ac:dyDescent="0.3">
      <c r="A168" s="2">
        <v>45713</v>
      </c>
      <c r="B168" t="s">
        <v>15</v>
      </c>
      <c r="C168" s="3">
        <v>1211</v>
      </c>
      <c r="D168" s="3">
        <v>1221</v>
      </c>
      <c r="E168" s="3">
        <v>1201.5</v>
      </c>
      <c r="F168" s="3">
        <v>1214.55</v>
      </c>
      <c r="G168" s="3">
        <v>1202</v>
      </c>
      <c r="H168" s="3">
        <v>1204</v>
      </c>
      <c r="I168" s="3">
        <v>1209.5999999999999</v>
      </c>
      <c r="J168" s="3">
        <v>3217.6</v>
      </c>
      <c r="K168" s="3">
        <v>1193.3499999999999</v>
      </c>
      <c r="L168" s="4">
        <v>11552182</v>
      </c>
      <c r="M168" s="3">
        <v>13973492939.799999</v>
      </c>
      <c r="N168" s="4">
        <v>213192</v>
      </c>
      <c r="O168">
        <f t="shared" si="2"/>
        <v>-8.6863447367337334E-3</v>
      </c>
    </row>
    <row r="169" spans="1:15" ht="14.25" customHeight="1" x14ac:dyDescent="0.3">
      <c r="A169" s="2">
        <v>45715</v>
      </c>
      <c r="B169" t="s">
        <v>15</v>
      </c>
      <c r="C169" s="3">
        <v>1212.8</v>
      </c>
      <c r="D169" s="3">
        <v>1215</v>
      </c>
      <c r="E169" s="3">
        <v>1200.6500000000001</v>
      </c>
      <c r="F169" s="3">
        <v>1204</v>
      </c>
      <c r="G169" s="3">
        <v>1208</v>
      </c>
      <c r="H169" s="3">
        <v>1207.0999999999999</v>
      </c>
      <c r="I169" s="3">
        <v>1206.31</v>
      </c>
      <c r="J169" s="3">
        <v>3217.6</v>
      </c>
      <c r="K169" s="3">
        <v>1193.3499999999999</v>
      </c>
      <c r="L169" s="4">
        <v>11509215</v>
      </c>
      <c r="M169" s="3">
        <v>13883637029.450001</v>
      </c>
      <c r="N169" s="4">
        <v>236188</v>
      </c>
      <c r="O169">
        <f t="shared" si="2"/>
        <v>2.5747508305647084E-3</v>
      </c>
    </row>
    <row r="170" spans="1:15" ht="14.25" customHeight="1" x14ac:dyDescent="0.3">
      <c r="A170" s="2">
        <v>45716</v>
      </c>
      <c r="B170" t="s">
        <v>15</v>
      </c>
      <c r="C170" s="3">
        <v>1202</v>
      </c>
      <c r="D170" s="3">
        <v>1217.3499999999999</v>
      </c>
      <c r="E170" s="3">
        <v>1193.3</v>
      </c>
      <c r="F170" s="3">
        <v>1207.0999999999999</v>
      </c>
      <c r="G170" s="3">
        <v>1198</v>
      </c>
      <c r="H170" s="3">
        <v>1200.0999999999999</v>
      </c>
      <c r="I170" s="3">
        <v>1205.6199999999999</v>
      </c>
      <c r="J170" s="3">
        <v>3217.6</v>
      </c>
      <c r="K170" s="3">
        <v>1193.3</v>
      </c>
      <c r="L170" s="4">
        <v>23007298</v>
      </c>
      <c r="M170" s="3">
        <v>27738125737.599998</v>
      </c>
      <c r="N170" s="4">
        <v>355378</v>
      </c>
      <c r="O170">
        <f t="shared" si="2"/>
        <v>-5.7990224505012015E-3</v>
      </c>
    </row>
    <row r="171" spans="1:15" ht="14.25" customHeight="1" x14ac:dyDescent="0.3">
      <c r="A171" s="2">
        <v>45719</v>
      </c>
      <c r="B171" t="s">
        <v>15</v>
      </c>
      <c r="C171" s="3">
        <v>1204</v>
      </c>
      <c r="D171" s="3">
        <v>1206.45</v>
      </c>
      <c r="E171" s="3">
        <v>1156</v>
      </c>
      <c r="F171" s="3">
        <v>1200.0999999999999</v>
      </c>
      <c r="G171" s="3">
        <v>1174</v>
      </c>
      <c r="H171" s="3">
        <v>1171.25</v>
      </c>
      <c r="I171" s="3">
        <v>1168.57</v>
      </c>
      <c r="J171" s="3">
        <v>3217.6</v>
      </c>
      <c r="K171" s="3">
        <v>1156</v>
      </c>
      <c r="L171" s="4">
        <v>17944938</v>
      </c>
      <c r="M171" s="3">
        <v>20969945818.549999</v>
      </c>
      <c r="N171" s="4">
        <v>682013</v>
      </c>
      <c r="O171">
        <f t="shared" si="2"/>
        <v>-2.4039663361386476E-2</v>
      </c>
    </row>
    <row r="172" spans="1:15" ht="14.25" customHeight="1" x14ac:dyDescent="0.3">
      <c r="A172" s="2">
        <v>45720</v>
      </c>
      <c r="B172" t="s">
        <v>15</v>
      </c>
      <c r="C172" s="3">
        <v>1162.2</v>
      </c>
      <c r="D172" s="3">
        <v>1174</v>
      </c>
      <c r="E172" s="3">
        <v>1159.55</v>
      </c>
      <c r="F172" s="3">
        <v>1171.25</v>
      </c>
      <c r="G172" s="3">
        <v>1160.45</v>
      </c>
      <c r="H172" s="3">
        <v>1161.9000000000001</v>
      </c>
      <c r="I172" s="3">
        <v>1164.92</v>
      </c>
      <c r="J172" s="3">
        <v>3217.6</v>
      </c>
      <c r="K172" s="3">
        <v>1156</v>
      </c>
      <c r="L172" s="4">
        <v>11377373</v>
      </c>
      <c r="M172" s="3">
        <v>13253711939.15</v>
      </c>
      <c r="N172" s="4">
        <v>275459</v>
      </c>
      <c r="O172">
        <f t="shared" si="2"/>
        <v>-7.9829242262539242E-3</v>
      </c>
    </row>
    <row r="173" spans="1:15" ht="14.25" customHeight="1" x14ac:dyDescent="0.3">
      <c r="A173" s="2">
        <v>45721</v>
      </c>
      <c r="B173" t="s">
        <v>15</v>
      </c>
      <c r="C173" s="3">
        <v>1161</v>
      </c>
      <c r="D173" s="3">
        <v>1183</v>
      </c>
      <c r="E173" s="3">
        <v>1157</v>
      </c>
      <c r="F173" s="3">
        <v>1161.9000000000001</v>
      </c>
      <c r="G173" s="3">
        <v>1177.1500000000001</v>
      </c>
      <c r="H173" s="3">
        <v>1175.5999999999999</v>
      </c>
      <c r="I173" s="3">
        <v>1173.4000000000001</v>
      </c>
      <c r="J173" s="3">
        <v>3217.6</v>
      </c>
      <c r="K173" s="3">
        <v>1156</v>
      </c>
      <c r="L173" s="4">
        <v>8664095</v>
      </c>
      <c r="M173" s="3">
        <v>10166451492.549999</v>
      </c>
      <c r="N173" s="4">
        <v>196774</v>
      </c>
      <c r="O173">
        <f t="shared" si="2"/>
        <v>1.1791031930458573E-2</v>
      </c>
    </row>
    <row r="174" spans="1:15" ht="14.25" customHeight="1" x14ac:dyDescent="0.3">
      <c r="A174" s="2">
        <v>45722</v>
      </c>
      <c r="B174" t="s">
        <v>15</v>
      </c>
      <c r="C174" s="3">
        <v>1197</v>
      </c>
      <c r="D174" s="3">
        <v>1213.95</v>
      </c>
      <c r="E174" s="3">
        <v>1185.1500000000001</v>
      </c>
      <c r="F174" s="3">
        <v>1175.5999999999999</v>
      </c>
      <c r="G174" s="3">
        <v>1211.5</v>
      </c>
      <c r="H174" s="3">
        <v>1209.5999999999999</v>
      </c>
      <c r="I174" s="3">
        <v>1199.05</v>
      </c>
      <c r="J174" s="3">
        <v>3217.6</v>
      </c>
      <c r="K174" s="3">
        <v>1156</v>
      </c>
      <c r="L174" s="4">
        <v>14468014</v>
      </c>
      <c r="M174" s="3">
        <v>17347917723.200001</v>
      </c>
      <c r="N174" s="4">
        <v>250467</v>
      </c>
      <c r="O174">
        <f t="shared" si="2"/>
        <v>2.892140183735965E-2</v>
      </c>
    </row>
    <row r="175" spans="1:15" ht="14.25" customHeight="1" x14ac:dyDescent="0.3">
      <c r="A175" s="2">
        <v>45723</v>
      </c>
      <c r="B175" t="s">
        <v>15</v>
      </c>
      <c r="C175" s="3">
        <v>1216</v>
      </c>
      <c r="D175" s="3">
        <v>1254.8</v>
      </c>
      <c r="E175" s="3">
        <v>1212</v>
      </c>
      <c r="F175" s="3">
        <v>1209.5999999999999</v>
      </c>
      <c r="G175" s="3">
        <v>1246.4000000000001</v>
      </c>
      <c r="H175" s="3">
        <v>1249.8</v>
      </c>
      <c r="I175" s="3">
        <v>1243.95</v>
      </c>
      <c r="J175" s="3">
        <v>3217.6</v>
      </c>
      <c r="K175" s="3">
        <v>1156</v>
      </c>
      <c r="L175" s="4">
        <v>16474965</v>
      </c>
      <c r="M175" s="3">
        <v>20494065096.799999</v>
      </c>
      <c r="N175" s="4">
        <v>424924</v>
      </c>
      <c r="O175">
        <f t="shared" si="2"/>
        <v>3.3234126984127026E-2</v>
      </c>
    </row>
    <row r="176" spans="1:15" ht="14.25" customHeight="1" x14ac:dyDescent="0.3">
      <c r="A176" s="2">
        <v>45726</v>
      </c>
      <c r="B176" t="s">
        <v>15</v>
      </c>
      <c r="C176" s="3">
        <v>1245</v>
      </c>
      <c r="D176" s="3">
        <v>1258</v>
      </c>
      <c r="E176" s="3">
        <v>1235.4000000000001</v>
      </c>
      <c r="F176" s="3">
        <v>1249.8</v>
      </c>
      <c r="G176" s="3">
        <v>1237.7</v>
      </c>
      <c r="H176" s="3">
        <v>1238.4000000000001</v>
      </c>
      <c r="I176" s="3">
        <v>1245.8499999999999</v>
      </c>
      <c r="J176" s="3">
        <v>3217.6</v>
      </c>
      <c r="K176" s="3">
        <v>1156</v>
      </c>
      <c r="L176" s="4">
        <v>11931051</v>
      </c>
      <c r="M176" s="3">
        <v>14864340065.65</v>
      </c>
      <c r="N176" s="4">
        <v>288299</v>
      </c>
      <c r="O176">
        <f t="shared" si="2"/>
        <v>-9.121459433509253E-3</v>
      </c>
    </row>
    <row r="177" spans="1:15" ht="14.25" customHeight="1" x14ac:dyDescent="0.3">
      <c r="A177" s="2">
        <v>45727</v>
      </c>
      <c r="B177" t="s">
        <v>15</v>
      </c>
      <c r="C177" s="3">
        <v>1240</v>
      </c>
      <c r="D177" s="3">
        <v>1249.5</v>
      </c>
      <c r="E177" s="3">
        <v>1229.75</v>
      </c>
      <c r="F177" s="3">
        <v>1238.4000000000001</v>
      </c>
      <c r="G177" s="3">
        <v>1247.25</v>
      </c>
      <c r="H177" s="3">
        <v>1247.3</v>
      </c>
      <c r="I177" s="3">
        <v>1241.71</v>
      </c>
      <c r="J177" s="3">
        <v>3217.6</v>
      </c>
      <c r="K177" s="3">
        <v>1156</v>
      </c>
      <c r="L177" s="4">
        <v>10089838</v>
      </c>
      <c r="M177" s="3">
        <v>12528623904.200001</v>
      </c>
      <c r="N177" s="4">
        <v>155065</v>
      </c>
      <c r="O177">
        <f t="shared" si="2"/>
        <v>7.1866925064598373E-3</v>
      </c>
    </row>
    <row r="178" spans="1:15" ht="14.25" customHeight="1" x14ac:dyDescent="0.3">
      <c r="A178" s="2">
        <v>45728</v>
      </c>
      <c r="B178" t="s">
        <v>15</v>
      </c>
      <c r="C178" s="3">
        <v>1258</v>
      </c>
      <c r="D178" s="3">
        <v>1263</v>
      </c>
      <c r="E178" s="3">
        <v>1244</v>
      </c>
      <c r="F178" s="3">
        <v>1247.3</v>
      </c>
      <c r="G178" s="3">
        <v>1255.95</v>
      </c>
      <c r="H178" s="3">
        <v>1257.05</v>
      </c>
      <c r="I178" s="3">
        <v>1252.97</v>
      </c>
      <c r="J178" s="3">
        <v>3217.6</v>
      </c>
      <c r="K178" s="3">
        <v>1156</v>
      </c>
      <c r="L178" s="4">
        <v>11977555</v>
      </c>
      <c r="M178" s="3">
        <v>15007514668.9</v>
      </c>
      <c r="N178" s="4">
        <v>161536</v>
      </c>
      <c r="O178">
        <f t="shared" si="2"/>
        <v>7.8168844704561858E-3</v>
      </c>
    </row>
    <row r="179" spans="1:15" ht="14.25" customHeight="1" x14ac:dyDescent="0.3">
      <c r="A179" s="2">
        <v>45729</v>
      </c>
      <c r="B179" t="s">
        <v>15</v>
      </c>
      <c r="C179" s="3">
        <v>1260.05</v>
      </c>
      <c r="D179" s="3">
        <v>1264.1500000000001</v>
      </c>
      <c r="E179" s="3">
        <v>1243.8499999999999</v>
      </c>
      <c r="F179" s="3">
        <v>1257.05</v>
      </c>
      <c r="G179" s="3">
        <v>1246.6500000000001</v>
      </c>
      <c r="H179" s="3">
        <v>1247.9000000000001</v>
      </c>
      <c r="I179" s="3">
        <v>1254.23</v>
      </c>
      <c r="J179" s="3">
        <v>3217.6</v>
      </c>
      <c r="K179" s="3">
        <v>1156</v>
      </c>
      <c r="L179" s="4">
        <v>9505270</v>
      </c>
      <c r="M179" s="3">
        <v>11921766653.799999</v>
      </c>
      <c r="N179" s="4">
        <v>194588</v>
      </c>
      <c r="O179">
        <f t="shared" si="2"/>
        <v>-7.2789467403841243E-3</v>
      </c>
    </row>
    <row r="180" spans="1:15" ht="14.25" customHeight="1" x14ac:dyDescent="0.3">
      <c r="A180" s="2">
        <v>45733</v>
      </c>
      <c r="B180" t="s">
        <v>15</v>
      </c>
      <c r="C180" s="3">
        <v>1242.1500000000001</v>
      </c>
      <c r="D180" s="3">
        <v>1257.4000000000001</v>
      </c>
      <c r="E180" s="3">
        <v>1233.0999999999999</v>
      </c>
      <c r="F180" s="3">
        <v>1247.9000000000001</v>
      </c>
      <c r="G180" s="3">
        <v>1241.55</v>
      </c>
      <c r="H180" s="3">
        <v>1238.8499999999999</v>
      </c>
      <c r="I180" s="3">
        <v>1239.76</v>
      </c>
      <c r="J180" s="3">
        <v>3217.6</v>
      </c>
      <c r="K180" s="3">
        <v>1156</v>
      </c>
      <c r="L180" s="4">
        <v>16640952</v>
      </c>
      <c r="M180" s="3">
        <v>20630843725.150002</v>
      </c>
      <c r="N180" s="4">
        <v>269824</v>
      </c>
      <c r="O180">
        <f t="shared" si="2"/>
        <v>-7.2521836685633312E-3</v>
      </c>
    </row>
    <row r="181" spans="1:15" ht="14.25" customHeight="1" x14ac:dyDescent="0.3">
      <c r="A181" s="2">
        <v>45734</v>
      </c>
      <c r="B181" t="s">
        <v>15</v>
      </c>
      <c r="C181" s="3">
        <v>1244.7</v>
      </c>
      <c r="D181" s="3">
        <v>1248.3499999999999</v>
      </c>
      <c r="E181" s="3">
        <v>1235</v>
      </c>
      <c r="F181" s="3">
        <v>1238.8499999999999</v>
      </c>
      <c r="G181" s="3">
        <v>1239.95</v>
      </c>
      <c r="H181" s="3">
        <v>1238.8</v>
      </c>
      <c r="I181" s="3">
        <v>1238.98</v>
      </c>
      <c r="J181" s="3">
        <v>3217.6</v>
      </c>
      <c r="K181" s="3">
        <v>1156</v>
      </c>
      <c r="L181" s="4">
        <v>15745877</v>
      </c>
      <c r="M181" s="3">
        <v>19508893454.650002</v>
      </c>
      <c r="N181" s="4">
        <v>312315</v>
      </c>
      <c r="O181">
        <f t="shared" si="2"/>
        <v>-4.0360011300766461E-5</v>
      </c>
    </row>
    <row r="182" spans="1:15" ht="14.25" customHeight="1" x14ac:dyDescent="0.3">
      <c r="A182" s="2">
        <v>45735</v>
      </c>
      <c r="B182" t="s">
        <v>15</v>
      </c>
      <c r="C182" s="3">
        <v>1241.05</v>
      </c>
      <c r="D182" s="3">
        <v>1253.25</v>
      </c>
      <c r="E182" s="3">
        <v>1238.8</v>
      </c>
      <c r="F182" s="3">
        <v>1238.8</v>
      </c>
      <c r="G182" s="3">
        <v>1248</v>
      </c>
      <c r="H182" s="3">
        <v>1247.1500000000001</v>
      </c>
      <c r="I182" s="3">
        <v>1247.22</v>
      </c>
      <c r="J182" s="3">
        <v>3217.6</v>
      </c>
      <c r="K182" s="3">
        <v>1156</v>
      </c>
      <c r="L182" s="4">
        <v>16162399</v>
      </c>
      <c r="M182" s="3">
        <v>20158006340.599998</v>
      </c>
      <c r="N182" s="4">
        <v>217782</v>
      </c>
      <c r="O182">
        <f t="shared" si="2"/>
        <v>6.7403939296094093E-3</v>
      </c>
    </row>
    <row r="183" spans="1:15" ht="14.25" customHeight="1" x14ac:dyDescent="0.3">
      <c r="A183" s="2">
        <v>45736</v>
      </c>
      <c r="B183" t="s">
        <v>15</v>
      </c>
      <c r="C183" s="3">
        <v>1251.8499999999999</v>
      </c>
      <c r="D183" s="3">
        <v>1273</v>
      </c>
      <c r="E183" s="3">
        <v>1250.05</v>
      </c>
      <c r="F183" s="3">
        <v>1247.1500000000001</v>
      </c>
      <c r="G183" s="3">
        <v>1268.2</v>
      </c>
      <c r="H183" s="3">
        <v>1269.1500000000001</v>
      </c>
      <c r="I183" s="3">
        <v>1262.54</v>
      </c>
      <c r="J183" s="3">
        <v>3217.6</v>
      </c>
      <c r="K183" s="3">
        <v>1156</v>
      </c>
      <c r="L183" s="4">
        <v>15971477</v>
      </c>
      <c r="M183" s="3">
        <v>20164561988.349998</v>
      </c>
      <c r="N183" s="4">
        <v>219527</v>
      </c>
      <c r="O183">
        <f t="shared" si="2"/>
        <v>1.7640219700918093E-2</v>
      </c>
    </row>
    <row r="184" spans="1:15" ht="14.25" customHeight="1" x14ac:dyDescent="0.3">
      <c r="A184" s="2">
        <v>45737</v>
      </c>
      <c r="B184" t="s">
        <v>15</v>
      </c>
      <c r="C184" s="3">
        <v>1275</v>
      </c>
      <c r="D184" s="3">
        <v>1281</v>
      </c>
      <c r="E184" s="3">
        <v>1270.0999999999999</v>
      </c>
      <c r="F184" s="3">
        <v>1269.1500000000001</v>
      </c>
      <c r="G184" s="3">
        <v>1277.5</v>
      </c>
      <c r="H184" s="3">
        <v>1276.3499999999999</v>
      </c>
      <c r="I184" s="3">
        <v>1276.3399999999999</v>
      </c>
      <c r="J184" s="3">
        <v>3217.6</v>
      </c>
      <c r="K184" s="3">
        <v>1156</v>
      </c>
      <c r="L184" s="4">
        <v>21780769</v>
      </c>
      <c r="M184" s="3">
        <v>27799653516.400002</v>
      </c>
      <c r="N184" s="4">
        <v>230001</v>
      </c>
      <c r="O184">
        <f t="shared" si="2"/>
        <v>5.6730882874363297E-3</v>
      </c>
    </row>
    <row r="185" spans="1:15" ht="14.25" customHeight="1" x14ac:dyDescent="0.3">
      <c r="A185" s="2">
        <v>45740</v>
      </c>
      <c r="B185" t="s">
        <v>15</v>
      </c>
      <c r="C185" s="3">
        <v>1291</v>
      </c>
      <c r="D185" s="3">
        <v>1306</v>
      </c>
      <c r="E185" s="3">
        <v>1284.25</v>
      </c>
      <c r="F185" s="3">
        <v>1276.3499999999999</v>
      </c>
      <c r="G185" s="3">
        <v>1302.6500000000001</v>
      </c>
      <c r="H185" s="3">
        <v>1302.0999999999999</v>
      </c>
      <c r="I185" s="3">
        <v>1297.3800000000001</v>
      </c>
      <c r="J185" s="3">
        <v>3217.6</v>
      </c>
      <c r="K185" s="3">
        <v>1156</v>
      </c>
      <c r="L185" s="4">
        <v>20299319</v>
      </c>
      <c r="M185" s="3">
        <v>26335901171.150002</v>
      </c>
      <c r="N185" s="4">
        <v>347056</v>
      </c>
      <c r="O185">
        <f t="shared" si="2"/>
        <v>2.0174716966349357E-2</v>
      </c>
    </row>
    <row r="186" spans="1:15" ht="14.25" customHeight="1" x14ac:dyDescent="0.3">
      <c r="A186" s="2">
        <v>45741</v>
      </c>
      <c r="B186" t="s">
        <v>15</v>
      </c>
      <c r="C186" s="3">
        <v>1307.7</v>
      </c>
      <c r="D186" s="3">
        <v>1307.7</v>
      </c>
      <c r="E186" s="3">
        <v>1282.5999999999999</v>
      </c>
      <c r="F186" s="3">
        <v>1302.0999999999999</v>
      </c>
      <c r="G186" s="3">
        <v>1285.25</v>
      </c>
      <c r="H186" s="3">
        <v>1285.45</v>
      </c>
      <c r="I186" s="3">
        <v>1290.6300000000001</v>
      </c>
      <c r="J186" s="3">
        <v>3217.6</v>
      </c>
      <c r="K186" s="3">
        <v>1156</v>
      </c>
      <c r="L186" s="4">
        <v>13713899</v>
      </c>
      <c r="M186" s="3">
        <v>17699568389.849998</v>
      </c>
      <c r="N186" s="4">
        <v>271251</v>
      </c>
      <c r="O186">
        <f t="shared" si="2"/>
        <v>-1.2787036325934925E-2</v>
      </c>
    </row>
    <row r="187" spans="1:15" ht="14.25" customHeight="1" x14ac:dyDescent="0.3">
      <c r="A187" s="2">
        <v>45742</v>
      </c>
      <c r="B187" t="s">
        <v>15</v>
      </c>
      <c r="C187" s="3">
        <v>1291</v>
      </c>
      <c r="D187" s="3">
        <v>1293.8</v>
      </c>
      <c r="E187" s="3">
        <v>1268.75</v>
      </c>
      <c r="F187" s="3">
        <v>1285.45</v>
      </c>
      <c r="G187" s="3">
        <v>1270.9000000000001</v>
      </c>
      <c r="H187" s="3">
        <v>1273.05</v>
      </c>
      <c r="I187" s="3">
        <v>1279.04</v>
      </c>
      <c r="J187" s="3">
        <v>3217.6</v>
      </c>
      <c r="K187" s="3">
        <v>1156</v>
      </c>
      <c r="L187" s="4">
        <v>12074747</v>
      </c>
      <c r="M187" s="3">
        <v>15444062345.35</v>
      </c>
      <c r="N187" s="4">
        <v>292138</v>
      </c>
      <c r="O187">
        <f t="shared" si="2"/>
        <v>-9.6464273211716439E-3</v>
      </c>
    </row>
    <row r="188" spans="1:15" ht="14.25" customHeight="1" x14ac:dyDescent="0.3">
      <c r="A188" s="2">
        <v>45743</v>
      </c>
      <c r="B188" t="s">
        <v>15</v>
      </c>
      <c r="C188" s="3">
        <v>1278.1500000000001</v>
      </c>
      <c r="D188" s="3">
        <v>1285</v>
      </c>
      <c r="E188" s="3">
        <v>1271.3</v>
      </c>
      <c r="F188" s="3">
        <v>1273.05</v>
      </c>
      <c r="G188" s="3">
        <v>1280</v>
      </c>
      <c r="H188" s="3">
        <v>1278.2</v>
      </c>
      <c r="I188" s="3">
        <v>1278.9000000000001</v>
      </c>
      <c r="J188" s="3">
        <v>3217.6</v>
      </c>
      <c r="K188" s="3">
        <v>1156</v>
      </c>
      <c r="L188" s="4">
        <v>15028056</v>
      </c>
      <c r="M188" s="3">
        <v>19219399902.900002</v>
      </c>
      <c r="N188" s="4">
        <v>224828</v>
      </c>
      <c r="O188">
        <f t="shared" si="2"/>
        <v>4.0454027728683796E-3</v>
      </c>
    </row>
    <row r="189" spans="1:15" ht="14.25" customHeight="1" x14ac:dyDescent="0.3">
      <c r="A189" s="2">
        <v>45744</v>
      </c>
      <c r="B189" t="s">
        <v>15</v>
      </c>
      <c r="C189" s="3">
        <v>1280</v>
      </c>
      <c r="D189" s="3">
        <v>1295.75</v>
      </c>
      <c r="E189" s="3">
        <v>1269</v>
      </c>
      <c r="F189" s="3">
        <v>1278.2</v>
      </c>
      <c r="G189" s="3">
        <v>1274</v>
      </c>
      <c r="H189" s="3">
        <v>1275.0999999999999</v>
      </c>
      <c r="I189" s="3">
        <v>1278.1500000000001</v>
      </c>
      <c r="J189" s="3">
        <v>3217.6</v>
      </c>
      <c r="K189" s="3">
        <v>1156</v>
      </c>
      <c r="L189" s="4">
        <v>18147129</v>
      </c>
      <c r="M189" s="3">
        <v>23194774030.900002</v>
      </c>
      <c r="N189" s="4">
        <v>265113</v>
      </c>
      <c r="O189">
        <f t="shared" si="2"/>
        <v>-2.425285557815785E-3</v>
      </c>
    </row>
    <row r="190" spans="1:15" ht="14.25" customHeight="1" x14ac:dyDescent="0.3">
      <c r="A190" s="2">
        <v>45748</v>
      </c>
      <c r="B190" t="s">
        <v>15</v>
      </c>
      <c r="C190" s="3">
        <v>1264.5999999999999</v>
      </c>
      <c r="D190" s="3">
        <v>1277.9000000000001</v>
      </c>
      <c r="E190" s="3">
        <v>1249.3</v>
      </c>
      <c r="F190" s="3">
        <v>1275.0999999999999</v>
      </c>
      <c r="G190" s="3">
        <v>1254</v>
      </c>
      <c r="H190" s="3">
        <v>1252.5999999999999</v>
      </c>
      <c r="I190" s="3">
        <v>1260.72</v>
      </c>
      <c r="J190" s="3">
        <v>3217.6</v>
      </c>
      <c r="K190" s="3">
        <v>1156</v>
      </c>
      <c r="L190" s="4">
        <v>12099648</v>
      </c>
      <c r="M190" s="3">
        <v>15254261046.799999</v>
      </c>
      <c r="N190" s="4">
        <v>260862</v>
      </c>
      <c r="O190">
        <f t="shared" si="2"/>
        <v>-1.7645674849031449E-2</v>
      </c>
    </row>
    <row r="191" spans="1:15" ht="14.25" customHeight="1" x14ac:dyDescent="0.3">
      <c r="A191" s="2">
        <v>45749</v>
      </c>
      <c r="B191" t="s">
        <v>15</v>
      </c>
      <c r="C191" s="3">
        <v>1247.55</v>
      </c>
      <c r="D191" s="3">
        <v>1255.55</v>
      </c>
      <c r="E191" s="3">
        <v>1243.9000000000001</v>
      </c>
      <c r="F191" s="3">
        <v>1252.5999999999999</v>
      </c>
      <c r="G191" s="3">
        <v>1252</v>
      </c>
      <c r="H191" s="3">
        <v>1251.1500000000001</v>
      </c>
      <c r="I191" s="3">
        <v>1251.04</v>
      </c>
      <c r="J191" s="3">
        <v>3217.6</v>
      </c>
      <c r="K191" s="3">
        <v>1156</v>
      </c>
      <c r="L191" s="4">
        <v>10142590</v>
      </c>
      <c r="M191" s="3">
        <v>12688802512.15</v>
      </c>
      <c r="N191" s="4">
        <v>177979</v>
      </c>
      <c r="O191">
        <f t="shared" si="2"/>
        <v>-1.1575922082067845E-3</v>
      </c>
    </row>
    <row r="192" spans="1:15" ht="14.25" customHeight="1" x14ac:dyDescent="0.3">
      <c r="A192" s="2">
        <v>45750</v>
      </c>
      <c r="B192" t="s">
        <v>15</v>
      </c>
      <c r="C192" s="3">
        <v>1233.05</v>
      </c>
      <c r="D192" s="3">
        <v>1251.8</v>
      </c>
      <c r="E192" s="3">
        <v>1233.05</v>
      </c>
      <c r="F192" s="3">
        <v>1251.1500000000001</v>
      </c>
      <c r="G192" s="3">
        <v>1248.5</v>
      </c>
      <c r="H192" s="3">
        <v>1248.7</v>
      </c>
      <c r="I192" s="3">
        <v>1246.31</v>
      </c>
      <c r="J192" s="3">
        <v>3217.6</v>
      </c>
      <c r="K192" s="3">
        <v>1156</v>
      </c>
      <c r="L192" s="4">
        <v>7434366</v>
      </c>
      <c r="M192" s="3">
        <v>9265530670.8500004</v>
      </c>
      <c r="N192" s="4">
        <v>146316</v>
      </c>
      <c r="O192">
        <f t="shared" si="2"/>
        <v>-1.9581984574192106E-3</v>
      </c>
    </row>
    <row r="193" spans="1:15" ht="14.25" customHeight="1" x14ac:dyDescent="0.3">
      <c r="A193" s="2">
        <v>45751</v>
      </c>
      <c r="B193" t="s">
        <v>15</v>
      </c>
      <c r="C193" s="3">
        <v>1241.0999999999999</v>
      </c>
      <c r="D193" s="3">
        <v>1245.45</v>
      </c>
      <c r="E193" s="3">
        <v>1193.1500000000001</v>
      </c>
      <c r="F193" s="3">
        <v>1248.7</v>
      </c>
      <c r="G193" s="3">
        <v>1205.9000000000001</v>
      </c>
      <c r="H193" s="3">
        <v>1204.7</v>
      </c>
      <c r="I193" s="3">
        <v>1206.6199999999999</v>
      </c>
      <c r="J193" s="3">
        <v>3217.6</v>
      </c>
      <c r="K193" s="3">
        <v>1156</v>
      </c>
      <c r="L193" s="4">
        <v>17908652</v>
      </c>
      <c r="M193" s="3">
        <v>21608977995.099998</v>
      </c>
      <c r="N193" s="4">
        <v>542347</v>
      </c>
      <c r="O193">
        <f t="shared" si="2"/>
        <v>-3.5236646111956434E-2</v>
      </c>
    </row>
    <row r="194" spans="1:15" ht="14.25" customHeight="1" x14ac:dyDescent="0.3">
      <c r="A194" s="2">
        <v>45754</v>
      </c>
      <c r="B194" t="s">
        <v>15</v>
      </c>
      <c r="C194" s="3">
        <v>1132.2</v>
      </c>
      <c r="D194" s="3">
        <v>1171.25</v>
      </c>
      <c r="E194" s="3">
        <v>1114.8499999999999</v>
      </c>
      <c r="F194" s="3">
        <v>1204.7</v>
      </c>
      <c r="G194" s="3">
        <v>1171.25</v>
      </c>
      <c r="H194" s="3">
        <v>1165.7</v>
      </c>
      <c r="I194" s="3">
        <v>1150.54</v>
      </c>
      <c r="J194" s="3">
        <v>3217.6</v>
      </c>
      <c r="K194" s="3">
        <v>1114.8499999999999</v>
      </c>
      <c r="L194" s="4">
        <v>22156106</v>
      </c>
      <c r="M194" s="3">
        <v>25491501838.900002</v>
      </c>
      <c r="N194" s="4">
        <v>677564</v>
      </c>
      <c r="O194">
        <f t="shared" si="2"/>
        <v>-3.2373204947289777E-2</v>
      </c>
    </row>
    <row r="195" spans="1:15" ht="14.25" customHeight="1" x14ac:dyDescent="0.3">
      <c r="A195" s="2">
        <v>45755</v>
      </c>
      <c r="B195" t="s">
        <v>15</v>
      </c>
      <c r="C195" s="3">
        <v>1172</v>
      </c>
      <c r="D195" s="3">
        <v>1196.5999999999999</v>
      </c>
      <c r="E195" s="3">
        <v>1163.3</v>
      </c>
      <c r="F195" s="3">
        <v>1165.7</v>
      </c>
      <c r="G195" s="3">
        <v>1181.05</v>
      </c>
      <c r="H195" s="3">
        <v>1182.2</v>
      </c>
      <c r="I195" s="3">
        <v>1179.5</v>
      </c>
      <c r="J195" s="3">
        <v>3217.6</v>
      </c>
      <c r="K195" s="3">
        <v>1114.8499999999999</v>
      </c>
      <c r="L195" s="4">
        <v>19555040</v>
      </c>
      <c r="M195" s="3">
        <v>23065209423</v>
      </c>
      <c r="N195" s="4">
        <v>314171</v>
      </c>
      <c r="O195">
        <f t="shared" ref="O195:O258" si="3">(H195-H194)/H194</f>
        <v>1.4154585227760143E-2</v>
      </c>
    </row>
    <row r="196" spans="1:15" ht="14.25" customHeight="1" x14ac:dyDescent="0.3">
      <c r="A196" s="2">
        <v>45756</v>
      </c>
      <c r="B196" t="s">
        <v>15</v>
      </c>
      <c r="C196" s="3">
        <v>1169.5</v>
      </c>
      <c r="D196" s="3">
        <v>1189.8</v>
      </c>
      <c r="E196" s="3">
        <v>1168</v>
      </c>
      <c r="F196" s="3">
        <v>1182.2</v>
      </c>
      <c r="G196" s="3">
        <v>1187.5</v>
      </c>
      <c r="H196" s="3">
        <v>1185.3499999999999</v>
      </c>
      <c r="I196" s="3">
        <v>1183.08</v>
      </c>
      <c r="J196" s="3">
        <v>3217.6</v>
      </c>
      <c r="K196" s="3">
        <v>1114.8499999999999</v>
      </c>
      <c r="L196" s="4">
        <v>10223104</v>
      </c>
      <c r="M196" s="3">
        <v>12094749463.200001</v>
      </c>
      <c r="N196" s="4">
        <v>193325</v>
      </c>
      <c r="O196">
        <f t="shared" si="3"/>
        <v>2.6645237692436673E-3</v>
      </c>
    </row>
    <row r="197" spans="1:15" ht="14.25" customHeight="1" x14ac:dyDescent="0.3">
      <c r="A197" s="2">
        <v>45758</v>
      </c>
      <c r="B197" t="s">
        <v>15</v>
      </c>
      <c r="C197" s="3">
        <v>1195.1500000000001</v>
      </c>
      <c r="D197" s="3">
        <v>1222.6500000000001</v>
      </c>
      <c r="E197" s="3">
        <v>1195.1500000000001</v>
      </c>
      <c r="F197" s="3">
        <v>1185.3499999999999</v>
      </c>
      <c r="G197" s="3">
        <v>1220</v>
      </c>
      <c r="H197" s="3">
        <v>1218.95</v>
      </c>
      <c r="I197" s="3">
        <v>1214.05</v>
      </c>
      <c r="J197" s="3">
        <v>3217.6</v>
      </c>
      <c r="K197" s="3">
        <v>1114.8499999999999</v>
      </c>
      <c r="L197" s="4">
        <v>11224242</v>
      </c>
      <c r="M197" s="3">
        <v>13626831085.65</v>
      </c>
      <c r="N197" s="4">
        <v>187059</v>
      </c>
      <c r="O197">
        <f t="shared" si="3"/>
        <v>2.8346058126291929E-2</v>
      </c>
    </row>
    <row r="198" spans="1:15" ht="14.25" customHeight="1" x14ac:dyDescent="0.3">
      <c r="A198" s="2">
        <v>45762</v>
      </c>
      <c r="B198" t="s">
        <v>15</v>
      </c>
      <c r="C198" s="3">
        <v>1251</v>
      </c>
      <c r="D198" s="3">
        <v>1251</v>
      </c>
      <c r="E198" s="3">
        <v>1237.0999999999999</v>
      </c>
      <c r="F198" s="3">
        <v>1218.95</v>
      </c>
      <c r="G198" s="3">
        <v>1239.5999999999999</v>
      </c>
      <c r="H198" s="3">
        <v>1240.0999999999999</v>
      </c>
      <c r="I198" s="3">
        <v>1242.83</v>
      </c>
      <c r="J198" s="3">
        <v>3217.6</v>
      </c>
      <c r="K198" s="3">
        <v>1114.8499999999999</v>
      </c>
      <c r="L198" s="4">
        <v>13378535</v>
      </c>
      <c r="M198" s="3">
        <v>16627177949.1</v>
      </c>
      <c r="N198" s="4">
        <v>199888</v>
      </c>
      <c r="O198">
        <f t="shared" si="3"/>
        <v>1.7350998810451504E-2</v>
      </c>
    </row>
    <row r="199" spans="1:15" ht="14.25" customHeight="1" x14ac:dyDescent="0.3">
      <c r="A199" s="2">
        <v>45763</v>
      </c>
      <c r="B199" t="s">
        <v>15</v>
      </c>
      <c r="C199" s="3">
        <v>1234.0999999999999</v>
      </c>
      <c r="D199" s="3">
        <v>1240.9000000000001</v>
      </c>
      <c r="E199" s="3">
        <v>1229</v>
      </c>
      <c r="F199" s="3">
        <v>1240.0999999999999</v>
      </c>
      <c r="G199" s="3">
        <v>1238</v>
      </c>
      <c r="H199" s="3">
        <v>1239.3</v>
      </c>
      <c r="I199" s="3">
        <v>1235.6099999999999</v>
      </c>
      <c r="J199" s="3">
        <v>3217.6</v>
      </c>
      <c r="K199" s="3">
        <v>1114.8499999999999</v>
      </c>
      <c r="L199" s="4">
        <v>8248464</v>
      </c>
      <c r="M199" s="3">
        <v>10191864641.700001</v>
      </c>
      <c r="N199" s="4">
        <v>164065</v>
      </c>
      <c r="O199">
        <f t="shared" si="3"/>
        <v>-6.4510926538178745E-4</v>
      </c>
    </row>
    <row r="200" spans="1:15" ht="14.25" customHeight="1" x14ac:dyDescent="0.3">
      <c r="A200" s="2">
        <v>45764</v>
      </c>
      <c r="B200" t="s">
        <v>15</v>
      </c>
      <c r="C200" s="3">
        <v>1240.2</v>
      </c>
      <c r="D200" s="3">
        <v>1280.2</v>
      </c>
      <c r="E200" s="3">
        <v>1227.5999999999999</v>
      </c>
      <c r="F200" s="3">
        <v>1239.3</v>
      </c>
      <c r="G200" s="3">
        <v>1273</v>
      </c>
      <c r="H200" s="3">
        <v>1274.5</v>
      </c>
      <c r="I200" s="3">
        <v>1260.3800000000001</v>
      </c>
      <c r="J200" s="3">
        <v>3217.6</v>
      </c>
      <c r="K200" s="3">
        <v>1114.8499999999999</v>
      </c>
      <c r="L200" s="4">
        <v>15398401</v>
      </c>
      <c r="M200" s="3">
        <v>19407871411</v>
      </c>
      <c r="N200" s="4">
        <v>321235</v>
      </c>
      <c r="O200">
        <f t="shared" si="3"/>
        <v>2.8403130799644998E-2</v>
      </c>
    </row>
    <row r="201" spans="1:15" ht="14.25" customHeight="1" x14ac:dyDescent="0.3">
      <c r="A201" s="2">
        <v>45768</v>
      </c>
      <c r="B201" t="s">
        <v>15</v>
      </c>
      <c r="C201" s="3">
        <v>1270</v>
      </c>
      <c r="D201" s="3">
        <v>1300.9000000000001</v>
      </c>
      <c r="E201" s="3">
        <v>1267</v>
      </c>
      <c r="F201" s="3">
        <v>1274.5</v>
      </c>
      <c r="G201" s="3">
        <v>1295.2</v>
      </c>
      <c r="H201" s="3">
        <v>1295.5</v>
      </c>
      <c r="I201" s="3">
        <v>1291.47</v>
      </c>
      <c r="J201" s="3">
        <v>3217.6</v>
      </c>
      <c r="K201" s="3">
        <v>1114.8499999999999</v>
      </c>
      <c r="L201" s="4">
        <v>10429964</v>
      </c>
      <c r="M201" s="3">
        <v>13469949890</v>
      </c>
      <c r="N201" s="4">
        <v>257857</v>
      </c>
      <c r="O201">
        <f t="shared" si="3"/>
        <v>1.6477049823460179E-2</v>
      </c>
    </row>
    <row r="202" spans="1:15" ht="14.25" customHeight="1" x14ac:dyDescent="0.3">
      <c r="A202" s="2">
        <v>45769</v>
      </c>
      <c r="B202" t="s">
        <v>15</v>
      </c>
      <c r="C202" s="3">
        <v>1300</v>
      </c>
      <c r="D202" s="3">
        <v>1303.9000000000001</v>
      </c>
      <c r="E202" s="3">
        <v>1286.3</v>
      </c>
      <c r="F202" s="3">
        <v>1295.5</v>
      </c>
      <c r="G202" s="3">
        <v>1289</v>
      </c>
      <c r="H202" s="3">
        <v>1291.2</v>
      </c>
      <c r="I202" s="3">
        <v>1295.99</v>
      </c>
      <c r="J202" s="3">
        <v>3217.6</v>
      </c>
      <c r="K202" s="3">
        <v>1114.8499999999999</v>
      </c>
      <c r="L202" s="4">
        <v>13051707</v>
      </c>
      <c r="M202" s="3">
        <v>16914900850.299999</v>
      </c>
      <c r="N202" s="4">
        <v>229331</v>
      </c>
      <c r="O202">
        <f t="shared" si="3"/>
        <v>-3.3191817830952948E-3</v>
      </c>
    </row>
    <row r="203" spans="1:15" ht="14.25" customHeight="1" x14ac:dyDescent="0.3">
      <c r="A203" s="2">
        <v>45770</v>
      </c>
      <c r="B203" t="s">
        <v>15</v>
      </c>
      <c r="C203" s="3">
        <v>1297</v>
      </c>
      <c r="D203" s="3">
        <v>1306</v>
      </c>
      <c r="E203" s="3">
        <v>1285.4000000000001</v>
      </c>
      <c r="F203" s="3">
        <v>1291.2</v>
      </c>
      <c r="G203" s="3">
        <v>1297</v>
      </c>
      <c r="H203" s="3">
        <v>1300</v>
      </c>
      <c r="I203" s="3">
        <v>1297.08</v>
      </c>
      <c r="J203" s="3">
        <v>3217.6</v>
      </c>
      <c r="K203" s="3">
        <v>1114.8499999999999</v>
      </c>
      <c r="L203" s="4">
        <v>10480888</v>
      </c>
      <c r="M203" s="3">
        <v>13594597555</v>
      </c>
      <c r="N203" s="4">
        <v>232149</v>
      </c>
      <c r="O203">
        <f t="shared" si="3"/>
        <v>6.8153655514249954E-3</v>
      </c>
    </row>
    <row r="204" spans="1:15" ht="14.25" customHeight="1" x14ac:dyDescent="0.3">
      <c r="A204" s="2">
        <v>45771</v>
      </c>
      <c r="B204" t="s">
        <v>15</v>
      </c>
      <c r="C204" s="3">
        <v>1292.4000000000001</v>
      </c>
      <c r="D204" s="3">
        <v>1304.5</v>
      </c>
      <c r="E204" s="3">
        <v>1290.3</v>
      </c>
      <c r="F204" s="3">
        <v>1300</v>
      </c>
      <c r="G204" s="3">
        <v>1303.5</v>
      </c>
      <c r="H204" s="3">
        <v>1301.5999999999999</v>
      </c>
      <c r="I204" s="3">
        <v>1298.32</v>
      </c>
      <c r="J204" s="3">
        <v>3217.6</v>
      </c>
      <c r="K204" s="3">
        <v>1114.8499999999999</v>
      </c>
      <c r="L204" s="4">
        <v>10468940</v>
      </c>
      <c r="M204" s="3">
        <v>13592084385</v>
      </c>
      <c r="N204" s="4">
        <v>181309</v>
      </c>
      <c r="O204">
        <f t="shared" si="3"/>
        <v>1.2307692307691608E-3</v>
      </c>
    </row>
    <row r="205" spans="1:15" ht="14.25" customHeight="1" x14ac:dyDescent="0.3">
      <c r="A205" s="2">
        <v>45772</v>
      </c>
      <c r="B205" t="s">
        <v>15</v>
      </c>
      <c r="C205" s="3">
        <v>1303.5</v>
      </c>
      <c r="D205" s="3">
        <v>1325.2</v>
      </c>
      <c r="E205" s="3">
        <v>1288.0999999999999</v>
      </c>
      <c r="F205" s="3">
        <v>1301.5999999999999</v>
      </c>
      <c r="G205" s="3">
        <v>1301</v>
      </c>
      <c r="H205" s="3">
        <v>1300.4000000000001</v>
      </c>
      <c r="I205" s="3">
        <v>1303.3</v>
      </c>
      <c r="J205" s="3">
        <v>3217.6</v>
      </c>
      <c r="K205" s="3">
        <v>1114.8499999999999</v>
      </c>
      <c r="L205" s="4">
        <v>14431012</v>
      </c>
      <c r="M205" s="3">
        <v>18807907514.700001</v>
      </c>
      <c r="N205" s="4">
        <v>307093</v>
      </c>
      <c r="O205">
        <f t="shared" si="3"/>
        <v>-9.2194222495376322E-4</v>
      </c>
    </row>
    <row r="206" spans="1:15" ht="14.25" customHeight="1" x14ac:dyDescent="0.3">
      <c r="A206" s="2">
        <v>45775</v>
      </c>
      <c r="B206" t="s">
        <v>15</v>
      </c>
      <c r="C206" s="3">
        <v>1340</v>
      </c>
      <c r="D206" s="3">
        <v>1374.6</v>
      </c>
      <c r="E206" s="3">
        <v>1320.2</v>
      </c>
      <c r="F206" s="3">
        <v>1300.4000000000001</v>
      </c>
      <c r="G206" s="3">
        <v>1366.3</v>
      </c>
      <c r="H206" s="3">
        <v>1368.8</v>
      </c>
      <c r="I206" s="3">
        <v>1355.02</v>
      </c>
      <c r="J206" s="3">
        <v>3217.6</v>
      </c>
      <c r="K206" s="3">
        <v>1114.8499999999999</v>
      </c>
      <c r="L206" s="4">
        <v>31104496</v>
      </c>
      <c r="M206" s="3">
        <v>42147123069</v>
      </c>
      <c r="N206" s="4">
        <v>893347</v>
      </c>
      <c r="O206">
        <f t="shared" si="3"/>
        <v>5.2599200246078018E-2</v>
      </c>
    </row>
    <row r="207" spans="1:15" ht="14.25" customHeight="1" x14ac:dyDescent="0.3">
      <c r="A207" s="2">
        <v>45776</v>
      </c>
      <c r="B207" t="s">
        <v>15</v>
      </c>
      <c r="C207" s="3">
        <v>1371</v>
      </c>
      <c r="D207" s="3">
        <v>1410.9</v>
      </c>
      <c r="E207" s="3">
        <v>1370</v>
      </c>
      <c r="F207" s="3">
        <v>1368.8</v>
      </c>
      <c r="G207" s="3">
        <v>1398.9</v>
      </c>
      <c r="H207" s="3">
        <v>1399.7</v>
      </c>
      <c r="I207" s="3">
        <v>1395.77</v>
      </c>
      <c r="J207" s="3">
        <v>3217.6</v>
      </c>
      <c r="K207" s="3">
        <v>1114.8499999999999</v>
      </c>
      <c r="L207" s="4">
        <v>32538970</v>
      </c>
      <c r="M207" s="3">
        <v>45417061104.5</v>
      </c>
      <c r="N207" s="4">
        <v>680195</v>
      </c>
      <c r="O207">
        <f t="shared" si="3"/>
        <v>2.2574517825832915E-2</v>
      </c>
    </row>
    <row r="208" spans="1:15" ht="14.25" customHeight="1" x14ac:dyDescent="0.3">
      <c r="A208" s="2">
        <v>45777</v>
      </c>
      <c r="B208" t="s">
        <v>15</v>
      </c>
      <c r="C208" s="3">
        <v>1402</v>
      </c>
      <c r="D208" s="3">
        <v>1412.4</v>
      </c>
      <c r="E208" s="3">
        <v>1369</v>
      </c>
      <c r="F208" s="3">
        <v>1399.7</v>
      </c>
      <c r="G208" s="3">
        <v>1395</v>
      </c>
      <c r="H208" s="3">
        <v>1405</v>
      </c>
      <c r="I208" s="3">
        <v>1404.87</v>
      </c>
      <c r="J208" s="3">
        <v>3217.6</v>
      </c>
      <c r="K208" s="3">
        <v>1114.8499999999999</v>
      </c>
      <c r="L208" s="4">
        <v>25480745</v>
      </c>
      <c r="M208" s="3">
        <v>35797220282</v>
      </c>
      <c r="N208" s="4">
        <v>598769</v>
      </c>
      <c r="O208">
        <f t="shared" si="3"/>
        <v>3.7865256840751262E-3</v>
      </c>
    </row>
    <row r="209" spans="1:15" ht="14.25" customHeight="1" x14ac:dyDescent="0.3">
      <c r="A209" s="2">
        <v>45779</v>
      </c>
      <c r="B209" t="s">
        <v>15</v>
      </c>
      <c r="C209" s="3">
        <v>1414</v>
      </c>
      <c r="D209" s="3">
        <v>1426.7</v>
      </c>
      <c r="E209" s="3">
        <v>1409.1</v>
      </c>
      <c r="F209" s="3">
        <v>1405</v>
      </c>
      <c r="G209" s="3">
        <v>1422.5</v>
      </c>
      <c r="H209" s="3">
        <v>1422.4</v>
      </c>
      <c r="I209" s="3">
        <v>1419.65</v>
      </c>
      <c r="J209" s="3">
        <v>3217.6</v>
      </c>
      <c r="K209" s="3">
        <v>1114.8499999999999</v>
      </c>
      <c r="L209" s="4">
        <v>17535402</v>
      </c>
      <c r="M209" s="3">
        <v>24894140200</v>
      </c>
      <c r="N209" s="4">
        <v>378385</v>
      </c>
      <c r="O209">
        <f t="shared" si="3"/>
        <v>1.2384341637010741E-2</v>
      </c>
    </row>
    <row r="210" spans="1:15" ht="14.25" customHeight="1" x14ac:dyDescent="0.3">
      <c r="A210" s="2">
        <v>45782</v>
      </c>
      <c r="B210" t="s">
        <v>15</v>
      </c>
      <c r="C210" s="3">
        <v>1431</v>
      </c>
      <c r="D210" s="3">
        <v>1439.5</v>
      </c>
      <c r="E210" s="3">
        <v>1426.9</v>
      </c>
      <c r="F210" s="3">
        <v>1422.4</v>
      </c>
      <c r="G210" s="3">
        <v>1430</v>
      </c>
      <c r="H210" s="3">
        <v>1431.3</v>
      </c>
      <c r="I210" s="3">
        <v>1432</v>
      </c>
      <c r="J210" s="3">
        <v>3217.6</v>
      </c>
      <c r="K210" s="3">
        <v>1114.8499999999999</v>
      </c>
      <c r="L210" s="4">
        <v>12685649</v>
      </c>
      <c r="M210" s="3">
        <v>18165843553</v>
      </c>
      <c r="N210" s="4">
        <v>204503</v>
      </c>
      <c r="O210">
        <f t="shared" si="3"/>
        <v>6.2570303712035031E-3</v>
      </c>
    </row>
    <row r="211" spans="1:15" ht="14.25" customHeight="1" x14ac:dyDescent="0.3">
      <c r="A211" s="2">
        <v>45783</v>
      </c>
      <c r="B211" t="s">
        <v>15</v>
      </c>
      <c r="C211" s="3">
        <v>1431</v>
      </c>
      <c r="D211" s="3">
        <v>1432</v>
      </c>
      <c r="E211" s="3">
        <v>1410.6</v>
      </c>
      <c r="F211" s="3">
        <v>1431.3</v>
      </c>
      <c r="G211" s="3">
        <v>1418</v>
      </c>
      <c r="H211" s="3">
        <v>1420.9</v>
      </c>
      <c r="I211" s="3">
        <v>1419.01</v>
      </c>
      <c r="J211" s="3">
        <v>3217.6</v>
      </c>
      <c r="K211" s="3">
        <v>1114.8499999999999</v>
      </c>
      <c r="L211" s="4">
        <v>14084117</v>
      </c>
      <c r="M211" s="3">
        <v>19985559677.400002</v>
      </c>
      <c r="N211" s="4">
        <v>226761</v>
      </c>
      <c r="O211">
        <f t="shared" si="3"/>
        <v>-7.2661217075385065E-3</v>
      </c>
    </row>
    <row r="212" spans="1:15" ht="14.25" customHeight="1" x14ac:dyDescent="0.3">
      <c r="A212" s="2">
        <v>45784</v>
      </c>
      <c r="B212" t="s">
        <v>15</v>
      </c>
      <c r="C212" s="3">
        <v>1420.9</v>
      </c>
      <c r="D212" s="3">
        <v>1424.4</v>
      </c>
      <c r="E212" s="3">
        <v>1402.7</v>
      </c>
      <c r="F212" s="3">
        <v>1420.9</v>
      </c>
      <c r="G212" s="3">
        <v>1405.9</v>
      </c>
      <c r="H212" s="3">
        <v>1406</v>
      </c>
      <c r="I212" s="3">
        <v>1412.79</v>
      </c>
      <c r="J212" s="3">
        <v>3217.6</v>
      </c>
      <c r="K212" s="3">
        <v>1114.8499999999999</v>
      </c>
      <c r="L212" s="4">
        <v>13440169</v>
      </c>
      <c r="M212" s="3">
        <v>18988126278.299999</v>
      </c>
      <c r="N212" s="4">
        <v>222903</v>
      </c>
      <c r="O212">
        <f t="shared" si="3"/>
        <v>-1.0486311492715948E-2</v>
      </c>
    </row>
    <row r="213" spans="1:15" ht="14.25" customHeight="1" x14ac:dyDescent="0.3">
      <c r="A213" s="2">
        <v>45785</v>
      </c>
      <c r="B213" t="s">
        <v>15</v>
      </c>
      <c r="C213" s="3">
        <v>1404.1</v>
      </c>
      <c r="D213" s="3">
        <v>1420.8</v>
      </c>
      <c r="E213" s="3">
        <v>1398</v>
      </c>
      <c r="F213" s="3">
        <v>1406</v>
      </c>
      <c r="G213" s="3">
        <v>1398</v>
      </c>
      <c r="H213" s="3">
        <v>1407</v>
      </c>
      <c r="I213" s="3">
        <v>1410.51</v>
      </c>
      <c r="J213" s="3">
        <v>3217.6</v>
      </c>
      <c r="K213" s="3">
        <v>1114.8499999999999</v>
      </c>
      <c r="L213" s="4">
        <v>16106175</v>
      </c>
      <c r="M213" s="3">
        <v>22717878064.299999</v>
      </c>
      <c r="N213" s="4">
        <v>231342</v>
      </c>
      <c r="O213">
        <f t="shared" si="3"/>
        <v>7.1123755334281653E-4</v>
      </c>
    </row>
    <row r="214" spans="1:15" ht="14.25" customHeight="1" x14ac:dyDescent="0.3">
      <c r="A214" s="2">
        <v>45786</v>
      </c>
      <c r="B214" t="s">
        <v>15</v>
      </c>
      <c r="C214" s="3">
        <v>1385.5</v>
      </c>
      <c r="D214" s="3">
        <v>1394.8</v>
      </c>
      <c r="E214" s="3">
        <v>1374.5</v>
      </c>
      <c r="F214" s="3">
        <v>1407</v>
      </c>
      <c r="G214" s="3">
        <v>1379.5</v>
      </c>
      <c r="H214" s="3">
        <v>1377.2</v>
      </c>
      <c r="I214" s="3">
        <v>1382.39</v>
      </c>
      <c r="J214" s="3">
        <v>3217.6</v>
      </c>
      <c r="K214" s="3">
        <v>1114.8499999999999</v>
      </c>
      <c r="L214" s="4">
        <v>13668904</v>
      </c>
      <c r="M214" s="3">
        <v>18895751340.099998</v>
      </c>
      <c r="N214" s="4">
        <v>388013</v>
      </c>
      <c r="O214">
        <f t="shared" si="3"/>
        <v>-2.1179815209665925E-2</v>
      </c>
    </row>
    <row r="215" spans="1:15" ht="14.25" customHeight="1" x14ac:dyDescent="0.3">
      <c r="A215" s="2">
        <v>45789</v>
      </c>
      <c r="B215" t="s">
        <v>15</v>
      </c>
      <c r="C215" s="3">
        <v>1400</v>
      </c>
      <c r="D215" s="3">
        <v>1439</v>
      </c>
      <c r="E215" s="3">
        <v>1400</v>
      </c>
      <c r="F215" s="3">
        <v>1377.2</v>
      </c>
      <c r="G215" s="3">
        <v>1436.9</v>
      </c>
      <c r="H215" s="3">
        <v>1436.5</v>
      </c>
      <c r="I215" s="3">
        <v>1426.35</v>
      </c>
      <c r="J215" s="3">
        <v>3217.6</v>
      </c>
      <c r="K215" s="3">
        <v>1114.8499999999999</v>
      </c>
      <c r="L215" s="4">
        <v>10674081</v>
      </c>
      <c r="M215" s="3">
        <v>15224970250.5</v>
      </c>
      <c r="N215" s="4">
        <v>310602</v>
      </c>
      <c r="O215">
        <f t="shared" si="3"/>
        <v>4.3058379320360114E-2</v>
      </c>
    </row>
    <row r="216" spans="1:15" ht="14.25" customHeight="1" x14ac:dyDescent="0.3">
      <c r="A216" s="2">
        <v>45790</v>
      </c>
      <c r="B216" t="s">
        <v>15</v>
      </c>
      <c r="C216" s="3">
        <v>1433.5</v>
      </c>
      <c r="D216" s="3">
        <v>1447.7</v>
      </c>
      <c r="E216" s="3">
        <v>1412.4</v>
      </c>
      <c r="F216" s="3">
        <v>1436.5</v>
      </c>
      <c r="G216" s="3">
        <v>1416.5</v>
      </c>
      <c r="H216" s="3">
        <v>1415.7</v>
      </c>
      <c r="I216" s="3">
        <v>1423.23</v>
      </c>
      <c r="J216" s="3">
        <v>3217.6</v>
      </c>
      <c r="K216" s="3">
        <v>1114.8499999999999</v>
      </c>
      <c r="L216" s="4">
        <v>11407896</v>
      </c>
      <c r="M216" s="3">
        <v>16236102678.9</v>
      </c>
      <c r="N216" s="4">
        <v>281992</v>
      </c>
      <c r="O216">
        <f t="shared" si="3"/>
        <v>-1.4479638009049741E-2</v>
      </c>
    </row>
    <row r="217" spans="1:15" ht="14.25" customHeight="1" x14ac:dyDescent="0.3">
      <c r="A217" s="2">
        <v>45791</v>
      </c>
      <c r="B217" t="s">
        <v>15</v>
      </c>
      <c r="C217" s="3">
        <v>1420</v>
      </c>
      <c r="D217" s="3">
        <v>1429.9</v>
      </c>
      <c r="E217" s="3">
        <v>1415.5</v>
      </c>
      <c r="F217" s="3">
        <v>1415.7</v>
      </c>
      <c r="G217" s="3">
        <v>1425.2</v>
      </c>
      <c r="H217" s="3">
        <v>1424.4</v>
      </c>
      <c r="I217" s="3">
        <v>1423.31</v>
      </c>
      <c r="J217" s="3">
        <v>3217.6</v>
      </c>
      <c r="K217" s="3">
        <v>1114.8499999999999</v>
      </c>
      <c r="L217" s="4">
        <v>5570160</v>
      </c>
      <c r="M217" s="3">
        <v>7928045614.6999998</v>
      </c>
      <c r="N217" s="4">
        <v>145014</v>
      </c>
      <c r="O217">
        <f t="shared" si="3"/>
        <v>6.14536978173345E-3</v>
      </c>
    </row>
    <row r="218" spans="1:15" ht="14.25" customHeight="1" x14ac:dyDescent="0.3">
      <c r="A218" s="2">
        <v>45792</v>
      </c>
      <c r="B218" t="s">
        <v>15</v>
      </c>
      <c r="C218" s="3">
        <v>1425</v>
      </c>
      <c r="D218" s="3">
        <v>1461.4</v>
      </c>
      <c r="E218" s="3">
        <v>1412.7</v>
      </c>
      <c r="F218" s="3">
        <v>1424.4</v>
      </c>
      <c r="G218" s="3">
        <v>1453</v>
      </c>
      <c r="H218" s="3">
        <v>1454.2</v>
      </c>
      <c r="I218" s="3">
        <v>1441.41</v>
      </c>
      <c r="J218" s="3">
        <v>3217.6</v>
      </c>
      <c r="K218" s="3">
        <v>1114.8499999999999</v>
      </c>
      <c r="L218" s="4">
        <v>20177211</v>
      </c>
      <c r="M218" s="3">
        <v>29083683834.799999</v>
      </c>
      <c r="N218" s="4">
        <v>314261</v>
      </c>
      <c r="O218">
        <f t="shared" si="3"/>
        <v>2.0921089581578175E-2</v>
      </c>
    </row>
    <row r="219" spans="1:15" ht="14.25" customHeight="1" x14ac:dyDescent="0.3">
      <c r="A219" s="2">
        <v>45793</v>
      </c>
      <c r="B219" t="s">
        <v>15</v>
      </c>
      <c r="C219" s="3">
        <v>1453.2</v>
      </c>
      <c r="D219" s="3">
        <v>1461</v>
      </c>
      <c r="E219" s="3">
        <v>1447.3</v>
      </c>
      <c r="F219" s="3">
        <v>1454.2</v>
      </c>
      <c r="G219" s="3">
        <v>1454.8</v>
      </c>
      <c r="H219" s="3">
        <v>1456.4</v>
      </c>
      <c r="I219" s="3">
        <v>1455.16</v>
      </c>
      <c r="J219" s="3">
        <v>3217.6</v>
      </c>
      <c r="K219" s="3">
        <v>1114.8499999999999</v>
      </c>
      <c r="L219" s="4">
        <v>9036695</v>
      </c>
      <c r="M219" s="3">
        <v>13149797875.4</v>
      </c>
      <c r="N219" s="4">
        <v>196322</v>
      </c>
      <c r="O219">
        <f t="shared" si="3"/>
        <v>1.5128593040847514E-3</v>
      </c>
    </row>
    <row r="220" spans="1:15" ht="14.25" customHeight="1" x14ac:dyDescent="0.3">
      <c r="A220" s="2">
        <v>45796</v>
      </c>
      <c r="B220" t="s">
        <v>15</v>
      </c>
      <c r="C220" s="3">
        <v>1452.1</v>
      </c>
      <c r="D220" s="3">
        <v>1454.6</v>
      </c>
      <c r="E220" s="3">
        <v>1438.2</v>
      </c>
      <c r="F220" s="3">
        <v>1456.4</v>
      </c>
      <c r="G220" s="3">
        <v>1442.9</v>
      </c>
      <c r="H220" s="3">
        <v>1440.8</v>
      </c>
      <c r="I220" s="3">
        <v>1443.67</v>
      </c>
      <c r="J220" s="3">
        <v>3217.6</v>
      </c>
      <c r="K220" s="3">
        <v>1114.8499999999999</v>
      </c>
      <c r="L220" s="4">
        <v>6195791</v>
      </c>
      <c r="M220" s="3">
        <v>8944705922.2999992</v>
      </c>
      <c r="N220" s="4">
        <v>144606</v>
      </c>
      <c r="O220">
        <f t="shared" si="3"/>
        <v>-1.0711343037627118E-2</v>
      </c>
    </row>
    <row r="221" spans="1:15" ht="14.25" customHeight="1" x14ac:dyDescent="0.3">
      <c r="A221" s="2">
        <v>45797</v>
      </c>
      <c r="B221" t="s">
        <v>15</v>
      </c>
      <c r="C221" s="3">
        <v>1438.2</v>
      </c>
      <c r="D221" s="3">
        <v>1445</v>
      </c>
      <c r="E221" s="3">
        <v>1421.8</v>
      </c>
      <c r="F221" s="3">
        <v>1440.8</v>
      </c>
      <c r="G221" s="3">
        <v>1424.5</v>
      </c>
      <c r="H221" s="3">
        <v>1424.6</v>
      </c>
      <c r="I221" s="3">
        <v>1429.91</v>
      </c>
      <c r="J221" s="3">
        <v>3217.6</v>
      </c>
      <c r="K221" s="3">
        <v>1114.8499999999999</v>
      </c>
      <c r="L221" s="4">
        <v>11270560</v>
      </c>
      <c r="M221" s="3">
        <v>16115906328.299999</v>
      </c>
      <c r="N221" s="4">
        <v>182531</v>
      </c>
      <c r="O221">
        <f t="shared" si="3"/>
        <v>-1.1243753470294313E-2</v>
      </c>
    </row>
    <row r="222" spans="1:15" ht="14.25" customHeight="1" x14ac:dyDescent="0.3">
      <c r="A222" s="2">
        <v>45798</v>
      </c>
      <c r="B222" t="s">
        <v>15</v>
      </c>
      <c r="C222" s="3">
        <v>1423.9</v>
      </c>
      <c r="D222" s="3">
        <v>1436.2</v>
      </c>
      <c r="E222" s="3">
        <v>1418.1</v>
      </c>
      <c r="F222" s="3">
        <v>1424.6</v>
      </c>
      <c r="G222" s="3">
        <v>1428.2</v>
      </c>
      <c r="H222" s="3">
        <v>1429.2</v>
      </c>
      <c r="I222" s="3">
        <v>1427.75</v>
      </c>
      <c r="J222" s="3">
        <v>3217.6</v>
      </c>
      <c r="K222" s="3">
        <v>1114.8499999999999</v>
      </c>
      <c r="L222" s="4">
        <v>6136364</v>
      </c>
      <c r="M222" s="3">
        <v>8761209045.8999996</v>
      </c>
      <c r="N222" s="4">
        <v>232529</v>
      </c>
      <c r="O222">
        <f t="shared" si="3"/>
        <v>3.2289765548225023E-3</v>
      </c>
    </row>
    <row r="223" spans="1:15" ht="14.25" customHeight="1" x14ac:dyDescent="0.3">
      <c r="A223" s="2">
        <v>45799</v>
      </c>
      <c r="B223" t="s">
        <v>15</v>
      </c>
      <c r="C223" s="3">
        <v>1421.2</v>
      </c>
      <c r="D223" s="3">
        <v>1423.8</v>
      </c>
      <c r="E223" s="3">
        <v>1396.9</v>
      </c>
      <c r="F223" s="3">
        <v>1429.2</v>
      </c>
      <c r="G223" s="3">
        <v>1411.5</v>
      </c>
      <c r="H223" s="3">
        <v>1409.4</v>
      </c>
      <c r="I223" s="3">
        <v>1406.85</v>
      </c>
      <c r="J223" s="3">
        <v>3217.6</v>
      </c>
      <c r="K223" s="3">
        <v>1114.8499999999999</v>
      </c>
      <c r="L223" s="4">
        <v>12134466</v>
      </c>
      <c r="M223" s="3">
        <v>17071402011.9</v>
      </c>
      <c r="N223" s="4">
        <v>228031</v>
      </c>
      <c r="O223">
        <f t="shared" si="3"/>
        <v>-1.3853904282115836E-2</v>
      </c>
    </row>
    <row r="224" spans="1:15" ht="14.25" customHeight="1" x14ac:dyDescent="0.3">
      <c r="A224" s="2">
        <v>45800</v>
      </c>
      <c r="B224" t="s">
        <v>15</v>
      </c>
      <c r="C224" s="3">
        <v>1406.6</v>
      </c>
      <c r="D224" s="3">
        <v>1433.8</v>
      </c>
      <c r="E224" s="3">
        <v>1406.6</v>
      </c>
      <c r="F224" s="3">
        <v>1409.4</v>
      </c>
      <c r="G224" s="3">
        <v>1426</v>
      </c>
      <c r="H224" s="3">
        <v>1426.8</v>
      </c>
      <c r="I224" s="3">
        <v>1424.63</v>
      </c>
      <c r="J224" s="3">
        <v>3217.6</v>
      </c>
      <c r="K224" s="3">
        <v>1114.8499999999999</v>
      </c>
      <c r="L224" s="4">
        <v>6474883</v>
      </c>
      <c r="M224" s="3">
        <v>9224312172.6000004</v>
      </c>
      <c r="N224" s="4">
        <v>135371</v>
      </c>
      <c r="O224">
        <f t="shared" si="3"/>
        <v>1.2345679012345581E-2</v>
      </c>
    </row>
    <row r="225" spans="1:15" ht="14.25" customHeight="1" x14ac:dyDescent="0.3">
      <c r="A225" s="2">
        <v>45803</v>
      </c>
      <c r="B225" t="s">
        <v>15</v>
      </c>
      <c r="C225" s="3">
        <v>1432</v>
      </c>
      <c r="D225" s="3">
        <v>1441</v>
      </c>
      <c r="E225" s="3">
        <v>1425.1</v>
      </c>
      <c r="F225" s="3">
        <v>1426.8</v>
      </c>
      <c r="G225" s="3">
        <v>1435.9</v>
      </c>
      <c r="H225" s="3">
        <v>1434.8</v>
      </c>
      <c r="I225" s="3">
        <v>1437.16</v>
      </c>
      <c r="J225" s="3">
        <v>3217.6</v>
      </c>
      <c r="K225" s="3">
        <v>1114.8499999999999</v>
      </c>
      <c r="L225" s="4">
        <v>4842944</v>
      </c>
      <c r="M225" s="3">
        <v>6960105851.3999996</v>
      </c>
      <c r="N225" s="4">
        <v>171837</v>
      </c>
      <c r="O225">
        <f t="shared" si="3"/>
        <v>5.6069526212503508E-3</v>
      </c>
    </row>
    <row r="226" spans="1:15" ht="14.25" customHeight="1" x14ac:dyDescent="0.3">
      <c r="A226" s="2">
        <v>45804</v>
      </c>
      <c r="B226" t="s">
        <v>15</v>
      </c>
      <c r="C226" s="3">
        <v>1426.1</v>
      </c>
      <c r="D226" s="3">
        <v>1437</v>
      </c>
      <c r="E226" s="3">
        <v>1413.9</v>
      </c>
      <c r="F226" s="3">
        <v>1434.8</v>
      </c>
      <c r="G226" s="3">
        <v>1424.2</v>
      </c>
      <c r="H226" s="3">
        <v>1422.1</v>
      </c>
      <c r="I226" s="3">
        <v>1421.81</v>
      </c>
      <c r="J226" s="3">
        <v>3217.6</v>
      </c>
      <c r="K226" s="3">
        <v>1114.8499999999999</v>
      </c>
      <c r="L226" s="4">
        <v>12640414</v>
      </c>
      <c r="M226" s="3">
        <v>17972211281.700001</v>
      </c>
      <c r="N226" s="4">
        <v>211047</v>
      </c>
      <c r="O226">
        <f t="shared" si="3"/>
        <v>-8.8514078617229208E-3</v>
      </c>
    </row>
    <row r="227" spans="1:15" ht="14.25" customHeight="1" x14ac:dyDescent="0.3">
      <c r="A227" s="2">
        <v>45805</v>
      </c>
      <c r="B227" t="s">
        <v>15</v>
      </c>
      <c r="C227" s="3">
        <v>1420.1</v>
      </c>
      <c r="D227" s="3">
        <v>1422.6</v>
      </c>
      <c r="E227" s="3">
        <v>1410.7</v>
      </c>
      <c r="F227" s="3">
        <v>1422.1</v>
      </c>
      <c r="G227" s="3">
        <v>1412.8</v>
      </c>
      <c r="H227" s="3">
        <v>1412.9</v>
      </c>
      <c r="I227" s="3">
        <v>1414.99</v>
      </c>
      <c r="J227" s="3">
        <v>3217.6</v>
      </c>
      <c r="K227" s="3">
        <v>1114.8499999999999</v>
      </c>
      <c r="L227" s="4">
        <v>5944611</v>
      </c>
      <c r="M227" s="3">
        <v>8411575745.5</v>
      </c>
      <c r="N227" s="4">
        <v>169185</v>
      </c>
      <c r="O227">
        <f t="shared" si="3"/>
        <v>-6.4693059559804648E-3</v>
      </c>
    </row>
    <row r="228" spans="1:15" ht="14.25" customHeight="1" x14ac:dyDescent="0.3">
      <c r="A228" s="2">
        <v>45806</v>
      </c>
      <c r="B228" t="s">
        <v>15</v>
      </c>
      <c r="C228" s="3">
        <v>1412.1</v>
      </c>
      <c r="D228" s="3">
        <v>1420</v>
      </c>
      <c r="E228" s="3">
        <v>1408.6</v>
      </c>
      <c r="F228" s="3">
        <v>1412.9</v>
      </c>
      <c r="G228" s="3">
        <v>1419.5</v>
      </c>
      <c r="H228" s="3">
        <v>1417.8</v>
      </c>
      <c r="I228" s="3">
        <v>1414.72</v>
      </c>
      <c r="J228" s="3">
        <v>3217.6</v>
      </c>
      <c r="K228" s="3">
        <v>1114.8499999999999</v>
      </c>
      <c r="L228" s="4">
        <v>13771917</v>
      </c>
      <c r="M228" s="3">
        <v>19483424681.599998</v>
      </c>
      <c r="N228" s="4">
        <v>265116</v>
      </c>
      <c r="O228">
        <f t="shared" si="3"/>
        <v>3.4680444475899664E-3</v>
      </c>
    </row>
    <row r="229" spans="1:15" ht="14.25" customHeight="1" x14ac:dyDescent="0.3">
      <c r="A229" s="2">
        <v>45807</v>
      </c>
      <c r="B229" t="s">
        <v>15</v>
      </c>
      <c r="C229" s="3">
        <v>1418</v>
      </c>
      <c r="D229" s="3">
        <v>1430.6</v>
      </c>
      <c r="E229" s="3">
        <v>1409.7</v>
      </c>
      <c r="F229" s="3">
        <v>1417.8</v>
      </c>
      <c r="G229" s="3">
        <v>1417.9</v>
      </c>
      <c r="H229" s="3">
        <v>1420.9</v>
      </c>
      <c r="I229" s="3">
        <v>1419.89</v>
      </c>
      <c r="J229" s="3">
        <v>3217.6</v>
      </c>
      <c r="K229" s="3">
        <v>1114.8499999999999</v>
      </c>
      <c r="L229" s="4">
        <v>13788484</v>
      </c>
      <c r="M229" s="3">
        <v>19578154095</v>
      </c>
      <c r="N229" s="4">
        <v>155127</v>
      </c>
      <c r="O229">
        <f t="shared" si="3"/>
        <v>2.1864861052335567E-3</v>
      </c>
    </row>
    <row r="230" spans="1:15" ht="14.25" customHeight="1" x14ac:dyDescent="0.3">
      <c r="A230" s="2">
        <v>45810</v>
      </c>
      <c r="B230" t="s">
        <v>15</v>
      </c>
      <c r="C230" s="3">
        <v>1412.1</v>
      </c>
      <c r="D230" s="3">
        <v>1417.5</v>
      </c>
      <c r="E230" s="3">
        <v>1395.6</v>
      </c>
      <c r="F230" s="3">
        <v>1420.9</v>
      </c>
      <c r="G230" s="3">
        <v>1412.6</v>
      </c>
      <c r="H230" s="3">
        <v>1413.7</v>
      </c>
      <c r="I230" s="3">
        <v>1407.75</v>
      </c>
      <c r="J230" s="3">
        <v>3217.6</v>
      </c>
      <c r="K230" s="3">
        <v>1114.8499999999999</v>
      </c>
      <c r="L230" s="4">
        <v>8098668</v>
      </c>
      <c r="M230" s="3">
        <v>11400864785</v>
      </c>
      <c r="N230" s="4">
        <v>189977</v>
      </c>
      <c r="O230">
        <f t="shared" si="3"/>
        <v>-5.067210922654687E-3</v>
      </c>
    </row>
    <row r="231" spans="1:15" ht="14.25" customHeight="1" x14ac:dyDescent="0.3">
      <c r="A231" s="2">
        <v>45811</v>
      </c>
      <c r="B231" t="s">
        <v>15</v>
      </c>
      <c r="C231" s="3">
        <v>1422.3</v>
      </c>
      <c r="D231" s="3">
        <v>1426.5</v>
      </c>
      <c r="E231" s="3">
        <v>1403.4</v>
      </c>
      <c r="F231" s="3">
        <v>1413.7</v>
      </c>
      <c r="G231" s="3">
        <v>1405.4</v>
      </c>
      <c r="H231" s="3">
        <v>1405.5</v>
      </c>
      <c r="I231" s="3">
        <v>1412.34</v>
      </c>
      <c r="J231" s="3">
        <v>3217.6</v>
      </c>
      <c r="K231" s="3">
        <v>1114.8499999999999</v>
      </c>
      <c r="L231" s="4">
        <v>11252626</v>
      </c>
      <c r="M231" s="3">
        <v>15892572174.1</v>
      </c>
      <c r="N231" s="4">
        <v>230110</v>
      </c>
      <c r="O231">
        <f t="shared" si="3"/>
        <v>-5.800381976374086E-3</v>
      </c>
    </row>
    <row r="232" spans="1:15" ht="14.25" customHeight="1" x14ac:dyDescent="0.3">
      <c r="A232" s="2">
        <v>45812</v>
      </c>
      <c r="B232" t="s">
        <v>15</v>
      </c>
      <c r="C232" s="3">
        <v>1414.7</v>
      </c>
      <c r="D232" s="3">
        <v>1425.7</v>
      </c>
      <c r="E232" s="3">
        <v>1406.1</v>
      </c>
      <c r="F232" s="3">
        <v>1405.5</v>
      </c>
      <c r="G232" s="3">
        <v>1421</v>
      </c>
      <c r="H232" s="3">
        <v>1423.5</v>
      </c>
      <c r="I232" s="3">
        <v>1415.78</v>
      </c>
      <c r="J232" s="3">
        <v>3217.6</v>
      </c>
      <c r="K232" s="3">
        <v>1114.8499999999999</v>
      </c>
      <c r="L232" s="4">
        <v>8126827</v>
      </c>
      <c r="M232" s="3">
        <v>11505806730.5</v>
      </c>
      <c r="N232" s="4">
        <v>152064</v>
      </c>
      <c r="O232">
        <f t="shared" si="3"/>
        <v>1.2806830309498399E-2</v>
      </c>
    </row>
    <row r="233" spans="1:15" ht="14.25" customHeight="1" x14ac:dyDescent="0.3">
      <c r="A233" s="2">
        <v>45813</v>
      </c>
      <c r="B233" t="s">
        <v>15</v>
      </c>
      <c r="C233" s="3">
        <v>1428</v>
      </c>
      <c r="D233" s="3">
        <v>1454.7</v>
      </c>
      <c r="E233" s="3">
        <v>1423.6</v>
      </c>
      <c r="F233" s="3">
        <v>1423.5</v>
      </c>
      <c r="G233" s="3">
        <v>1442.7</v>
      </c>
      <c r="H233" s="3">
        <v>1442.4</v>
      </c>
      <c r="I233" s="3">
        <v>1442.72</v>
      </c>
      <c r="J233" s="3">
        <v>3217.6</v>
      </c>
      <c r="K233" s="3">
        <v>1114.8499999999999</v>
      </c>
      <c r="L233" s="4">
        <v>13716817</v>
      </c>
      <c r="M233" s="3">
        <v>19789468217</v>
      </c>
      <c r="N233" s="4">
        <v>304069</v>
      </c>
      <c r="O233">
        <f t="shared" si="3"/>
        <v>1.3277133825079095E-2</v>
      </c>
    </row>
    <row r="234" spans="1:15" ht="14.25" customHeight="1" x14ac:dyDescent="0.3">
      <c r="A234" s="2">
        <v>45814</v>
      </c>
      <c r="B234" t="s">
        <v>15</v>
      </c>
      <c r="C234" s="3">
        <v>1441</v>
      </c>
      <c r="D234" s="3">
        <v>1451.5</v>
      </c>
      <c r="E234" s="3">
        <v>1437</v>
      </c>
      <c r="F234" s="3">
        <v>1442.4</v>
      </c>
      <c r="G234" s="3">
        <v>1443</v>
      </c>
      <c r="H234" s="3">
        <v>1443.5</v>
      </c>
      <c r="I234" s="3">
        <v>1444.22</v>
      </c>
      <c r="J234" s="3">
        <v>3217.6</v>
      </c>
      <c r="K234" s="3">
        <v>1114.8499999999999</v>
      </c>
      <c r="L234" s="4">
        <v>8182161</v>
      </c>
      <c r="M234" s="3">
        <v>11816875426.1</v>
      </c>
      <c r="N234" s="4">
        <v>179734</v>
      </c>
      <c r="O234">
        <f t="shared" si="3"/>
        <v>7.6261785912361962E-4</v>
      </c>
    </row>
    <row r="235" spans="1:15" ht="14.25" customHeight="1" x14ac:dyDescent="0.3">
      <c r="A235" s="2">
        <v>45817</v>
      </c>
      <c r="B235" t="s">
        <v>15</v>
      </c>
      <c r="C235" s="3">
        <v>1457</v>
      </c>
      <c r="D235" s="3">
        <v>1457.5</v>
      </c>
      <c r="E235" s="3">
        <v>1445.3</v>
      </c>
      <c r="F235" s="3">
        <v>1443.5</v>
      </c>
      <c r="G235" s="3">
        <v>1447.2</v>
      </c>
      <c r="H235" s="3">
        <v>1448.8</v>
      </c>
      <c r="I235" s="3">
        <v>1449.95</v>
      </c>
      <c r="J235" s="3">
        <v>3217.6</v>
      </c>
      <c r="K235" s="3">
        <v>1114.8499999999999</v>
      </c>
      <c r="L235" s="4">
        <v>7885125</v>
      </c>
      <c r="M235" s="3">
        <v>11433033631.799999</v>
      </c>
      <c r="N235" s="4">
        <v>159916</v>
      </c>
      <c r="O235">
        <f t="shared" si="3"/>
        <v>3.6716314513335329E-3</v>
      </c>
    </row>
    <row r="236" spans="1:15" ht="14.25" customHeight="1" x14ac:dyDescent="0.3">
      <c r="A236" s="2">
        <v>45818</v>
      </c>
      <c r="B236" t="s">
        <v>15</v>
      </c>
      <c r="C236" s="3">
        <v>1450</v>
      </c>
      <c r="D236" s="3">
        <v>1453.9</v>
      </c>
      <c r="E236" s="3">
        <v>1436</v>
      </c>
      <c r="F236" s="3">
        <v>1448.8</v>
      </c>
      <c r="G236" s="3">
        <v>1437.3</v>
      </c>
      <c r="H236" s="3">
        <v>1438.5</v>
      </c>
      <c r="I236" s="3">
        <v>1442.59</v>
      </c>
      <c r="J236" s="3">
        <v>3217.6</v>
      </c>
      <c r="K236" s="3">
        <v>1114.8499999999999</v>
      </c>
      <c r="L236" s="4">
        <v>7913181</v>
      </c>
      <c r="M236" s="3">
        <v>11415476580.5</v>
      </c>
      <c r="N236" s="4">
        <v>167203</v>
      </c>
      <c r="O236">
        <f t="shared" si="3"/>
        <v>-7.1093318608503276E-3</v>
      </c>
    </row>
    <row r="237" spans="1:15" ht="14.25" customHeight="1" x14ac:dyDescent="0.3">
      <c r="A237" s="2">
        <v>45819</v>
      </c>
      <c r="B237" t="s">
        <v>15</v>
      </c>
      <c r="C237" s="3">
        <v>1445.8</v>
      </c>
      <c r="D237" s="3">
        <v>1468.6</v>
      </c>
      <c r="E237" s="3">
        <v>1443.1</v>
      </c>
      <c r="F237" s="3">
        <v>1438.5</v>
      </c>
      <c r="G237" s="3">
        <v>1448</v>
      </c>
      <c r="H237" s="3">
        <v>1448.9</v>
      </c>
      <c r="I237" s="3">
        <v>1456.11</v>
      </c>
      <c r="J237" s="3">
        <v>3217.6</v>
      </c>
      <c r="K237" s="3">
        <v>1114.8499999999999</v>
      </c>
      <c r="L237" s="4">
        <v>8195700</v>
      </c>
      <c r="M237" s="3">
        <v>11933850942.700001</v>
      </c>
      <c r="N237" s="4">
        <v>184593</v>
      </c>
      <c r="O237">
        <f t="shared" si="3"/>
        <v>7.229753215154738E-3</v>
      </c>
    </row>
    <row r="238" spans="1:15" ht="14.25" customHeight="1" x14ac:dyDescent="0.3">
      <c r="A238" s="2">
        <v>45820</v>
      </c>
      <c r="B238" t="s">
        <v>15</v>
      </c>
      <c r="C238" s="3">
        <v>1453.5</v>
      </c>
      <c r="D238" s="3">
        <v>1457</v>
      </c>
      <c r="E238" s="3">
        <v>1434.4</v>
      </c>
      <c r="F238" s="3">
        <v>1448.9</v>
      </c>
      <c r="G238" s="3">
        <v>1439.5</v>
      </c>
      <c r="H238" s="3">
        <v>1441.6</v>
      </c>
      <c r="I238" s="3">
        <v>1444.32</v>
      </c>
      <c r="J238" s="3">
        <v>3217.6</v>
      </c>
      <c r="K238" s="3">
        <v>1114.8499999999999</v>
      </c>
      <c r="L238" s="4">
        <v>8828114</v>
      </c>
      <c r="M238" s="3">
        <v>12750612321.299999</v>
      </c>
      <c r="N238" s="4">
        <v>190194</v>
      </c>
      <c r="O238">
        <f t="shared" si="3"/>
        <v>-5.038304920974658E-3</v>
      </c>
    </row>
    <row r="239" spans="1:15" ht="14.25" customHeight="1" x14ac:dyDescent="0.3">
      <c r="A239" s="2">
        <v>45821</v>
      </c>
      <c r="B239" t="s">
        <v>15</v>
      </c>
      <c r="C239" s="3">
        <v>1424</v>
      </c>
      <c r="D239" s="3">
        <v>1435.5</v>
      </c>
      <c r="E239" s="3">
        <v>1414.3</v>
      </c>
      <c r="F239" s="3">
        <v>1441.6</v>
      </c>
      <c r="G239" s="3">
        <v>1427.5</v>
      </c>
      <c r="H239" s="3">
        <v>1427.9</v>
      </c>
      <c r="I239" s="3">
        <v>1423.95</v>
      </c>
      <c r="J239" s="3">
        <v>3217.6</v>
      </c>
      <c r="K239" s="3">
        <v>1114.8499999999999</v>
      </c>
      <c r="L239" s="4">
        <v>9757276</v>
      </c>
      <c r="M239" s="3">
        <v>13893905321.299999</v>
      </c>
      <c r="N239" s="4">
        <v>202256</v>
      </c>
      <c r="O239">
        <f t="shared" si="3"/>
        <v>-9.5033296337401624E-3</v>
      </c>
    </row>
    <row r="240" spans="1:15" ht="14.25" customHeight="1" x14ac:dyDescent="0.3">
      <c r="A240" s="2">
        <v>45824</v>
      </c>
      <c r="B240" t="s">
        <v>15</v>
      </c>
      <c r="C240" s="3">
        <v>1426.9</v>
      </c>
      <c r="D240" s="3">
        <v>1442.4</v>
      </c>
      <c r="E240" s="3">
        <v>1424.4</v>
      </c>
      <c r="F240" s="3">
        <v>1427.9</v>
      </c>
      <c r="G240" s="3">
        <v>1436.9</v>
      </c>
      <c r="H240" s="3">
        <v>1437.8</v>
      </c>
      <c r="I240" s="3">
        <v>1436.42</v>
      </c>
      <c r="J240" s="3">
        <v>3217.6</v>
      </c>
      <c r="K240" s="3">
        <v>1114.8499999999999</v>
      </c>
      <c r="L240" s="4">
        <v>8458093</v>
      </c>
      <c r="M240" s="3">
        <v>12149412490.700001</v>
      </c>
      <c r="N240" s="4">
        <v>213623</v>
      </c>
      <c r="O240">
        <f t="shared" si="3"/>
        <v>6.933258631556736E-3</v>
      </c>
    </row>
    <row r="241" spans="1:15" ht="14.25" customHeight="1" x14ac:dyDescent="0.3">
      <c r="A241" s="2">
        <v>45825</v>
      </c>
      <c r="B241" t="s">
        <v>15</v>
      </c>
      <c r="C241" s="3">
        <v>1448</v>
      </c>
      <c r="D241" s="3">
        <v>1448</v>
      </c>
      <c r="E241" s="3">
        <v>1425.8</v>
      </c>
      <c r="F241" s="3">
        <v>1437.8</v>
      </c>
      <c r="G241" s="3">
        <v>1430</v>
      </c>
      <c r="H241" s="3">
        <v>1431.2</v>
      </c>
      <c r="I241" s="3">
        <v>1432.15</v>
      </c>
      <c r="J241" s="3">
        <v>3217.6</v>
      </c>
      <c r="K241" s="3">
        <v>1114.8499999999999</v>
      </c>
      <c r="L241" s="4">
        <v>10366599</v>
      </c>
      <c r="M241" s="3">
        <v>14846517402.4</v>
      </c>
      <c r="N241" s="4">
        <v>191173</v>
      </c>
      <c r="O241">
        <f t="shared" si="3"/>
        <v>-4.5903463624981985E-3</v>
      </c>
    </row>
    <row r="242" spans="1:15" ht="14.25" customHeight="1" x14ac:dyDescent="0.3">
      <c r="A242" s="2">
        <v>45826</v>
      </c>
      <c r="B242" t="s">
        <v>15</v>
      </c>
      <c r="C242" s="3">
        <v>1430</v>
      </c>
      <c r="D242" s="3">
        <v>1442.8</v>
      </c>
      <c r="E242" s="3">
        <v>1425.7</v>
      </c>
      <c r="F242" s="3">
        <v>1431.2</v>
      </c>
      <c r="G242" s="3">
        <v>1429.7</v>
      </c>
      <c r="H242" s="3">
        <v>1430.1</v>
      </c>
      <c r="I242" s="3">
        <v>1431.31</v>
      </c>
      <c r="J242" s="3">
        <v>3217.6</v>
      </c>
      <c r="K242" s="3">
        <v>1114.8499999999999</v>
      </c>
      <c r="L242" s="4">
        <v>6681735</v>
      </c>
      <c r="M242" s="3">
        <v>9563629434</v>
      </c>
      <c r="N242" s="4">
        <v>138211</v>
      </c>
      <c r="O242">
        <f t="shared" si="3"/>
        <v>-7.6858580212418696E-4</v>
      </c>
    </row>
    <row r="243" spans="1:15" ht="14.25" customHeight="1" x14ac:dyDescent="0.3">
      <c r="A243" s="2">
        <v>45827</v>
      </c>
      <c r="B243" t="s">
        <v>15</v>
      </c>
      <c r="C243" s="3">
        <v>1430.1</v>
      </c>
      <c r="D243" s="3">
        <v>1439.9</v>
      </c>
      <c r="E243" s="3">
        <v>1425.7</v>
      </c>
      <c r="F243" s="3">
        <v>1430.1</v>
      </c>
      <c r="G243" s="3">
        <v>1428</v>
      </c>
      <c r="H243" s="3">
        <v>1433.3</v>
      </c>
      <c r="I243" s="3">
        <v>1433.8</v>
      </c>
      <c r="J243" s="3">
        <v>3217.6</v>
      </c>
      <c r="K243" s="3">
        <v>1114.8499999999999</v>
      </c>
      <c r="L243" s="4">
        <v>10007230</v>
      </c>
      <c r="M243" s="3">
        <v>14348370217.6</v>
      </c>
      <c r="N243" s="4">
        <v>179473</v>
      </c>
      <c r="O243">
        <f t="shared" si="3"/>
        <v>2.2376057618348688E-3</v>
      </c>
    </row>
    <row r="244" spans="1:15" ht="14.25" customHeight="1" x14ac:dyDescent="0.3">
      <c r="A244" s="2">
        <v>45828</v>
      </c>
      <c r="B244" t="s">
        <v>15</v>
      </c>
      <c r="C244" s="3">
        <v>1431</v>
      </c>
      <c r="D244" s="3">
        <v>1471</v>
      </c>
      <c r="E244" s="3">
        <v>1428.1</v>
      </c>
      <c r="F244" s="3">
        <v>1433.3</v>
      </c>
      <c r="G244" s="3">
        <v>1464.1</v>
      </c>
      <c r="H244" s="3">
        <v>1466.2</v>
      </c>
      <c r="I244" s="3">
        <v>1462.68</v>
      </c>
      <c r="J244" s="3">
        <v>3217.6</v>
      </c>
      <c r="K244" s="3">
        <v>1114.8499999999999</v>
      </c>
      <c r="L244" s="4">
        <v>29010635</v>
      </c>
      <c r="M244" s="3">
        <v>42433300495.599998</v>
      </c>
      <c r="N244" s="4">
        <v>276278</v>
      </c>
      <c r="O244">
        <f t="shared" si="3"/>
        <v>2.2954022186562541E-2</v>
      </c>
    </row>
    <row r="245" spans="1:15" ht="14.25" customHeight="1" x14ac:dyDescent="0.3">
      <c r="A245" s="2">
        <v>45831</v>
      </c>
      <c r="B245" t="s">
        <v>15</v>
      </c>
      <c r="C245" s="3">
        <v>1453</v>
      </c>
      <c r="D245" s="3">
        <v>1463.8</v>
      </c>
      <c r="E245" s="3">
        <v>1442</v>
      </c>
      <c r="F245" s="3">
        <v>1466.2</v>
      </c>
      <c r="G245" s="3">
        <v>1456</v>
      </c>
      <c r="H245" s="3">
        <v>1456.8</v>
      </c>
      <c r="I245" s="3">
        <v>1453.48</v>
      </c>
      <c r="J245" s="3">
        <v>3217.6</v>
      </c>
      <c r="K245" s="3">
        <v>1114.8499999999999</v>
      </c>
      <c r="L245" s="4">
        <v>5989078</v>
      </c>
      <c r="M245" s="3">
        <v>8705005211.5</v>
      </c>
      <c r="N245" s="4">
        <v>226309</v>
      </c>
      <c r="O245">
        <f t="shared" si="3"/>
        <v>-6.4111308143500823E-3</v>
      </c>
    </row>
    <row r="246" spans="1:15" ht="14.25" customHeight="1" x14ac:dyDescent="0.3">
      <c r="A246" s="2">
        <v>45832</v>
      </c>
      <c r="B246" t="s">
        <v>15</v>
      </c>
      <c r="C246" s="3">
        <v>1465</v>
      </c>
      <c r="D246" s="3">
        <v>1475</v>
      </c>
      <c r="E246" s="3">
        <v>1443.1</v>
      </c>
      <c r="F246" s="3">
        <v>1456.8</v>
      </c>
      <c r="G246" s="3">
        <v>1456.8</v>
      </c>
      <c r="H246" s="3">
        <v>1450.8</v>
      </c>
      <c r="I246" s="3">
        <v>1456.68</v>
      </c>
      <c r="J246" s="3">
        <v>3217.6</v>
      </c>
      <c r="K246" s="3">
        <v>1114.8499999999999</v>
      </c>
      <c r="L246" s="4">
        <v>16402744</v>
      </c>
      <c r="M246" s="3">
        <v>23893522923.200001</v>
      </c>
      <c r="N246" s="4">
        <v>284313</v>
      </c>
      <c r="O246">
        <f t="shared" si="3"/>
        <v>-4.1186161449752881E-3</v>
      </c>
    </row>
    <row r="247" spans="1:15" ht="14.25" customHeight="1" x14ac:dyDescent="0.3">
      <c r="A247" s="2">
        <v>45833</v>
      </c>
      <c r="B247" t="s">
        <v>15</v>
      </c>
      <c r="C247" s="3">
        <v>1464</v>
      </c>
      <c r="D247" s="3">
        <v>1472.4</v>
      </c>
      <c r="E247" s="3">
        <v>1460.5</v>
      </c>
      <c r="F247" s="3">
        <v>1450.8</v>
      </c>
      <c r="G247" s="3">
        <v>1467.6</v>
      </c>
      <c r="H247" s="3">
        <v>1467.3</v>
      </c>
      <c r="I247" s="3">
        <v>1467.46</v>
      </c>
      <c r="J247" s="3">
        <v>3217.6</v>
      </c>
      <c r="K247" s="3">
        <v>1114.8499999999999</v>
      </c>
      <c r="L247" s="4">
        <v>7525851</v>
      </c>
      <c r="M247" s="3">
        <v>11043861535.4</v>
      </c>
      <c r="N247" s="4">
        <v>197720</v>
      </c>
      <c r="O247">
        <f t="shared" si="3"/>
        <v>1.1373035566583953E-2</v>
      </c>
    </row>
    <row r="248" spans="1:15" ht="14.25" customHeight="1" x14ac:dyDescent="0.3">
      <c r="A248" s="2">
        <v>45834</v>
      </c>
      <c r="B248" t="s">
        <v>15</v>
      </c>
      <c r="C248" s="3">
        <v>1469.1</v>
      </c>
      <c r="D248" s="3">
        <v>1498.8</v>
      </c>
      <c r="E248" s="3">
        <v>1465.1</v>
      </c>
      <c r="F248" s="3">
        <v>1467.3</v>
      </c>
      <c r="G248" s="3">
        <v>1495.3</v>
      </c>
      <c r="H248" s="3">
        <v>1495.3</v>
      </c>
      <c r="I248" s="3">
        <v>1488.16</v>
      </c>
      <c r="J248" s="3">
        <v>3217.6</v>
      </c>
      <c r="K248" s="3">
        <v>1114.8499999999999</v>
      </c>
      <c r="L248" s="4">
        <v>14657893</v>
      </c>
      <c r="M248" s="3">
        <v>21813325246.099998</v>
      </c>
      <c r="N248" s="4">
        <v>247215</v>
      </c>
      <c r="O248">
        <f t="shared" si="3"/>
        <v>1.9082668847543106E-2</v>
      </c>
    </row>
    <row r="249" spans="1:15" ht="14.25" customHeight="1" x14ac:dyDescent="0.3">
      <c r="A249" s="2">
        <v>45835</v>
      </c>
      <c r="B249" t="s">
        <v>15</v>
      </c>
      <c r="C249" s="3">
        <v>1499.4</v>
      </c>
      <c r="D249" s="3">
        <v>1522</v>
      </c>
      <c r="E249" s="3">
        <v>1496.9</v>
      </c>
      <c r="F249" s="3">
        <v>1495.3</v>
      </c>
      <c r="G249" s="3">
        <v>1514</v>
      </c>
      <c r="H249" s="3">
        <v>1515.4</v>
      </c>
      <c r="I249" s="3">
        <v>1511.99</v>
      </c>
      <c r="J249" s="3">
        <v>3217.6</v>
      </c>
      <c r="K249" s="3">
        <v>1114.8499999999999</v>
      </c>
      <c r="L249" s="4">
        <v>11117052</v>
      </c>
      <c r="M249" s="3">
        <v>16808908375.4</v>
      </c>
      <c r="N249" s="4">
        <v>269877</v>
      </c>
      <c r="O249">
        <f t="shared" si="3"/>
        <v>1.3442118638400412E-2</v>
      </c>
    </row>
    <row r="250" spans="1:15" ht="14.25" customHeight="1" x14ac:dyDescent="0.3">
      <c r="A250" s="2">
        <v>45838</v>
      </c>
      <c r="B250" t="s">
        <v>15</v>
      </c>
      <c r="C250" s="3">
        <v>1513.8</v>
      </c>
      <c r="D250" s="3">
        <v>1524.8</v>
      </c>
      <c r="E250" s="3">
        <v>1496</v>
      </c>
      <c r="F250" s="3">
        <v>1515.4</v>
      </c>
      <c r="G250" s="3">
        <v>1499.9</v>
      </c>
      <c r="H250" s="3">
        <v>1500.6</v>
      </c>
      <c r="I250" s="3">
        <v>1509.28</v>
      </c>
      <c r="J250" s="3">
        <v>3217.6</v>
      </c>
      <c r="K250" s="3">
        <v>1114.8499999999999</v>
      </c>
      <c r="L250" s="4">
        <v>8409527</v>
      </c>
      <c r="M250" s="3">
        <v>12692329820.1</v>
      </c>
      <c r="N250" s="4">
        <v>242195</v>
      </c>
      <c r="O250">
        <f t="shared" si="3"/>
        <v>-9.7663983106771688E-3</v>
      </c>
    </row>
    <row r="251" spans="1:15" ht="14.25" customHeight="1" x14ac:dyDescent="0.3">
      <c r="A251" s="2">
        <v>45839</v>
      </c>
      <c r="B251" t="s">
        <v>15</v>
      </c>
      <c r="C251" s="3">
        <v>1500.6</v>
      </c>
      <c r="D251" s="3">
        <v>1531.4</v>
      </c>
      <c r="E251" s="3">
        <v>1500.1</v>
      </c>
      <c r="F251" s="3">
        <v>1500.6</v>
      </c>
      <c r="G251" s="3">
        <v>1526.8</v>
      </c>
      <c r="H251" s="3">
        <v>1528.4</v>
      </c>
      <c r="I251" s="3">
        <v>1522.95</v>
      </c>
      <c r="J251" s="3">
        <v>3217.6</v>
      </c>
      <c r="K251" s="3">
        <v>1114.8499999999999</v>
      </c>
      <c r="L251" s="4">
        <v>10368523</v>
      </c>
      <c r="M251" s="3">
        <v>15790750945.4</v>
      </c>
      <c r="N251" s="4">
        <v>232573</v>
      </c>
      <c r="O251">
        <f t="shared" si="3"/>
        <v>1.8525922964147797E-2</v>
      </c>
    </row>
    <row r="252" spans="1:15" ht="14.25" customHeight="1" x14ac:dyDescent="0.3">
      <c r="A252" s="2">
        <v>45840</v>
      </c>
      <c r="B252" t="s">
        <v>15</v>
      </c>
      <c r="C252" s="3">
        <v>1528.4</v>
      </c>
      <c r="D252" s="3">
        <v>1530</v>
      </c>
      <c r="E252" s="3">
        <v>1508.7</v>
      </c>
      <c r="F252" s="3">
        <v>1528.4</v>
      </c>
      <c r="G252" s="3">
        <v>1517.1</v>
      </c>
      <c r="H252" s="3">
        <v>1518.8</v>
      </c>
      <c r="I252" s="3">
        <v>1518.29</v>
      </c>
      <c r="J252" s="3">
        <v>3217.6</v>
      </c>
      <c r="K252" s="3">
        <v>1114.8499999999999</v>
      </c>
      <c r="L252" s="4">
        <v>6361002</v>
      </c>
      <c r="M252" s="3">
        <v>9657844399.3999996</v>
      </c>
      <c r="N252" s="4">
        <v>183873</v>
      </c>
      <c r="O252">
        <f t="shared" si="3"/>
        <v>-6.2810782517666421E-3</v>
      </c>
    </row>
    <row r="253" spans="1:15" ht="14.25" customHeight="1" x14ac:dyDescent="0.3">
      <c r="A253" s="2">
        <v>45841</v>
      </c>
      <c r="B253" t="s">
        <v>15</v>
      </c>
      <c r="C253" s="3">
        <v>1520.8</v>
      </c>
      <c r="D253" s="3">
        <v>1531.9</v>
      </c>
      <c r="E253" s="3">
        <v>1513</v>
      </c>
      <c r="F253" s="3">
        <v>1518.8</v>
      </c>
      <c r="G253" s="3">
        <v>1515</v>
      </c>
      <c r="H253" s="3">
        <v>1517.8</v>
      </c>
      <c r="I253" s="3">
        <v>1520.57</v>
      </c>
      <c r="J253" s="3">
        <v>3217.6</v>
      </c>
      <c r="K253" s="3">
        <v>1114.8499999999999</v>
      </c>
      <c r="L253" s="4">
        <v>11283291</v>
      </c>
      <c r="M253" s="3">
        <v>17156979936.799999</v>
      </c>
      <c r="N253" s="4">
        <v>258008</v>
      </c>
      <c r="O253">
        <f t="shared" si="3"/>
        <v>-6.5841453779299445E-4</v>
      </c>
    </row>
    <row r="254" spans="1:15" ht="14.25" customHeight="1" x14ac:dyDescent="0.3">
      <c r="A254" s="2">
        <v>45842</v>
      </c>
      <c r="B254" t="s">
        <v>15</v>
      </c>
      <c r="C254" s="3">
        <v>1524</v>
      </c>
      <c r="D254" s="3">
        <v>1530</v>
      </c>
      <c r="E254" s="3">
        <v>1517.2</v>
      </c>
      <c r="F254" s="3">
        <v>1517.8</v>
      </c>
      <c r="G254" s="3">
        <v>1528.1</v>
      </c>
      <c r="H254" s="3">
        <v>1527.3</v>
      </c>
      <c r="I254" s="3">
        <v>1523.57</v>
      </c>
      <c r="J254" s="3">
        <v>3217.6</v>
      </c>
      <c r="K254" s="3">
        <v>1114.8499999999999</v>
      </c>
      <c r="L254" s="4">
        <v>6603501</v>
      </c>
      <c r="M254" s="3">
        <v>10060908691</v>
      </c>
      <c r="N254" s="4">
        <v>167255</v>
      </c>
      <c r="O254">
        <f t="shared" si="3"/>
        <v>6.2590591645803138E-3</v>
      </c>
    </row>
    <row r="255" spans="1:15" ht="14.25" customHeight="1" x14ac:dyDescent="0.3">
      <c r="A255" s="2">
        <v>45845</v>
      </c>
      <c r="B255" t="s">
        <v>15</v>
      </c>
      <c r="C255" s="3">
        <v>1526.6</v>
      </c>
      <c r="D255" s="3">
        <v>1544.8</v>
      </c>
      <c r="E255" s="3">
        <v>1525</v>
      </c>
      <c r="F255" s="3">
        <v>1527.3</v>
      </c>
      <c r="G255" s="3">
        <v>1540.5</v>
      </c>
      <c r="H255" s="3">
        <v>1541.5</v>
      </c>
      <c r="I255" s="3">
        <v>1539.06</v>
      </c>
      <c r="J255" s="3">
        <v>3217.6</v>
      </c>
      <c r="K255" s="3">
        <v>1114.8499999999999</v>
      </c>
      <c r="L255" s="4">
        <v>7251074</v>
      </c>
      <c r="M255" s="3">
        <v>11159858745.5</v>
      </c>
      <c r="N255" s="4">
        <v>205134</v>
      </c>
      <c r="O255">
        <f t="shared" si="3"/>
        <v>9.2974530216722619E-3</v>
      </c>
    </row>
    <row r="256" spans="1:15" ht="14.25" customHeight="1" x14ac:dyDescent="0.3">
      <c r="A256" s="2">
        <v>45846</v>
      </c>
      <c r="B256" t="s">
        <v>15</v>
      </c>
      <c r="C256" s="3">
        <v>1536</v>
      </c>
      <c r="D256" s="3">
        <v>1544.9</v>
      </c>
      <c r="E256" s="3">
        <v>1530.2</v>
      </c>
      <c r="F256" s="3">
        <v>1541.5</v>
      </c>
      <c r="G256" s="3">
        <v>1538</v>
      </c>
      <c r="H256" s="3">
        <v>1537.6</v>
      </c>
      <c r="I256" s="3">
        <v>1536.23</v>
      </c>
      <c r="J256" s="3">
        <v>3217.6</v>
      </c>
      <c r="K256" s="3">
        <v>1114.8499999999999</v>
      </c>
      <c r="L256" s="4">
        <v>7171261</v>
      </c>
      <c r="M256" s="3">
        <v>11016684351.6</v>
      </c>
      <c r="N256" s="4">
        <v>191265</v>
      </c>
      <c r="O256">
        <f t="shared" si="3"/>
        <v>-2.5300032435939613E-3</v>
      </c>
    </row>
    <row r="257" spans="1:15" ht="14.25" customHeight="1" x14ac:dyDescent="0.3">
      <c r="A257" s="2">
        <v>45847</v>
      </c>
      <c r="B257" t="s">
        <v>15</v>
      </c>
      <c r="C257" s="3">
        <v>1536.7</v>
      </c>
      <c r="D257" s="3">
        <v>1551</v>
      </c>
      <c r="E257" s="3">
        <v>1510.1</v>
      </c>
      <c r="F257" s="3">
        <v>1537.6</v>
      </c>
      <c r="G257" s="3">
        <v>1520.5</v>
      </c>
      <c r="H257" s="3">
        <v>1519</v>
      </c>
      <c r="I257" s="3">
        <v>1532.97</v>
      </c>
      <c r="J257" s="3">
        <v>3217.6</v>
      </c>
      <c r="K257" s="3">
        <v>1114.8499999999999</v>
      </c>
      <c r="L257" s="4">
        <v>8870660</v>
      </c>
      <c r="M257" s="3">
        <v>13598441338.6</v>
      </c>
      <c r="N257" s="4">
        <v>254524</v>
      </c>
      <c r="O257">
        <f t="shared" si="3"/>
        <v>-1.209677419354833E-2</v>
      </c>
    </row>
    <row r="258" spans="1:15" ht="14.25" customHeight="1" x14ac:dyDescent="0.3">
      <c r="A258" s="2">
        <v>45848</v>
      </c>
      <c r="B258" t="s">
        <v>15</v>
      </c>
      <c r="C258" s="3">
        <v>1519.7</v>
      </c>
      <c r="D258" s="3">
        <v>1524.7</v>
      </c>
      <c r="E258" s="3">
        <v>1507.5</v>
      </c>
      <c r="F258" s="3">
        <v>1519</v>
      </c>
      <c r="G258" s="3">
        <v>1515.2</v>
      </c>
      <c r="H258" s="3">
        <v>1517.2</v>
      </c>
      <c r="I258" s="3">
        <v>1516.2</v>
      </c>
      <c r="J258" s="3">
        <v>3217.6</v>
      </c>
      <c r="K258" s="3">
        <v>1114.8499999999999</v>
      </c>
      <c r="L258" s="4">
        <v>10047129</v>
      </c>
      <c r="M258" s="3">
        <v>15233458376.4</v>
      </c>
      <c r="N258" s="4">
        <v>289035</v>
      </c>
      <c r="O258">
        <f t="shared" si="3"/>
        <v>-1.1849901250822611E-3</v>
      </c>
    </row>
    <row r="259" spans="1:15" ht="14.25" customHeight="1" x14ac:dyDescent="0.3">
      <c r="A259" s="2">
        <v>45849</v>
      </c>
      <c r="B259" t="s">
        <v>15</v>
      </c>
      <c r="C259" s="3">
        <v>1512</v>
      </c>
      <c r="D259" s="3">
        <v>1515</v>
      </c>
      <c r="E259" s="3">
        <v>1490.3</v>
      </c>
      <c r="F259" s="3">
        <v>1517.2</v>
      </c>
      <c r="G259" s="3">
        <v>1495</v>
      </c>
      <c r="H259" s="3">
        <v>1495.2</v>
      </c>
      <c r="I259" s="3">
        <v>1496.06</v>
      </c>
      <c r="J259" s="3">
        <v>3217.6</v>
      </c>
      <c r="K259" s="3">
        <v>1114.8499999999999</v>
      </c>
      <c r="L259" s="4">
        <v>7234991</v>
      </c>
      <c r="M259" s="3">
        <v>10823982872.200001</v>
      </c>
      <c r="N259" s="4">
        <v>178490</v>
      </c>
      <c r="O259">
        <f t="shared" ref="O259:O322" si="4">(H259-H258)/H258</f>
        <v>-1.4500395465330872E-2</v>
      </c>
    </row>
    <row r="260" spans="1:15" ht="14.25" customHeight="1" x14ac:dyDescent="0.3">
      <c r="A260" s="2">
        <v>45852</v>
      </c>
      <c r="B260" t="s">
        <v>15</v>
      </c>
      <c r="C260" s="3">
        <v>1492.2</v>
      </c>
      <c r="D260" s="3">
        <v>1500</v>
      </c>
      <c r="E260" s="3">
        <v>1479.1</v>
      </c>
      <c r="F260" s="3">
        <v>1495.2</v>
      </c>
      <c r="G260" s="3">
        <v>1486.4</v>
      </c>
      <c r="H260" s="3">
        <v>1483.7</v>
      </c>
      <c r="I260" s="3">
        <v>1487.76</v>
      </c>
      <c r="J260" s="3">
        <v>3211.7</v>
      </c>
      <c r="K260" s="3">
        <v>1114.8499999999999</v>
      </c>
      <c r="L260" s="4">
        <v>10311846</v>
      </c>
      <c r="M260" s="3">
        <v>15341529534.700001</v>
      </c>
      <c r="N260" s="4">
        <v>186122</v>
      </c>
      <c r="O260">
        <f t="shared" si="4"/>
        <v>-7.6912787586944885E-3</v>
      </c>
    </row>
    <row r="261" spans="1:15" ht="14.25" customHeight="1" x14ac:dyDescent="0.3">
      <c r="A261" s="2">
        <v>45853</v>
      </c>
      <c r="B261" t="s">
        <v>15</v>
      </c>
      <c r="C261" s="3">
        <v>1486.2</v>
      </c>
      <c r="D261" s="3">
        <v>1496.5</v>
      </c>
      <c r="E261" s="3">
        <v>1482.4</v>
      </c>
      <c r="F261" s="3">
        <v>1483.7</v>
      </c>
      <c r="G261" s="3">
        <v>1488.5</v>
      </c>
      <c r="H261" s="3">
        <v>1485.4</v>
      </c>
      <c r="I261" s="3">
        <v>1487.92</v>
      </c>
      <c r="J261" s="3">
        <v>3211.7</v>
      </c>
      <c r="K261" s="3">
        <v>1114.8499999999999</v>
      </c>
      <c r="L261" s="4">
        <v>8132454</v>
      </c>
      <c r="M261" s="3">
        <v>12100448372.9</v>
      </c>
      <c r="N261" s="4">
        <v>173756</v>
      </c>
      <c r="O261">
        <f t="shared" si="4"/>
        <v>1.1457841881782338E-3</v>
      </c>
    </row>
    <row r="262" spans="1:15" ht="14.25" customHeight="1" x14ac:dyDescent="0.3">
      <c r="A262" s="2">
        <v>45854</v>
      </c>
      <c r="B262" t="s">
        <v>15</v>
      </c>
      <c r="C262" s="3">
        <v>1473</v>
      </c>
      <c r="D262" s="3">
        <v>1491</v>
      </c>
      <c r="E262" s="3">
        <v>1471.5</v>
      </c>
      <c r="F262" s="3">
        <v>1485.4</v>
      </c>
      <c r="G262" s="3">
        <v>1486.2</v>
      </c>
      <c r="H262" s="3">
        <v>1485.6</v>
      </c>
      <c r="I262" s="3">
        <v>1481.43</v>
      </c>
      <c r="J262" s="3">
        <v>3211.7</v>
      </c>
      <c r="K262" s="3">
        <v>1114.8499999999999</v>
      </c>
      <c r="L262" s="4">
        <v>10409983</v>
      </c>
      <c r="M262" s="3">
        <v>15421636574.6</v>
      </c>
      <c r="N262" s="4">
        <v>191598</v>
      </c>
      <c r="O262">
        <f t="shared" si="4"/>
        <v>1.3464386697173696E-4</v>
      </c>
    </row>
    <row r="263" spans="1:15" ht="14.25" customHeight="1" x14ac:dyDescent="0.3">
      <c r="A263" s="2">
        <v>45855</v>
      </c>
      <c r="B263" t="s">
        <v>15</v>
      </c>
      <c r="C263" s="3">
        <v>1487.4</v>
      </c>
      <c r="D263" s="3">
        <v>1489.6</v>
      </c>
      <c r="E263" s="3">
        <v>1473.9</v>
      </c>
      <c r="F263" s="3">
        <v>1485.6</v>
      </c>
      <c r="G263" s="3">
        <v>1478.7</v>
      </c>
      <c r="H263" s="3">
        <v>1476.4</v>
      </c>
      <c r="I263" s="3">
        <v>1479.78</v>
      </c>
      <c r="J263" s="3">
        <v>3211.7</v>
      </c>
      <c r="K263" s="3">
        <v>1114.8499999999999</v>
      </c>
      <c r="L263" s="4">
        <v>11854613</v>
      </c>
      <c r="M263" s="3">
        <v>17542205685.799999</v>
      </c>
      <c r="N263" s="4">
        <v>189733</v>
      </c>
      <c r="O263">
        <f t="shared" si="4"/>
        <v>-6.1927840603122099E-3</v>
      </c>
    </row>
    <row r="264" spans="1:15" ht="14.25" customHeight="1" x14ac:dyDescent="0.3">
      <c r="A264" s="2">
        <v>45856</v>
      </c>
      <c r="B264" t="s">
        <v>15</v>
      </c>
      <c r="C264" s="3">
        <v>1484.8</v>
      </c>
      <c r="D264" s="3">
        <v>1484.8</v>
      </c>
      <c r="E264" s="3">
        <v>1469.1</v>
      </c>
      <c r="F264" s="3">
        <v>1476.4</v>
      </c>
      <c r="G264" s="3">
        <v>1476</v>
      </c>
      <c r="H264" s="3">
        <v>1476</v>
      </c>
      <c r="I264" s="3">
        <v>1475.2</v>
      </c>
      <c r="J264" s="3">
        <v>3211.7</v>
      </c>
      <c r="K264" s="3">
        <v>1114.8499999999999</v>
      </c>
      <c r="L264" s="4">
        <v>10296318</v>
      </c>
      <c r="M264" s="3">
        <v>15189104342</v>
      </c>
      <c r="N264" s="4">
        <v>222241</v>
      </c>
      <c r="O264">
        <f t="shared" si="4"/>
        <v>-2.7092928745603559E-4</v>
      </c>
    </row>
    <row r="265" spans="1:15" ht="14.25" customHeight="1" x14ac:dyDescent="0.3">
      <c r="A265" s="2">
        <v>45859</v>
      </c>
      <c r="B265" t="s">
        <v>15</v>
      </c>
      <c r="C265" s="3">
        <v>1465</v>
      </c>
      <c r="D265" s="3">
        <v>1476</v>
      </c>
      <c r="E265" s="3">
        <v>1423.1</v>
      </c>
      <c r="F265" s="3">
        <v>1476</v>
      </c>
      <c r="G265" s="3">
        <v>1428.2</v>
      </c>
      <c r="H265" s="3">
        <v>1428.6</v>
      </c>
      <c r="I265" s="3">
        <v>1435.24</v>
      </c>
      <c r="J265" s="3">
        <v>3079.45</v>
      </c>
      <c r="K265" s="3">
        <v>1114.8499999999999</v>
      </c>
      <c r="L265" s="4">
        <v>22442744</v>
      </c>
      <c r="M265" s="3">
        <v>32210751693.5</v>
      </c>
      <c r="N265" s="4">
        <v>630358</v>
      </c>
      <c r="O265">
        <f t="shared" si="4"/>
        <v>-3.2113821138211443E-2</v>
      </c>
    </row>
    <row r="266" spans="1:15" ht="14.25" customHeight="1" x14ac:dyDescent="0.3">
      <c r="A266" s="2">
        <v>45860</v>
      </c>
      <c r="B266" t="s">
        <v>15</v>
      </c>
      <c r="C266" s="3">
        <v>1427.4</v>
      </c>
      <c r="D266" s="3">
        <v>1431.9</v>
      </c>
      <c r="E266" s="3">
        <v>1410.7</v>
      </c>
      <c r="F266" s="3">
        <v>1428.6</v>
      </c>
      <c r="G266" s="3">
        <v>1413.8</v>
      </c>
      <c r="H266" s="3">
        <v>1412.8</v>
      </c>
      <c r="I266" s="3">
        <v>1417.05</v>
      </c>
      <c r="J266" s="3">
        <v>3079.45</v>
      </c>
      <c r="K266" s="3">
        <v>1114.8499999999999</v>
      </c>
      <c r="L266" s="4">
        <v>20396320</v>
      </c>
      <c r="M266" s="3">
        <v>28902700383.400002</v>
      </c>
      <c r="N266" s="4">
        <v>504145</v>
      </c>
      <c r="O266">
        <f t="shared" si="4"/>
        <v>-1.1059778804423881E-2</v>
      </c>
    </row>
    <row r="267" spans="1:15" ht="14.25" customHeight="1" x14ac:dyDescent="0.3">
      <c r="A267" s="2">
        <v>45861</v>
      </c>
      <c r="B267" t="s">
        <v>15</v>
      </c>
      <c r="C267" s="3">
        <v>1426</v>
      </c>
      <c r="D267" s="3">
        <v>1426</v>
      </c>
      <c r="E267" s="3">
        <v>1414.4</v>
      </c>
      <c r="F267" s="3">
        <v>1412.8</v>
      </c>
      <c r="G267" s="3">
        <v>1425</v>
      </c>
      <c r="H267" s="3">
        <v>1424.6</v>
      </c>
      <c r="I267" s="3">
        <v>1421.41</v>
      </c>
      <c r="J267" s="3">
        <v>3079.45</v>
      </c>
      <c r="K267" s="3">
        <v>1114.8499999999999</v>
      </c>
      <c r="L267" s="4">
        <v>8354596</v>
      </c>
      <c r="M267" s="3">
        <v>11875315134.700001</v>
      </c>
      <c r="N267" s="4">
        <v>225103</v>
      </c>
      <c r="O267">
        <f t="shared" si="4"/>
        <v>8.3522083805209202E-3</v>
      </c>
    </row>
    <row r="268" spans="1:15" ht="14.25" customHeight="1" x14ac:dyDescent="0.3">
      <c r="A268" s="2">
        <v>45862</v>
      </c>
      <c r="B268" t="s">
        <v>15</v>
      </c>
      <c r="C268" s="3">
        <v>1419.2</v>
      </c>
      <c r="D268" s="3">
        <v>1423</v>
      </c>
      <c r="E268" s="3">
        <v>1396</v>
      </c>
      <c r="F268" s="3">
        <v>1424.6</v>
      </c>
      <c r="G268" s="3">
        <v>1402.8</v>
      </c>
      <c r="H268" s="3">
        <v>1402.9</v>
      </c>
      <c r="I268" s="3">
        <v>1407.06</v>
      </c>
      <c r="J268" s="3">
        <v>3079.45</v>
      </c>
      <c r="K268" s="3">
        <v>1114.8499999999999</v>
      </c>
      <c r="L268" s="4">
        <v>14740507</v>
      </c>
      <c r="M268" s="3">
        <v>20740788758.299999</v>
      </c>
      <c r="N268" s="4">
        <v>314670</v>
      </c>
      <c r="O268">
        <f t="shared" si="4"/>
        <v>-1.5232345921662093E-2</v>
      </c>
    </row>
    <row r="269" spans="1:15" ht="14.25" customHeight="1" x14ac:dyDescent="0.3">
      <c r="A269" s="2">
        <v>45863</v>
      </c>
      <c r="B269" t="s">
        <v>15</v>
      </c>
      <c r="C269" s="3">
        <v>1398.9</v>
      </c>
      <c r="D269" s="3">
        <v>1401</v>
      </c>
      <c r="E269" s="3">
        <v>1384.1</v>
      </c>
      <c r="F269" s="3">
        <v>1402.9</v>
      </c>
      <c r="G269" s="3">
        <v>1392.4</v>
      </c>
      <c r="H269" s="3">
        <v>1391.7</v>
      </c>
      <c r="I269" s="3">
        <v>1394.22</v>
      </c>
      <c r="J269" s="3">
        <v>3079.45</v>
      </c>
      <c r="K269" s="3">
        <v>1114.8499999999999</v>
      </c>
      <c r="L269" s="4">
        <v>11854722</v>
      </c>
      <c r="M269" s="3">
        <v>16528044233.5</v>
      </c>
      <c r="N269" s="4">
        <v>237018</v>
      </c>
      <c r="O269">
        <f t="shared" si="4"/>
        <v>-7.9834628270012437E-3</v>
      </c>
    </row>
    <row r="270" spans="1:15" ht="14.25" customHeight="1" x14ac:dyDescent="0.3">
      <c r="A270" s="2">
        <v>45866</v>
      </c>
      <c r="B270" t="s">
        <v>15</v>
      </c>
      <c r="C270" s="3">
        <v>1392.3</v>
      </c>
      <c r="D270" s="3">
        <v>1407.8</v>
      </c>
      <c r="E270" s="3">
        <v>1385</v>
      </c>
      <c r="F270" s="3">
        <v>1391.7</v>
      </c>
      <c r="G270" s="3">
        <v>1387.1</v>
      </c>
      <c r="H270" s="3">
        <v>1387.6</v>
      </c>
      <c r="I270" s="3">
        <v>1394.17</v>
      </c>
      <c r="J270" s="3">
        <v>3079.45</v>
      </c>
      <c r="K270" s="3">
        <v>1114.8499999999999</v>
      </c>
      <c r="L270" s="4">
        <v>7748361</v>
      </c>
      <c r="M270" s="3">
        <v>10802552328.1</v>
      </c>
      <c r="N270" s="4">
        <v>198421</v>
      </c>
      <c r="O270">
        <f t="shared" si="4"/>
        <v>-2.946037220665471E-3</v>
      </c>
    </row>
    <row r="271" spans="1:15" ht="14.25" customHeight="1" x14ac:dyDescent="0.3">
      <c r="A271" s="2">
        <v>45867</v>
      </c>
      <c r="B271" t="s">
        <v>15</v>
      </c>
      <c r="C271" s="3">
        <v>1383</v>
      </c>
      <c r="D271" s="3">
        <v>1420.2</v>
      </c>
      <c r="E271" s="3">
        <v>1383</v>
      </c>
      <c r="F271" s="3">
        <v>1387.6</v>
      </c>
      <c r="G271" s="3">
        <v>1416.6</v>
      </c>
      <c r="H271" s="3">
        <v>1417.1</v>
      </c>
      <c r="I271" s="3">
        <v>1402.99</v>
      </c>
      <c r="J271" s="3">
        <v>3079.45</v>
      </c>
      <c r="K271" s="3">
        <v>1114.8499999999999</v>
      </c>
      <c r="L271" s="4">
        <v>10750072</v>
      </c>
      <c r="M271" s="3">
        <v>15082211933.299999</v>
      </c>
      <c r="N271" s="4">
        <v>187813</v>
      </c>
      <c r="O271">
        <f t="shared" si="4"/>
        <v>2.1259729028538486E-2</v>
      </c>
    </row>
    <row r="272" spans="1:15" ht="14.25" customHeight="1" x14ac:dyDescent="0.3">
      <c r="A272" s="2">
        <v>45868</v>
      </c>
      <c r="B272" t="s">
        <v>15</v>
      </c>
      <c r="C272" s="3">
        <v>1418.1</v>
      </c>
      <c r="D272" s="3">
        <v>1423.3</v>
      </c>
      <c r="E272" s="3">
        <v>1401.3</v>
      </c>
      <c r="F272" s="3">
        <v>1417.1</v>
      </c>
      <c r="G272" s="3">
        <v>1409.7</v>
      </c>
      <c r="H272" s="3">
        <v>1410.1</v>
      </c>
      <c r="I272" s="3">
        <v>1411.5</v>
      </c>
      <c r="J272" s="3">
        <v>3079.45</v>
      </c>
      <c r="K272" s="3">
        <v>1114.8499999999999</v>
      </c>
      <c r="L272" s="4">
        <v>7209849</v>
      </c>
      <c r="M272" s="3">
        <v>10176719970.799999</v>
      </c>
      <c r="N272" s="4">
        <v>167311</v>
      </c>
      <c r="O272">
        <f t="shared" si="4"/>
        <v>-4.9396655140780468E-3</v>
      </c>
    </row>
    <row r="273" spans="1:15" ht="14.25" customHeight="1" x14ac:dyDescent="0.3">
      <c r="A273" s="2">
        <v>45869</v>
      </c>
      <c r="B273" t="s">
        <v>15</v>
      </c>
      <c r="C273" s="3">
        <v>1388.1</v>
      </c>
      <c r="D273" s="3">
        <v>1402.6</v>
      </c>
      <c r="E273" s="3">
        <v>1382.2</v>
      </c>
      <c r="F273" s="3">
        <v>1410.1</v>
      </c>
      <c r="G273" s="3">
        <v>1390</v>
      </c>
      <c r="H273" s="3">
        <v>1390.2</v>
      </c>
      <c r="I273" s="3">
        <v>1392.63</v>
      </c>
      <c r="J273" s="3">
        <v>3079.45</v>
      </c>
      <c r="K273" s="3">
        <v>1114.8499999999999</v>
      </c>
      <c r="L273" s="4">
        <v>17065827</v>
      </c>
      <c r="M273" s="3">
        <v>23766374015.299999</v>
      </c>
      <c r="N273" s="4">
        <v>373516</v>
      </c>
      <c r="O273">
        <f t="shared" si="4"/>
        <v>-1.4112474292603266E-2</v>
      </c>
    </row>
    <row r="274" spans="1:15" ht="14.25" customHeight="1" x14ac:dyDescent="0.3">
      <c r="A274" s="2">
        <v>45870</v>
      </c>
      <c r="B274" t="s">
        <v>15</v>
      </c>
      <c r="C274" s="3">
        <v>1386.9</v>
      </c>
      <c r="D274" s="3">
        <v>1405.9</v>
      </c>
      <c r="E274" s="3">
        <v>1384.3</v>
      </c>
      <c r="F274" s="3">
        <v>1390.2</v>
      </c>
      <c r="G274" s="3">
        <v>1394.1</v>
      </c>
      <c r="H274" s="3">
        <v>1393.7</v>
      </c>
      <c r="I274" s="3">
        <v>1397.47</v>
      </c>
      <c r="J274" s="3">
        <v>3079.45</v>
      </c>
      <c r="K274" s="3">
        <v>1114.8499999999999</v>
      </c>
      <c r="L274" s="4">
        <v>10321171</v>
      </c>
      <c r="M274" s="3">
        <v>14423488951.799999</v>
      </c>
      <c r="N274" s="4">
        <v>208431</v>
      </c>
      <c r="O274">
        <f t="shared" si="4"/>
        <v>2.5176233635448137E-3</v>
      </c>
    </row>
    <row r="275" spans="1:15" ht="14.25" customHeight="1" x14ac:dyDescent="0.3">
      <c r="A275" s="2">
        <v>45873</v>
      </c>
      <c r="B275" t="s">
        <v>15</v>
      </c>
      <c r="C275" s="3">
        <v>1395.1</v>
      </c>
      <c r="D275" s="3">
        <v>1416.1</v>
      </c>
      <c r="E275" s="3">
        <v>1391.7</v>
      </c>
      <c r="F275" s="3">
        <v>1393.7</v>
      </c>
      <c r="G275" s="3">
        <v>1410.2</v>
      </c>
      <c r="H275" s="3">
        <v>1411.5</v>
      </c>
      <c r="I275" s="3">
        <v>1410.61</v>
      </c>
      <c r="J275" s="3">
        <v>3079.45</v>
      </c>
      <c r="K275" s="3">
        <v>1114.8499999999999</v>
      </c>
      <c r="L275" s="4">
        <v>6312820</v>
      </c>
      <c r="M275" s="3">
        <v>8904907900.6000004</v>
      </c>
      <c r="N275" s="4">
        <v>188246</v>
      </c>
      <c r="O275">
        <f t="shared" si="4"/>
        <v>1.2771758628112187E-2</v>
      </c>
    </row>
    <row r="276" spans="1:15" ht="14.25" customHeight="1" x14ac:dyDescent="0.3">
      <c r="A276" s="2">
        <v>45874</v>
      </c>
      <c r="B276" t="s">
        <v>15</v>
      </c>
      <c r="C276" s="3">
        <v>1411</v>
      </c>
      <c r="D276" s="3">
        <v>1411</v>
      </c>
      <c r="E276" s="3">
        <v>1388.1</v>
      </c>
      <c r="F276" s="3">
        <v>1411.5</v>
      </c>
      <c r="G276" s="3">
        <v>1390</v>
      </c>
      <c r="H276" s="3">
        <v>1391.7</v>
      </c>
      <c r="I276" s="3">
        <v>1394.5</v>
      </c>
      <c r="J276" s="3">
        <v>3079.45</v>
      </c>
      <c r="K276" s="3">
        <v>1114.8499999999999</v>
      </c>
      <c r="L276" s="4">
        <v>9315972</v>
      </c>
      <c r="M276" s="3">
        <v>12991163046.799999</v>
      </c>
      <c r="N276" s="4">
        <v>238858</v>
      </c>
      <c r="O276">
        <f t="shared" si="4"/>
        <v>-1.4027630180658841E-2</v>
      </c>
    </row>
    <row r="277" spans="1:15" ht="14.25" customHeight="1" x14ac:dyDescent="0.3">
      <c r="A277" s="2">
        <v>45875</v>
      </c>
      <c r="B277" t="s">
        <v>15</v>
      </c>
      <c r="C277" s="3">
        <v>1391.9</v>
      </c>
      <c r="D277" s="3">
        <v>1395.9</v>
      </c>
      <c r="E277" s="3">
        <v>1383.3</v>
      </c>
      <c r="F277" s="3">
        <v>1391.7</v>
      </c>
      <c r="G277" s="3">
        <v>1393</v>
      </c>
      <c r="H277" s="3">
        <v>1392.8</v>
      </c>
      <c r="I277" s="3">
        <v>1390.57</v>
      </c>
      <c r="J277" s="3">
        <v>3079.45</v>
      </c>
      <c r="K277" s="3">
        <v>1114.8499999999999</v>
      </c>
      <c r="L277" s="4">
        <v>5834312</v>
      </c>
      <c r="M277" s="3">
        <v>8113006686</v>
      </c>
      <c r="N277" s="4">
        <v>156725</v>
      </c>
      <c r="O277">
        <f t="shared" si="4"/>
        <v>7.9040022993454701E-4</v>
      </c>
    </row>
    <row r="278" spans="1:15" ht="14.25" customHeight="1" x14ac:dyDescent="0.3">
      <c r="A278" s="2">
        <v>45876</v>
      </c>
      <c r="B278" t="s">
        <v>15</v>
      </c>
      <c r="C278" s="3">
        <v>1387.7</v>
      </c>
      <c r="D278" s="3">
        <v>1393.7</v>
      </c>
      <c r="E278" s="3">
        <v>1366</v>
      </c>
      <c r="F278" s="3">
        <v>1392.8</v>
      </c>
      <c r="G278" s="3">
        <v>1391</v>
      </c>
      <c r="H278" s="3">
        <v>1389.4</v>
      </c>
      <c r="I278" s="3">
        <v>1381.52</v>
      </c>
      <c r="J278" s="3">
        <v>3079.45</v>
      </c>
      <c r="K278" s="3">
        <v>1114.8499999999999</v>
      </c>
      <c r="L278" s="4">
        <v>9976705</v>
      </c>
      <c r="M278" s="3">
        <v>13783047743.5</v>
      </c>
      <c r="N278" s="4">
        <v>293767</v>
      </c>
      <c r="O278">
        <f t="shared" si="4"/>
        <v>-2.4411257897758928E-3</v>
      </c>
    </row>
    <row r="279" spans="1:15" ht="14.25" customHeight="1" x14ac:dyDescent="0.3">
      <c r="A279" s="2">
        <v>45877</v>
      </c>
      <c r="B279" t="s">
        <v>15</v>
      </c>
      <c r="C279" s="3">
        <v>1385</v>
      </c>
      <c r="D279" s="3">
        <v>1397.2</v>
      </c>
      <c r="E279" s="3">
        <v>1365</v>
      </c>
      <c r="F279" s="3">
        <v>1389.4</v>
      </c>
      <c r="G279" s="3">
        <v>1366.2</v>
      </c>
      <c r="H279" s="3">
        <v>1367.8</v>
      </c>
      <c r="I279" s="3">
        <v>1374.93</v>
      </c>
      <c r="J279" s="3">
        <v>3079.45</v>
      </c>
      <c r="K279" s="3">
        <v>1114.8499999999999</v>
      </c>
      <c r="L279" s="4">
        <v>8793606</v>
      </c>
      <c r="M279" s="3">
        <v>12090591567.6</v>
      </c>
      <c r="N279" s="4">
        <v>208137</v>
      </c>
      <c r="O279">
        <f t="shared" si="4"/>
        <v>-1.554627896933938E-2</v>
      </c>
    </row>
    <row r="280" spans="1:15" ht="14.25" customHeight="1" x14ac:dyDescent="0.3">
      <c r="A280" s="2">
        <v>45880</v>
      </c>
      <c r="B280" t="s">
        <v>15</v>
      </c>
      <c r="C280" s="3">
        <v>1370</v>
      </c>
      <c r="D280" s="3">
        <v>1388</v>
      </c>
      <c r="E280" s="3">
        <v>1361.2</v>
      </c>
      <c r="F280" s="3">
        <v>1367.8</v>
      </c>
      <c r="G280" s="3">
        <v>1384.6</v>
      </c>
      <c r="H280" s="3">
        <v>1386.2</v>
      </c>
      <c r="I280" s="3">
        <v>1375.78</v>
      </c>
      <c r="J280" s="3">
        <v>3079.45</v>
      </c>
      <c r="K280" s="3">
        <v>1114.8499999999999</v>
      </c>
      <c r="L280" s="4">
        <v>9997486</v>
      </c>
      <c r="M280" s="3">
        <v>13754351256.5</v>
      </c>
      <c r="N280" s="4">
        <v>226304</v>
      </c>
      <c r="O280">
        <f t="shared" si="4"/>
        <v>1.3452259102207991E-2</v>
      </c>
    </row>
    <row r="281" spans="1:15" ht="14.25" customHeight="1" x14ac:dyDescent="0.3">
      <c r="A281" s="2">
        <v>45881</v>
      </c>
      <c r="B281" t="s">
        <v>15</v>
      </c>
      <c r="C281" s="3">
        <v>1381.9</v>
      </c>
      <c r="D281" s="3">
        <v>1401.9</v>
      </c>
      <c r="E281" s="3">
        <v>1375.2</v>
      </c>
      <c r="F281" s="3">
        <v>1386.2</v>
      </c>
      <c r="G281" s="3">
        <v>1381</v>
      </c>
      <c r="H281" s="3">
        <v>1380.4</v>
      </c>
      <c r="I281" s="3">
        <v>1386.76</v>
      </c>
      <c r="J281" s="3">
        <v>3079.45</v>
      </c>
      <c r="K281" s="3">
        <v>1114.8499999999999</v>
      </c>
      <c r="L281" s="4">
        <v>12244664</v>
      </c>
      <c r="M281" s="3">
        <v>16980368560.1</v>
      </c>
      <c r="N281" s="4">
        <v>179433</v>
      </c>
      <c r="O281">
        <f t="shared" si="4"/>
        <v>-4.1841004184100085E-3</v>
      </c>
    </row>
    <row r="282" spans="1:15" ht="14.25" customHeight="1" x14ac:dyDescent="0.3">
      <c r="A282" s="2">
        <v>45882</v>
      </c>
      <c r="B282" t="s">
        <v>15</v>
      </c>
      <c r="C282" s="3">
        <v>1388</v>
      </c>
      <c r="D282" s="3">
        <v>1391.8</v>
      </c>
      <c r="E282" s="3">
        <v>1377.5</v>
      </c>
      <c r="F282" s="3">
        <v>1380.4</v>
      </c>
      <c r="G282" s="3">
        <v>1384</v>
      </c>
      <c r="H282" s="3">
        <v>1382.6</v>
      </c>
      <c r="I282" s="3">
        <v>1384.19</v>
      </c>
      <c r="J282" s="3">
        <v>3079.45</v>
      </c>
      <c r="K282" s="3">
        <v>1114.8499999999999</v>
      </c>
      <c r="L282" s="4">
        <v>7457021</v>
      </c>
      <c r="M282" s="3">
        <v>10321969058.700001</v>
      </c>
      <c r="N282" s="4">
        <v>208576</v>
      </c>
      <c r="O282">
        <f t="shared" si="4"/>
        <v>1.5937409446535916E-3</v>
      </c>
    </row>
    <row r="283" spans="1:15" ht="14.25" customHeight="1" x14ac:dyDescent="0.3">
      <c r="A283" s="2">
        <v>45883</v>
      </c>
      <c r="B283" t="s">
        <v>15</v>
      </c>
      <c r="C283" s="3">
        <v>1377.3</v>
      </c>
      <c r="D283" s="3">
        <v>1380.7</v>
      </c>
      <c r="E283" s="3">
        <v>1370.1</v>
      </c>
      <c r="F283" s="3">
        <v>1382.6</v>
      </c>
      <c r="G283" s="3">
        <v>1372.9</v>
      </c>
      <c r="H283" s="3">
        <v>1373.8</v>
      </c>
      <c r="I283" s="3">
        <v>1375.17</v>
      </c>
      <c r="J283" s="3">
        <v>3079.45</v>
      </c>
      <c r="K283" s="3">
        <v>1114.8499999999999</v>
      </c>
      <c r="L283" s="4">
        <v>7126128</v>
      </c>
      <c r="M283" s="3">
        <v>9799629519.8999996</v>
      </c>
      <c r="N283" s="4">
        <v>175588</v>
      </c>
      <c r="O283">
        <f t="shared" si="4"/>
        <v>-6.3648199045276688E-3</v>
      </c>
    </row>
    <row r="284" spans="1:15" ht="14.25" customHeight="1" x14ac:dyDescent="0.3">
      <c r="A284" s="2">
        <v>45887</v>
      </c>
      <c r="B284" t="s">
        <v>15</v>
      </c>
      <c r="C284" s="3">
        <v>1390</v>
      </c>
      <c r="D284" s="3">
        <v>1394.9</v>
      </c>
      <c r="E284" s="3">
        <v>1377</v>
      </c>
      <c r="F284" s="3">
        <v>1373.8</v>
      </c>
      <c r="G284" s="3">
        <v>1382.9</v>
      </c>
      <c r="H284" s="3">
        <v>1381.7</v>
      </c>
      <c r="I284" s="3">
        <v>1384.21</v>
      </c>
      <c r="J284" s="3">
        <v>3079.45</v>
      </c>
      <c r="K284" s="3">
        <v>1114.8499999999999</v>
      </c>
      <c r="L284" s="4">
        <v>11785109</v>
      </c>
      <c r="M284" s="3">
        <v>16313018769.799999</v>
      </c>
      <c r="N284" s="4">
        <v>319844</v>
      </c>
      <c r="O284">
        <f t="shared" si="4"/>
        <v>5.7504731401951462E-3</v>
      </c>
    </row>
    <row r="285" spans="1:15" ht="14.25" customHeight="1" x14ac:dyDescent="0.3">
      <c r="A285" s="2">
        <v>45888</v>
      </c>
      <c r="B285" t="s">
        <v>15</v>
      </c>
      <c r="C285" s="3">
        <v>1390</v>
      </c>
      <c r="D285" s="3">
        <v>1421</v>
      </c>
      <c r="E285" s="3">
        <v>1389.1</v>
      </c>
      <c r="F285" s="3">
        <v>1381.7</v>
      </c>
      <c r="G285" s="3">
        <v>1421</v>
      </c>
      <c r="H285" s="3">
        <v>1420.1</v>
      </c>
      <c r="I285" s="3">
        <v>1413.6</v>
      </c>
      <c r="J285" s="3">
        <v>3079.45</v>
      </c>
      <c r="K285" s="3">
        <v>1114.8499999999999</v>
      </c>
      <c r="L285" s="4">
        <v>14384719</v>
      </c>
      <c r="M285" s="3">
        <v>20334296972.400002</v>
      </c>
      <c r="N285" s="4">
        <v>288664</v>
      </c>
      <c r="O285">
        <f t="shared" si="4"/>
        <v>2.7791850618802825E-2</v>
      </c>
    </row>
    <row r="286" spans="1:15" ht="14.25" customHeight="1" x14ac:dyDescent="0.3">
      <c r="A286" s="2">
        <v>45889</v>
      </c>
      <c r="B286" t="s">
        <v>15</v>
      </c>
      <c r="C286" s="3">
        <v>1413</v>
      </c>
      <c r="D286" s="3">
        <v>1424.9</v>
      </c>
      <c r="E286" s="3">
        <v>1410</v>
      </c>
      <c r="F286" s="3">
        <v>1420.1</v>
      </c>
      <c r="G286" s="3">
        <v>1412</v>
      </c>
      <c r="H286" s="3">
        <v>1413</v>
      </c>
      <c r="I286" s="3">
        <v>1418.58</v>
      </c>
      <c r="J286" s="3">
        <v>3079.45</v>
      </c>
      <c r="K286" s="3">
        <v>1114.8499999999999</v>
      </c>
      <c r="L286" s="4">
        <v>8725641</v>
      </c>
      <c r="M286" s="3">
        <v>12377983949.700001</v>
      </c>
      <c r="N286" s="4">
        <v>196554</v>
      </c>
      <c r="O286">
        <f t="shared" si="4"/>
        <v>-4.9996479121188009E-3</v>
      </c>
    </row>
    <row r="287" spans="1:15" ht="14.25" customHeight="1" x14ac:dyDescent="0.3">
      <c r="A287" s="2">
        <v>45890</v>
      </c>
      <c r="B287" t="s">
        <v>15</v>
      </c>
      <c r="C287" s="3">
        <v>1425</v>
      </c>
      <c r="D287" s="3">
        <v>1431.9</v>
      </c>
      <c r="E287" s="3">
        <v>1420.3</v>
      </c>
      <c r="F287" s="3">
        <v>1413</v>
      </c>
      <c r="G287" s="3">
        <v>1424.3</v>
      </c>
      <c r="H287" s="3">
        <v>1424.8</v>
      </c>
      <c r="I287" s="3">
        <v>1427.55</v>
      </c>
      <c r="J287" s="3">
        <v>3079.45</v>
      </c>
      <c r="K287" s="3">
        <v>1114.8499999999999</v>
      </c>
      <c r="L287" s="4">
        <v>11021323</v>
      </c>
      <c r="M287" s="3">
        <v>15733474504.4</v>
      </c>
      <c r="N287" s="4">
        <v>231863</v>
      </c>
      <c r="O287">
        <f t="shared" si="4"/>
        <v>8.351026185421058E-3</v>
      </c>
    </row>
    <row r="288" spans="1:15" ht="14.25" customHeight="1" x14ac:dyDescent="0.3">
      <c r="A288" s="2">
        <v>45891</v>
      </c>
      <c r="B288" t="s">
        <v>15</v>
      </c>
      <c r="C288" s="3">
        <v>1420</v>
      </c>
      <c r="D288" s="3">
        <v>1423.4</v>
      </c>
      <c r="E288" s="3">
        <v>1407.9</v>
      </c>
      <c r="F288" s="3">
        <v>1424.8</v>
      </c>
      <c r="G288" s="3">
        <v>1409.9</v>
      </c>
      <c r="H288" s="3">
        <v>1409.2</v>
      </c>
      <c r="I288" s="3">
        <v>1414</v>
      </c>
      <c r="J288" s="3">
        <v>3079.45</v>
      </c>
      <c r="K288" s="3">
        <v>1114.8499999999999</v>
      </c>
      <c r="L288" s="4">
        <v>5818868</v>
      </c>
      <c r="M288" s="3">
        <v>8227876997.3000002</v>
      </c>
      <c r="N288" s="4">
        <v>137165</v>
      </c>
      <c r="O288">
        <f t="shared" si="4"/>
        <v>-1.0948905109488987E-2</v>
      </c>
    </row>
    <row r="289" spans="1:15" ht="14.25" customHeight="1" x14ac:dyDescent="0.3">
      <c r="A289" s="2">
        <v>45894</v>
      </c>
      <c r="B289" t="s">
        <v>15</v>
      </c>
      <c r="C289" s="3">
        <v>1414.7</v>
      </c>
      <c r="D289" s="3">
        <v>1419.5</v>
      </c>
      <c r="E289" s="3">
        <v>1405.7</v>
      </c>
      <c r="F289" s="3">
        <v>1409.2</v>
      </c>
      <c r="G289" s="3">
        <v>1413.7</v>
      </c>
      <c r="H289" s="3">
        <v>1412.6</v>
      </c>
      <c r="I289" s="3">
        <v>1412.48</v>
      </c>
      <c r="J289" s="3">
        <v>3079.45</v>
      </c>
      <c r="K289" s="3">
        <v>1114.8499999999999</v>
      </c>
      <c r="L289" s="4">
        <v>5979407</v>
      </c>
      <c r="M289" s="3">
        <v>8445789682.3000002</v>
      </c>
      <c r="N289" s="4">
        <v>184067</v>
      </c>
      <c r="O289">
        <f t="shared" si="4"/>
        <v>2.4127164348565593E-3</v>
      </c>
    </row>
    <row r="290" spans="1:15" ht="14.25" customHeight="1" x14ac:dyDescent="0.3">
      <c r="A290" s="2">
        <v>45895</v>
      </c>
      <c r="B290" t="s">
        <v>15</v>
      </c>
      <c r="C290" s="3">
        <v>1408</v>
      </c>
      <c r="D290" s="3">
        <v>1410</v>
      </c>
      <c r="E290" s="3">
        <v>1381.6</v>
      </c>
      <c r="F290" s="3">
        <v>1412.6</v>
      </c>
      <c r="G290" s="3">
        <v>1383.8</v>
      </c>
      <c r="H290" s="3">
        <v>1384.9</v>
      </c>
      <c r="I290" s="3">
        <v>1390.78</v>
      </c>
      <c r="J290" s="3">
        <v>3079.45</v>
      </c>
      <c r="K290" s="3">
        <v>1114.8499999999999</v>
      </c>
      <c r="L290" s="4">
        <v>12145259</v>
      </c>
      <c r="M290" s="3">
        <v>16891359345.299999</v>
      </c>
      <c r="N290" s="4">
        <v>201578</v>
      </c>
      <c r="O290">
        <f t="shared" si="4"/>
        <v>-1.9609231204870323E-2</v>
      </c>
    </row>
    <row r="291" spans="1:15" ht="14.25" customHeight="1" x14ac:dyDescent="0.3">
      <c r="A291" s="2">
        <v>45897</v>
      </c>
      <c r="B291" t="s">
        <v>15</v>
      </c>
      <c r="C291" s="3">
        <v>1389.9</v>
      </c>
      <c r="D291" s="3">
        <v>1392.2</v>
      </c>
      <c r="E291" s="3">
        <v>1366.5</v>
      </c>
      <c r="F291" s="3">
        <v>1384.9</v>
      </c>
      <c r="G291" s="3">
        <v>1390.9</v>
      </c>
      <c r="H291" s="3">
        <v>1385.9</v>
      </c>
      <c r="I291" s="3">
        <v>1380.78</v>
      </c>
      <c r="J291" s="3">
        <v>3079.45</v>
      </c>
      <c r="K291" s="3">
        <v>1114.8499999999999</v>
      </c>
      <c r="L291" s="4">
        <v>13161813</v>
      </c>
      <c r="M291" s="3">
        <v>18173599832</v>
      </c>
      <c r="N291" s="4">
        <v>252423</v>
      </c>
      <c r="O291">
        <f t="shared" si="4"/>
        <v>7.2207379594194522E-4</v>
      </c>
    </row>
    <row r="292" spans="1:15" ht="14.25" customHeight="1" x14ac:dyDescent="0.3">
      <c r="A292" s="2">
        <v>45898</v>
      </c>
      <c r="B292" t="s">
        <v>15</v>
      </c>
      <c r="C292" s="3">
        <v>1381.1</v>
      </c>
      <c r="D292" s="3">
        <v>1403.5</v>
      </c>
      <c r="E292" s="3">
        <v>1350</v>
      </c>
      <c r="F292" s="3">
        <v>1385.9</v>
      </c>
      <c r="G292" s="3">
        <v>1356</v>
      </c>
      <c r="H292" s="3">
        <v>1357.2</v>
      </c>
      <c r="I292" s="3">
        <v>1375.14</v>
      </c>
      <c r="J292" s="3">
        <v>3079.45</v>
      </c>
      <c r="K292" s="3">
        <v>1114.8499999999999</v>
      </c>
      <c r="L292" s="4">
        <v>18758842</v>
      </c>
      <c r="M292" s="3">
        <v>25796085387.599998</v>
      </c>
      <c r="N292" s="4">
        <v>348532</v>
      </c>
      <c r="O292">
        <f t="shared" si="4"/>
        <v>-2.0708564831517458E-2</v>
      </c>
    </row>
    <row r="293" spans="1:15" ht="14.25" customHeight="1" x14ac:dyDescent="0.3">
      <c r="A293" s="2">
        <v>45901</v>
      </c>
      <c r="B293" t="s">
        <v>15</v>
      </c>
      <c r="C293" s="3">
        <v>1356</v>
      </c>
      <c r="D293" s="3">
        <v>1363.2</v>
      </c>
      <c r="E293" s="3">
        <v>1340.6</v>
      </c>
      <c r="F293" s="3">
        <v>1357.2</v>
      </c>
      <c r="G293" s="3">
        <v>1355</v>
      </c>
      <c r="H293" s="3">
        <v>1353.9</v>
      </c>
      <c r="I293" s="3">
        <v>1353.99</v>
      </c>
      <c r="J293" s="3">
        <v>3066.95</v>
      </c>
      <c r="K293" s="3">
        <v>1114.8499999999999</v>
      </c>
      <c r="L293" s="4">
        <v>11232238</v>
      </c>
      <c r="M293" s="3">
        <v>15208377268.5</v>
      </c>
      <c r="N293" s="4">
        <v>249574</v>
      </c>
      <c r="O293">
        <f t="shared" si="4"/>
        <v>-2.4314765694075703E-3</v>
      </c>
    </row>
    <row r="294" spans="1:15" ht="14.25" customHeight="1" x14ac:dyDescent="0.3">
      <c r="A294" s="2">
        <v>45902</v>
      </c>
      <c r="B294" t="s">
        <v>15</v>
      </c>
      <c r="C294" s="3">
        <v>1354.8</v>
      </c>
      <c r="D294" s="3">
        <v>1384.5</v>
      </c>
      <c r="E294" s="3">
        <v>1354.5</v>
      </c>
      <c r="F294" s="3">
        <v>1353.9</v>
      </c>
      <c r="G294" s="3">
        <v>1367.5</v>
      </c>
      <c r="H294" s="3">
        <v>1366.5</v>
      </c>
      <c r="I294" s="3">
        <v>1374.28</v>
      </c>
      <c r="J294" s="3">
        <v>3066.95</v>
      </c>
      <c r="K294" s="3">
        <v>1114.8499999999999</v>
      </c>
      <c r="L294" s="4">
        <v>11517006</v>
      </c>
      <c r="M294" s="3">
        <v>15827620364.299999</v>
      </c>
      <c r="N294" s="4">
        <v>235433</v>
      </c>
      <c r="O294">
        <f t="shared" si="4"/>
        <v>9.3064480389983811E-3</v>
      </c>
    </row>
    <row r="295" spans="1:15" ht="14.25" customHeight="1" x14ac:dyDescent="0.3">
      <c r="A295" s="2">
        <v>45903</v>
      </c>
      <c r="B295" t="s">
        <v>15</v>
      </c>
      <c r="C295" s="3">
        <v>1369.7</v>
      </c>
      <c r="D295" s="3">
        <v>1376.5</v>
      </c>
      <c r="E295" s="3">
        <v>1360.5</v>
      </c>
      <c r="F295" s="3">
        <v>1366.5</v>
      </c>
      <c r="G295" s="3">
        <v>1372</v>
      </c>
      <c r="H295" s="3">
        <v>1372.6</v>
      </c>
      <c r="I295" s="3">
        <v>1368.85</v>
      </c>
      <c r="J295" s="3">
        <v>3066.95</v>
      </c>
      <c r="K295" s="3">
        <v>1114.8499999999999</v>
      </c>
      <c r="L295" s="4">
        <v>7847563</v>
      </c>
      <c r="M295" s="3">
        <v>10742161678.4</v>
      </c>
      <c r="N295" s="4">
        <v>209277</v>
      </c>
      <c r="O295">
        <f t="shared" si="4"/>
        <v>4.4639590193925422E-3</v>
      </c>
    </row>
    <row r="296" spans="1:15" ht="14.25" customHeight="1" x14ac:dyDescent="0.3">
      <c r="A296" s="2">
        <v>45904</v>
      </c>
      <c r="B296" t="s">
        <v>15</v>
      </c>
      <c r="C296" s="3">
        <v>1371.8</v>
      </c>
      <c r="D296" s="3">
        <v>1374</v>
      </c>
      <c r="E296" s="3">
        <v>1357.1</v>
      </c>
      <c r="F296" s="3">
        <v>1372.6</v>
      </c>
      <c r="G296" s="3">
        <v>1359.1</v>
      </c>
      <c r="H296" s="3">
        <v>1359.3</v>
      </c>
      <c r="I296" s="3">
        <v>1363.97</v>
      </c>
      <c r="J296" s="3">
        <v>3066.95</v>
      </c>
      <c r="K296" s="3">
        <v>1114.8499999999999</v>
      </c>
      <c r="L296" s="4">
        <v>13223177</v>
      </c>
      <c r="M296" s="3">
        <v>18035988833.700001</v>
      </c>
      <c r="N296" s="4">
        <v>200473</v>
      </c>
      <c r="O296">
        <f t="shared" si="4"/>
        <v>-9.6896400990820024E-3</v>
      </c>
    </row>
    <row r="297" spans="1:15" ht="14.25" customHeight="1" x14ac:dyDescent="0.3">
      <c r="A297" s="2">
        <v>45905</v>
      </c>
      <c r="B297" t="s">
        <v>15</v>
      </c>
      <c r="C297" s="3">
        <v>1363</v>
      </c>
      <c r="D297" s="3">
        <v>1381</v>
      </c>
      <c r="E297" s="3">
        <v>1359.3</v>
      </c>
      <c r="F297" s="3">
        <v>1359.3</v>
      </c>
      <c r="G297" s="3">
        <v>1375.7</v>
      </c>
      <c r="H297" s="3">
        <v>1375</v>
      </c>
      <c r="I297" s="3">
        <v>1370.36</v>
      </c>
      <c r="J297" s="3">
        <v>3066.95</v>
      </c>
      <c r="K297" s="3">
        <v>1114.8499999999999</v>
      </c>
      <c r="L297" s="4">
        <v>5777575</v>
      </c>
      <c r="M297" s="3">
        <v>7917373815.6000004</v>
      </c>
      <c r="N297" s="4">
        <v>142951</v>
      </c>
      <c r="O297">
        <f t="shared" si="4"/>
        <v>1.1550062532185717E-2</v>
      </c>
    </row>
    <row r="298" spans="1:15" ht="14.25" customHeight="1" x14ac:dyDescent="0.3">
      <c r="A298" s="2">
        <v>45908</v>
      </c>
      <c r="B298" t="s">
        <v>15</v>
      </c>
      <c r="C298" s="3">
        <v>1380</v>
      </c>
      <c r="D298" s="3">
        <v>1386</v>
      </c>
      <c r="E298" s="3">
        <v>1372.4</v>
      </c>
      <c r="F298" s="3">
        <v>1375</v>
      </c>
      <c r="G298" s="3">
        <v>1378.9</v>
      </c>
      <c r="H298" s="3">
        <v>1378.5</v>
      </c>
      <c r="I298" s="3">
        <v>1379.43</v>
      </c>
      <c r="J298" s="3">
        <v>3066.95</v>
      </c>
      <c r="K298" s="3">
        <v>1114.8499999999999</v>
      </c>
      <c r="L298" s="4">
        <v>6986720</v>
      </c>
      <c r="M298" s="3">
        <v>9637680456.6000004</v>
      </c>
      <c r="N298" s="4">
        <v>131052</v>
      </c>
      <c r="O298">
        <f t="shared" si="4"/>
        <v>2.5454545454545456E-3</v>
      </c>
    </row>
    <row r="299" spans="1:15" ht="14.25" customHeight="1" x14ac:dyDescent="0.3">
      <c r="A299" s="2">
        <v>45909</v>
      </c>
      <c r="B299" t="s">
        <v>15</v>
      </c>
      <c r="C299" s="3">
        <v>1376.6</v>
      </c>
      <c r="D299" s="3">
        <v>1381.2</v>
      </c>
      <c r="E299" s="3">
        <v>1368.7</v>
      </c>
      <c r="F299" s="3">
        <v>1378.5</v>
      </c>
      <c r="G299" s="3">
        <v>1376.1</v>
      </c>
      <c r="H299" s="3">
        <v>1376.2</v>
      </c>
      <c r="I299" s="3">
        <v>1375.44</v>
      </c>
      <c r="J299" s="3">
        <v>3066.95</v>
      </c>
      <c r="K299" s="3">
        <v>1114.8499999999999</v>
      </c>
      <c r="L299" s="4">
        <v>9754452</v>
      </c>
      <c r="M299" s="3">
        <v>13416675656.700001</v>
      </c>
      <c r="N299" s="4">
        <v>209637</v>
      </c>
      <c r="O299">
        <f t="shared" si="4"/>
        <v>-1.6684802321363472E-3</v>
      </c>
    </row>
    <row r="300" spans="1:15" ht="14.25" customHeight="1" x14ac:dyDescent="0.3">
      <c r="A300" s="2">
        <v>45910</v>
      </c>
      <c r="B300" t="s">
        <v>15</v>
      </c>
      <c r="C300" s="3">
        <v>1383.9</v>
      </c>
      <c r="D300" s="3">
        <v>1388.5</v>
      </c>
      <c r="E300" s="3">
        <v>1374.1</v>
      </c>
      <c r="F300" s="3">
        <v>1376.2</v>
      </c>
      <c r="G300" s="3">
        <v>1377.5</v>
      </c>
      <c r="H300" s="3">
        <v>1377</v>
      </c>
      <c r="I300" s="3">
        <v>1380.12</v>
      </c>
      <c r="J300" s="3">
        <v>3066.95</v>
      </c>
      <c r="K300" s="3">
        <v>1114.8499999999999</v>
      </c>
      <c r="L300" s="4">
        <v>7790815</v>
      </c>
      <c r="M300" s="3">
        <v>10752266849.200001</v>
      </c>
      <c r="N300" s="4">
        <v>222655</v>
      </c>
      <c r="O300">
        <f t="shared" si="4"/>
        <v>5.8131085598020233E-4</v>
      </c>
    </row>
    <row r="301" spans="1:15" ht="14.25" customHeight="1" x14ac:dyDescent="0.3">
      <c r="A301" s="2">
        <v>45911</v>
      </c>
      <c r="B301" t="s">
        <v>15</v>
      </c>
      <c r="C301" s="3">
        <v>1376</v>
      </c>
      <c r="D301" s="3">
        <v>1385.5</v>
      </c>
      <c r="E301" s="3">
        <v>1375</v>
      </c>
      <c r="F301" s="3">
        <v>1377</v>
      </c>
      <c r="G301" s="3">
        <v>1382.1</v>
      </c>
      <c r="H301" s="3">
        <v>1383.3</v>
      </c>
      <c r="I301" s="3">
        <v>1382.49</v>
      </c>
      <c r="J301" s="3">
        <v>3066.95</v>
      </c>
      <c r="K301" s="3">
        <v>1114.8499999999999</v>
      </c>
      <c r="L301" s="4">
        <v>9766072</v>
      </c>
      <c r="M301" s="3">
        <v>13501479258.5</v>
      </c>
      <c r="N301" s="4">
        <v>173431</v>
      </c>
      <c r="O301">
        <f t="shared" si="4"/>
        <v>4.5751633986927777E-3</v>
      </c>
    </row>
    <row r="302" spans="1:15" ht="14.25" customHeight="1" x14ac:dyDescent="0.3">
      <c r="A302" s="2">
        <v>45912</v>
      </c>
      <c r="B302" t="s">
        <v>15</v>
      </c>
      <c r="C302" s="3">
        <v>1383.3</v>
      </c>
      <c r="D302" s="3">
        <v>1396.3</v>
      </c>
      <c r="E302" s="3">
        <v>1380.5</v>
      </c>
      <c r="F302" s="3">
        <v>1383.3</v>
      </c>
      <c r="G302" s="3">
        <v>1395</v>
      </c>
      <c r="H302" s="3">
        <v>1395</v>
      </c>
      <c r="I302" s="3">
        <v>1392.69</v>
      </c>
      <c r="J302" s="3">
        <v>3066.95</v>
      </c>
      <c r="K302" s="3">
        <v>1114.8499999999999</v>
      </c>
      <c r="L302" s="4">
        <v>7403368</v>
      </c>
      <c r="M302" s="3">
        <v>10310608459.5</v>
      </c>
      <c r="N302" s="4">
        <v>156369</v>
      </c>
      <c r="O302">
        <f t="shared" si="4"/>
        <v>8.4580351333767411E-3</v>
      </c>
    </row>
    <row r="303" spans="1:15" ht="14.25" customHeight="1" x14ac:dyDescent="0.3">
      <c r="A303" s="2">
        <v>45915</v>
      </c>
      <c r="B303" t="s">
        <v>15</v>
      </c>
      <c r="C303" s="3">
        <v>1393</v>
      </c>
      <c r="D303" s="3">
        <v>1400.8</v>
      </c>
      <c r="E303" s="3">
        <v>1388.6</v>
      </c>
      <c r="F303" s="3">
        <v>1395</v>
      </c>
      <c r="G303" s="3">
        <v>1399.3</v>
      </c>
      <c r="H303" s="3">
        <v>1399.3</v>
      </c>
      <c r="I303" s="3">
        <v>1395.97</v>
      </c>
      <c r="J303" s="3">
        <v>3066.95</v>
      </c>
      <c r="K303" s="3">
        <v>1114.8499999999999</v>
      </c>
      <c r="L303" s="4">
        <v>5396697</v>
      </c>
      <c r="M303" s="3">
        <v>7533635758.1999998</v>
      </c>
      <c r="N303" s="4">
        <v>130728</v>
      </c>
      <c r="O303">
        <f t="shared" si="4"/>
        <v>3.0824372759856306E-3</v>
      </c>
    </row>
    <row r="304" spans="1:15" ht="14.25" customHeight="1" x14ac:dyDescent="0.3">
      <c r="A304" s="2">
        <v>45916</v>
      </c>
      <c r="B304" t="s">
        <v>15</v>
      </c>
      <c r="C304" s="3">
        <v>1404.7</v>
      </c>
      <c r="D304" s="3">
        <v>1408</v>
      </c>
      <c r="E304" s="3">
        <v>1398.2</v>
      </c>
      <c r="F304" s="3">
        <v>1399.3</v>
      </c>
      <c r="G304" s="3">
        <v>1405.9</v>
      </c>
      <c r="H304" s="3">
        <v>1405.3</v>
      </c>
      <c r="I304" s="3">
        <v>1404</v>
      </c>
      <c r="J304" s="3">
        <v>3066.95</v>
      </c>
      <c r="K304" s="3">
        <v>1114.8499999999999</v>
      </c>
      <c r="L304" s="4">
        <v>8686961</v>
      </c>
      <c r="M304" s="3">
        <v>12196451860.1</v>
      </c>
      <c r="N304" s="4">
        <v>170452</v>
      </c>
      <c r="O304">
        <f t="shared" si="4"/>
        <v>4.2878582148216963E-3</v>
      </c>
    </row>
    <row r="305" spans="1:15" ht="14.25" customHeight="1" x14ac:dyDescent="0.3">
      <c r="A305" s="2">
        <v>45917</v>
      </c>
      <c r="B305" t="s">
        <v>15</v>
      </c>
      <c r="C305" s="3">
        <v>1407</v>
      </c>
      <c r="D305" s="3">
        <v>1416.2</v>
      </c>
      <c r="E305" s="3">
        <v>1406.9</v>
      </c>
      <c r="F305" s="3">
        <v>1405.3</v>
      </c>
      <c r="G305" s="3">
        <v>1413</v>
      </c>
      <c r="H305" s="3">
        <v>1413.8</v>
      </c>
      <c r="I305" s="3">
        <v>1412.05</v>
      </c>
      <c r="J305" s="3">
        <v>3066.95</v>
      </c>
      <c r="K305" s="3">
        <v>1114.8499999999999</v>
      </c>
      <c r="L305" s="4">
        <v>7519417</v>
      </c>
      <c r="M305" s="3">
        <v>10617806261</v>
      </c>
      <c r="N305" s="4">
        <v>189638</v>
      </c>
      <c r="O305">
        <f t="shared" si="4"/>
        <v>6.0485305628691383E-3</v>
      </c>
    </row>
    <row r="306" spans="1:15" ht="14.25" customHeight="1" x14ac:dyDescent="0.3">
      <c r="A306" s="2">
        <v>45918</v>
      </c>
      <c r="B306" t="s">
        <v>15</v>
      </c>
      <c r="C306" s="3">
        <v>1420.4</v>
      </c>
      <c r="D306" s="3">
        <v>1422</v>
      </c>
      <c r="E306" s="3">
        <v>1410.7</v>
      </c>
      <c r="F306" s="3">
        <v>1413.8</v>
      </c>
      <c r="G306" s="3">
        <v>1415</v>
      </c>
      <c r="H306" s="3">
        <v>1415</v>
      </c>
      <c r="I306" s="3">
        <v>1415.31</v>
      </c>
      <c r="J306" s="3">
        <v>3066.95</v>
      </c>
      <c r="K306" s="3">
        <v>1114.8499999999999</v>
      </c>
      <c r="L306" s="4">
        <v>9332642</v>
      </c>
      <c r="M306" s="3">
        <v>13208589778.1</v>
      </c>
      <c r="N306" s="4">
        <v>182559</v>
      </c>
      <c r="O306">
        <f t="shared" si="4"/>
        <v>8.487763474324837E-4</v>
      </c>
    </row>
    <row r="307" spans="1:15" ht="14.25" customHeight="1" x14ac:dyDescent="0.3">
      <c r="A307" s="2">
        <v>45919</v>
      </c>
      <c r="B307" t="s">
        <v>15</v>
      </c>
      <c r="C307" s="3">
        <v>1414.9</v>
      </c>
      <c r="D307" s="3">
        <v>1417</v>
      </c>
      <c r="E307" s="3">
        <v>1403.6</v>
      </c>
      <c r="F307" s="3">
        <v>1415</v>
      </c>
      <c r="G307" s="3">
        <v>1407.6</v>
      </c>
      <c r="H307" s="3">
        <v>1407.4</v>
      </c>
      <c r="I307" s="3">
        <v>1408.43</v>
      </c>
      <c r="J307" s="3">
        <v>3066.95</v>
      </c>
      <c r="K307" s="3">
        <v>1114.8499999999999</v>
      </c>
      <c r="L307" s="4">
        <v>13461373</v>
      </c>
      <c r="M307" s="3">
        <v>18959342246.099998</v>
      </c>
      <c r="N307" s="4">
        <v>143644</v>
      </c>
      <c r="O307">
        <f t="shared" si="4"/>
        <v>-5.371024734982268E-3</v>
      </c>
    </row>
    <row r="308" spans="1:15" ht="14.25" customHeight="1" x14ac:dyDescent="0.3">
      <c r="A308" s="2">
        <v>45922</v>
      </c>
      <c r="B308" t="s">
        <v>15</v>
      </c>
      <c r="C308" s="3">
        <v>1403.9</v>
      </c>
      <c r="D308" s="3">
        <v>1410.7</v>
      </c>
      <c r="E308" s="3">
        <v>1388</v>
      </c>
      <c r="F308" s="3">
        <v>1407.4</v>
      </c>
      <c r="G308" s="3">
        <v>1390.9</v>
      </c>
      <c r="H308" s="3">
        <v>1390.6</v>
      </c>
      <c r="I308" s="3">
        <v>1400.91</v>
      </c>
      <c r="J308" s="3">
        <v>3066.95</v>
      </c>
      <c r="K308" s="3">
        <v>1114.8499999999999</v>
      </c>
      <c r="L308" s="4">
        <v>7757970</v>
      </c>
      <c r="M308" s="3">
        <v>10868228760.6</v>
      </c>
      <c r="N308" s="4">
        <v>136991</v>
      </c>
      <c r="O308">
        <f t="shared" si="4"/>
        <v>-1.1936904931078712E-2</v>
      </c>
    </row>
    <row r="309" spans="1:15" ht="14.25" customHeight="1" x14ac:dyDescent="0.3">
      <c r="A309" s="2">
        <v>45923</v>
      </c>
      <c r="B309" t="s">
        <v>15</v>
      </c>
      <c r="C309" s="3">
        <v>1391</v>
      </c>
      <c r="D309" s="3">
        <v>1395</v>
      </c>
      <c r="E309" s="3">
        <v>1376.8</v>
      </c>
      <c r="F309" s="3">
        <v>1390.6</v>
      </c>
      <c r="G309" s="3">
        <v>1390.5</v>
      </c>
      <c r="H309" s="3">
        <v>1389.8</v>
      </c>
      <c r="I309" s="3">
        <v>1387.57</v>
      </c>
      <c r="J309" s="3">
        <v>3066.95</v>
      </c>
      <c r="K309" s="3">
        <v>1114.8499999999999</v>
      </c>
      <c r="L309" s="4">
        <v>14014702</v>
      </c>
      <c r="M309" s="3">
        <v>19446355038.700001</v>
      </c>
      <c r="N309" s="4">
        <v>210931</v>
      </c>
      <c r="O309">
        <f t="shared" si="4"/>
        <v>-5.7529124119082016E-4</v>
      </c>
    </row>
    <row r="310" spans="1:15" ht="14.25" customHeight="1" x14ac:dyDescent="0.3">
      <c r="A310" s="2">
        <v>45924</v>
      </c>
      <c r="B310" t="s">
        <v>15</v>
      </c>
      <c r="C310" s="3">
        <v>1385.3</v>
      </c>
      <c r="D310" s="3">
        <v>1396</v>
      </c>
      <c r="E310" s="3">
        <v>1380.4</v>
      </c>
      <c r="F310" s="3">
        <v>1389.8</v>
      </c>
      <c r="G310" s="3">
        <v>1381.1</v>
      </c>
      <c r="H310" s="3">
        <v>1383</v>
      </c>
      <c r="I310" s="3">
        <v>1387.32</v>
      </c>
      <c r="J310" s="3">
        <v>3066.95</v>
      </c>
      <c r="K310" s="3">
        <v>1114.8499999999999</v>
      </c>
      <c r="L310" s="4">
        <v>5922759</v>
      </c>
      <c r="M310" s="3">
        <v>8216778017.5</v>
      </c>
      <c r="N310" s="4">
        <v>120399</v>
      </c>
      <c r="O310">
        <f t="shared" si="4"/>
        <v>-4.8927903295437865E-3</v>
      </c>
    </row>
    <row r="311" spans="1:15" ht="14.25" customHeight="1" x14ac:dyDescent="0.3">
      <c r="A311" s="2">
        <v>45925</v>
      </c>
      <c r="B311" t="s">
        <v>15</v>
      </c>
      <c r="C311" s="3">
        <v>1381.3</v>
      </c>
      <c r="D311" s="3">
        <v>1384.5</v>
      </c>
      <c r="E311" s="3">
        <v>1369</v>
      </c>
      <c r="F311" s="3">
        <v>1383</v>
      </c>
      <c r="G311" s="3">
        <v>1374.8</v>
      </c>
      <c r="H311" s="3">
        <v>1372.4</v>
      </c>
      <c r="I311" s="3">
        <v>1375.53</v>
      </c>
      <c r="J311" s="3">
        <v>3066.95</v>
      </c>
      <c r="K311" s="3">
        <v>1114.8499999999999</v>
      </c>
      <c r="L311" s="4">
        <v>11411143</v>
      </c>
      <c r="M311" s="3">
        <v>15696373894</v>
      </c>
      <c r="N311" s="4">
        <v>155102</v>
      </c>
      <c r="O311">
        <f t="shared" si="4"/>
        <v>-7.6644974692696381E-3</v>
      </c>
    </row>
    <row r="312" spans="1:15" ht="14.25" customHeight="1" x14ac:dyDescent="0.3">
      <c r="A312" s="2">
        <v>45926</v>
      </c>
      <c r="B312" t="s">
        <v>15</v>
      </c>
      <c r="C312" s="3">
        <v>1372</v>
      </c>
      <c r="D312" s="3">
        <v>1382.7</v>
      </c>
      <c r="E312" s="3">
        <v>1366</v>
      </c>
      <c r="F312" s="3">
        <v>1372.4</v>
      </c>
      <c r="G312" s="3">
        <v>1379</v>
      </c>
      <c r="H312" s="3">
        <v>1377.6</v>
      </c>
      <c r="I312" s="3">
        <v>1376.37</v>
      </c>
      <c r="J312" s="3">
        <v>3066.95</v>
      </c>
      <c r="K312" s="3">
        <v>1114.8499999999999</v>
      </c>
      <c r="L312" s="4">
        <v>9879109</v>
      </c>
      <c r="M312" s="3">
        <v>13597342647</v>
      </c>
      <c r="N312" s="4">
        <v>148644</v>
      </c>
      <c r="O312">
        <f t="shared" si="4"/>
        <v>3.7889828038471423E-3</v>
      </c>
    </row>
    <row r="313" spans="1:15" ht="14.25" customHeight="1" x14ac:dyDescent="0.3">
      <c r="A313" s="2">
        <v>45929</v>
      </c>
      <c r="B313" t="s">
        <v>15</v>
      </c>
      <c r="C313" s="3">
        <v>1381.6</v>
      </c>
      <c r="D313" s="3">
        <v>1389</v>
      </c>
      <c r="E313" s="3">
        <v>1368</v>
      </c>
      <c r="F313" s="3">
        <v>1377.6</v>
      </c>
      <c r="G313" s="3">
        <v>1376</v>
      </c>
      <c r="H313" s="3">
        <v>1372.8</v>
      </c>
      <c r="I313" s="3">
        <v>1375.78</v>
      </c>
      <c r="J313" s="3">
        <v>3049.95</v>
      </c>
      <c r="K313" s="3">
        <v>1114.8499999999999</v>
      </c>
      <c r="L313" s="4">
        <v>14231999</v>
      </c>
      <c r="M313" s="3">
        <v>19580110793.700001</v>
      </c>
      <c r="N313" s="4">
        <v>213268</v>
      </c>
      <c r="O313">
        <f t="shared" si="4"/>
        <v>-3.4843205574912562E-3</v>
      </c>
    </row>
    <row r="314" spans="1:15" ht="14.25" customHeight="1" x14ac:dyDescent="0.3">
      <c r="A314" s="2">
        <v>45930</v>
      </c>
      <c r="B314" t="s">
        <v>15</v>
      </c>
      <c r="C314" s="3">
        <v>1377.1</v>
      </c>
      <c r="D314" s="3">
        <v>1377.1</v>
      </c>
      <c r="E314" s="3">
        <v>1362.8</v>
      </c>
      <c r="F314" s="3">
        <v>1372.8</v>
      </c>
      <c r="G314" s="3">
        <v>1364</v>
      </c>
      <c r="H314" s="3">
        <v>1364</v>
      </c>
      <c r="I314" s="3">
        <v>1366.52</v>
      </c>
      <c r="J314" s="3">
        <v>3049.95</v>
      </c>
      <c r="K314" s="3">
        <v>1114.8499999999999</v>
      </c>
      <c r="L314" s="4">
        <v>14604684</v>
      </c>
      <c r="M314" s="3">
        <v>19957582304.900002</v>
      </c>
      <c r="N314" s="4">
        <v>223375</v>
      </c>
      <c r="O314">
        <f t="shared" si="4"/>
        <v>-6.4102564102563771E-3</v>
      </c>
    </row>
    <row r="315" spans="1:15" ht="14.25" customHeight="1" x14ac:dyDescent="0.3">
      <c r="A315" s="2">
        <v>45931</v>
      </c>
      <c r="B315" t="s">
        <v>15</v>
      </c>
      <c r="C315" s="3">
        <v>1367</v>
      </c>
      <c r="D315" s="3">
        <v>1378.6</v>
      </c>
      <c r="E315" s="3">
        <v>1362.7</v>
      </c>
      <c r="F315" s="3">
        <v>1364</v>
      </c>
      <c r="G315" s="3">
        <v>1370</v>
      </c>
      <c r="H315" s="3">
        <v>1368.7</v>
      </c>
      <c r="I315" s="3">
        <v>1369.56</v>
      </c>
      <c r="J315" s="3">
        <v>3049.95</v>
      </c>
      <c r="K315" s="3">
        <v>1114.8499999999999</v>
      </c>
      <c r="L315" s="4">
        <v>12045916</v>
      </c>
      <c r="M315" s="3">
        <v>16497635567.1</v>
      </c>
      <c r="N315" s="4">
        <v>258017</v>
      </c>
      <c r="O315">
        <f t="shared" si="4"/>
        <v>3.4457478005865435E-3</v>
      </c>
    </row>
    <row r="316" spans="1:15" ht="14.25" customHeight="1" x14ac:dyDescent="0.3">
      <c r="A316" s="2">
        <v>45933</v>
      </c>
      <c r="B316" t="s">
        <v>15</v>
      </c>
      <c r="C316" s="3">
        <v>1363.2</v>
      </c>
      <c r="D316" s="3">
        <v>1371.6</v>
      </c>
      <c r="E316" s="3">
        <v>1356.9</v>
      </c>
      <c r="F316" s="3">
        <v>1368.7</v>
      </c>
      <c r="G316" s="3">
        <v>1363.3</v>
      </c>
      <c r="H316" s="3">
        <v>1363.4</v>
      </c>
      <c r="I316" s="3">
        <v>1362.13</v>
      </c>
      <c r="J316" s="3">
        <v>3049.95</v>
      </c>
      <c r="K316" s="3">
        <v>1114.8499999999999</v>
      </c>
      <c r="L316" s="4">
        <v>12842347</v>
      </c>
      <c r="M316" s="3">
        <v>17492914973.799999</v>
      </c>
      <c r="N316" s="4">
        <v>216161</v>
      </c>
      <c r="O316">
        <f t="shared" si="4"/>
        <v>-3.8722875721487211E-3</v>
      </c>
    </row>
    <row r="317" spans="1:15" ht="14.25" customHeight="1" x14ac:dyDescent="0.3">
      <c r="A317" s="2">
        <v>45936</v>
      </c>
      <c r="B317" t="s">
        <v>15</v>
      </c>
      <c r="C317" s="3">
        <v>1360</v>
      </c>
      <c r="D317" s="3">
        <v>1377.4</v>
      </c>
      <c r="E317" s="3">
        <v>1359</v>
      </c>
      <c r="F317" s="3">
        <v>1363.4</v>
      </c>
      <c r="G317" s="3">
        <v>1374.9</v>
      </c>
      <c r="H317" s="3">
        <v>1375</v>
      </c>
      <c r="I317" s="3">
        <v>1367.85</v>
      </c>
      <c r="J317" s="3">
        <v>2802</v>
      </c>
      <c r="K317" s="3">
        <v>1114.8499999999999</v>
      </c>
      <c r="L317" s="4">
        <v>12396580</v>
      </c>
      <c r="M317" s="3">
        <v>16956655218.299999</v>
      </c>
      <c r="N317" s="4">
        <v>184550</v>
      </c>
      <c r="O317">
        <f t="shared" si="4"/>
        <v>8.5081414111778698E-3</v>
      </c>
    </row>
    <row r="318" spans="1:15" ht="14.25" customHeight="1" x14ac:dyDescent="0.3">
      <c r="A318" s="2">
        <v>45937</v>
      </c>
      <c r="B318" t="s">
        <v>15</v>
      </c>
      <c r="C318" s="3">
        <v>1376</v>
      </c>
      <c r="D318" s="3">
        <v>1395.9</v>
      </c>
      <c r="E318" s="3">
        <v>1375.9</v>
      </c>
      <c r="F318" s="3">
        <v>1375</v>
      </c>
      <c r="G318" s="3">
        <v>1384.5</v>
      </c>
      <c r="H318" s="3">
        <v>1384.8</v>
      </c>
      <c r="I318" s="3">
        <v>1386.79</v>
      </c>
      <c r="J318" s="3">
        <v>2802</v>
      </c>
      <c r="K318" s="3">
        <v>1114.8499999999999</v>
      </c>
      <c r="L318" s="4">
        <v>11244040</v>
      </c>
      <c r="M318" s="3">
        <v>15593176402.200001</v>
      </c>
      <c r="N318" s="4">
        <v>196055</v>
      </c>
      <c r="O318">
        <f t="shared" si="4"/>
        <v>7.1272727272726939E-3</v>
      </c>
    </row>
    <row r="319" spans="1:15" ht="14.25" customHeight="1" x14ac:dyDescent="0.3">
      <c r="A319" s="2">
        <v>45938</v>
      </c>
      <c r="B319" t="s">
        <v>15</v>
      </c>
      <c r="C319" s="3">
        <v>1384.8</v>
      </c>
      <c r="D319" s="3">
        <v>1389</v>
      </c>
      <c r="E319" s="3">
        <v>1364.5</v>
      </c>
      <c r="F319" s="3">
        <v>1384.8</v>
      </c>
      <c r="G319" s="3">
        <v>1367.3</v>
      </c>
      <c r="H319" s="3">
        <v>1367.4</v>
      </c>
      <c r="I319" s="3">
        <v>1371.62</v>
      </c>
      <c r="J319" s="3">
        <v>2802</v>
      </c>
      <c r="K319" s="3">
        <v>1114.8499999999999</v>
      </c>
      <c r="L319" s="4">
        <v>8525081</v>
      </c>
      <c r="M319" s="3">
        <v>11693212975.1</v>
      </c>
      <c r="N319" s="4">
        <v>214245</v>
      </c>
      <c r="O319">
        <f t="shared" si="4"/>
        <v>-1.2564991334488637E-2</v>
      </c>
    </row>
    <row r="320" spans="1:15" ht="14.25" customHeight="1" x14ac:dyDescent="0.3">
      <c r="A320" s="2">
        <v>45939</v>
      </c>
      <c r="B320" t="s">
        <v>15</v>
      </c>
      <c r="C320" s="3">
        <v>1374</v>
      </c>
      <c r="D320" s="3">
        <v>1380</v>
      </c>
      <c r="E320" s="3">
        <v>1369.1</v>
      </c>
      <c r="F320" s="3">
        <v>1367.4</v>
      </c>
      <c r="G320" s="3">
        <v>1376.5</v>
      </c>
      <c r="H320" s="3">
        <v>1377.8</v>
      </c>
      <c r="I320" s="3">
        <v>1376.25</v>
      </c>
      <c r="J320" s="3">
        <v>2802</v>
      </c>
      <c r="K320" s="3">
        <v>1114.8499999999999</v>
      </c>
      <c r="L320" s="4">
        <v>8826633</v>
      </c>
      <c r="M320" s="3">
        <v>12147669213.5</v>
      </c>
      <c r="N320" s="4">
        <v>217890</v>
      </c>
      <c r="O320">
        <f t="shared" si="4"/>
        <v>7.6056750036564745E-3</v>
      </c>
    </row>
    <row r="321" spans="1:15" ht="14.25" customHeight="1" x14ac:dyDescent="0.3">
      <c r="A321" s="2">
        <v>45940</v>
      </c>
      <c r="B321" t="s">
        <v>15</v>
      </c>
      <c r="C321" s="3">
        <v>1377.8</v>
      </c>
      <c r="D321" s="3">
        <v>1388</v>
      </c>
      <c r="E321" s="3">
        <v>1375.1</v>
      </c>
      <c r="F321" s="3">
        <v>1377.8</v>
      </c>
      <c r="G321" s="3">
        <v>1380.9</v>
      </c>
      <c r="H321" s="3">
        <v>1381.7</v>
      </c>
      <c r="I321" s="3">
        <v>1383.21</v>
      </c>
      <c r="J321" s="3">
        <v>2802</v>
      </c>
      <c r="K321" s="3">
        <v>1114.8499999999999</v>
      </c>
      <c r="L321" s="4">
        <v>6373084</v>
      </c>
      <c r="M321" s="3">
        <v>8815317323.1000004</v>
      </c>
      <c r="N321" s="4">
        <v>193985</v>
      </c>
      <c r="O321">
        <f t="shared" si="4"/>
        <v>2.8305995064596395E-3</v>
      </c>
    </row>
    <row r="322" spans="1:15" ht="14.25" customHeight="1" x14ac:dyDescent="0.3">
      <c r="A322" s="2">
        <v>45943</v>
      </c>
      <c r="B322" t="s">
        <v>15</v>
      </c>
      <c r="C322" s="3">
        <v>1376.9</v>
      </c>
      <c r="D322" s="3">
        <v>1377.7</v>
      </c>
      <c r="E322" s="3">
        <v>1367.8</v>
      </c>
      <c r="F322" s="3">
        <v>1381.7</v>
      </c>
      <c r="G322" s="3">
        <v>1376</v>
      </c>
      <c r="H322" s="3">
        <v>1375</v>
      </c>
      <c r="I322" s="3">
        <v>1372.7</v>
      </c>
      <c r="J322" s="3">
        <v>2760.15</v>
      </c>
      <c r="K322" s="3">
        <v>1114.8499999999999</v>
      </c>
      <c r="L322" s="4">
        <v>7600682</v>
      </c>
      <c r="M322" s="3">
        <v>10433492493.5</v>
      </c>
      <c r="N322" s="4">
        <v>175585</v>
      </c>
      <c r="O322">
        <f t="shared" si="4"/>
        <v>-4.8490989360932511E-3</v>
      </c>
    </row>
    <row r="323" spans="1:15" ht="14.25" customHeight="1" x14ac:dyDescent="0.3">
      <c r="A323" s="2">
        <v>45944</v>
      </c>
      <c r="B323" t="s">
        <v>15</v>
      </c>
      <c r="C323" s="3">
        <v>1380</v>
      </c>
      <c r="D323" s="3">
        <v>1388</v>
      </c>
      <c r="E323" s="3">
        <v>1370.1</v>
      </c>
      <c r="F323" s="3">
        <v>1375</v>
      </c>
      <c r="G323" s="3">
        <v>1374.9</v>
      </c>
      <c r="H323" s="3">
        <v>1375.9</v>
      </c>
      <c r="I323" s="3">
        <v>1377.47</v>
      </c>
      <c r="J323" s="3">
        <v>2760.15</v>
      </c>
      <c r="K323" s="3">
        <v>1114.8499999999999</v>
      </c>
      <c r="L323" s="4">
        <v>9768174</v>
      </c>
      <c r="M323" s="3">
        <v>13455395764.799999</v>
      </c>
      <c r="N323" s="4">
        <v>164937</v>
      </c>
      <c r="O323">
        <f t="shared" ref="O323:O386" si="5">(H323-H322)/H322</f>
        <v>6.5454545454552066E-4</v>
      </c>
    </row>
    <row r="324" spans="1:15" ht="14.25" customHeight="1" x14ac:dyDescent="0.3">
      <c r="A324" s="2">
        <v>45945</v>
      </c>
      <c r="B324" t="s">
        <v>15</v>
      </c>
      <c r="C324" s="3">
        <v>1383</v>
      </c>
      <c r="D324" s="3">
        <v>1384</v>
      </c>
      <c r="E324" s="3">
        <v>1372.7</v>
      </c>
      <c r="F324" s="3">
        <v>1375.9</v>
      </c>
      <c r="G324" s="3">
        <v>1374.7</v>
      </c>
      <c r="H324" s="3">
        <v>1374.3</v>
      </c>
      <c r="I324" s="3">
        <v>1377.15</v>
      </c>
      <c r="J324" s="3">
        <v>2760.15</v>
      </c>
      <c r="K324" s="3">
        <v>1114.8499999999999</v>
      </c>
      <c r="L324" s="4">
        <v>10882743</v>
      </c>
      <c r="M324" s="3">
        <v>14987155897.299999</v>
      </c>
      <c r="N324" s="4">
        <v>239811</v>
      </c>
      <c r="O324">
        <f t="shared" si="5"/>
        <v>-1.1628752089542381E-3</v>
      </c>
    </row>
    <row r="325" spans="1:15" ht="14.25" customHeight="1" x14ac:dyDescent="0.3">
      <c r="A325" s="2">
        <v>45946</v>
      </c>
      <c r="B325" t="s">
        <v>15</v>
      </c>
      <c r="C325" s="3">
        <v>1375.1</v>
      </c>
      <c r="D325" s="3">
        <v>1400.5</v>
      </c>
      <c r="E325" s="3">
        <v>1375</v>
      </c>
      <c r="F325" s="3">
        <v>1374.3</v>
      </c>
      <c r="G325" s="3">
        <v>1398.5</v>
      </c>
      <c r="H325" s="3">
        <v>1398.3</v>
      </c>
      <c r="I325" s="3">
        <v>1387.2</v>
      </c>
      <c r="J325" s="3">
        <v>2760.15</v>
      </c>
      <c r="K325" s="3">
        <v>1114.8499999999999</v>
      </c>
      <c r="L325" s="4">
        <v>12315932</v>
      </c>
      <c r="M325" s="3">
        <v>17084636046.799999</v>
      </c>
      <c r="N325" s="4">
        <v>287913</v>
      </c>
      <c r="O325">
        <f t="shared" si="5"/>
        <v>1.7463435931019428E-2</v>
      </c>
    </row>
    <row r="326" spans="1:15" ht="14.25" customHeight="1" x14ac:dyDescent="0.3">
      <c r="A326" s="2">
        <v>45947</v>
      </c>
      <c r="B326" t="s">
        <v>15</v>
      </c>
      <c r="C326" s="3">
        <v>1401</v>
      </c>
      <c r="D326" s="3">
        <v>1423.3</v>
      </c>
      <c r="E326" s="3">
        <v>1399.1</v>
      </c>
      <c r="F326" s="3">
        <v>1398.3</v>
      </c>
      <c r="G326" s="3">
        <v>1419.1</v>
      </c>
      <c r="H326" s="3">
        <v>1416.8</v>
      </c>
      <c r="I326" s="3">
        <v>1413.78</v>
      </c>
      <c r="J326" s="3">
        <v>2760.15</v>
      </c>
      <c r="K326" s="3">
        <v>1114.8499999999999</v>
      </c>
      <c r="L326" s="4">
        <v>19335561</v>
      </c>
      <c r="M326" s="3">
        <v>27336205033</v>
      </c>
      <c r="N326" s="4">
        <v>350761</v>
      </c>
      <c r="O326">
        <f t="shared" si="5"/>
        <v>1.3230351140670815E-2</v>
      </c>
    </row>
    <row r="327" spans="1:15" ht="14.25" customHeight="1" x14ac:dyDescent="0.3">
      <c r="A327" s="2">
        <v>45950</v>
      </c>
      <c r="B327" t="s">
        <v>15</v>
      </c>
      <c r="C327" s="3">
        <v>1440</v>
      </c>
      <c r="D327" s="3">
        <v>1473.8</v>
      </c>
      <c r="E327" s="3">
        <v>1433.3</v>
      </c>
      <c r="F327" s="3">
        <v>1416.8</v>
      </c>
      <c r="G327" s="3">
        <v>1467.9</v>
      </c>
      <c r="H327" s="3">
        <v>1466.8</v>
      </c>
      <c r="I327" s="3">
        <v>1461.76</v>
      </c>
      <c r="J327" s="3">
        <v>2752</v>
      </c>
      <c r="K327" s="3">
        <v>1114.8499999999999</v>
      </c>
      <c r="L327" s="4">
        <v>24721978</v>
      </c>
      <c r="M327" s="3">
        <v>36137673257.5</v>
      </c>
      <c r="N327" s="4">
        <v>512798</v>
      </c>
      <c r="O327">
        <f t="shared" si="5"/>
        <v>3.5290796160361376E-2</v>
      </c>
    </row>
    <row r="328" spans="1:15" ht="14.25" customHeight="1" x14ac:dyDescent="0.3">
      <c r="A328" s="2">
        <v>45951</v>
      </c>
      <c r="B328" t="s">
        <v>15</v>
      </c>
      <c r="C328" s="3">
        <v>1468</v>
      </c>
      <c r="D328" s="3">
        <v>1474</v>
      </c>
      <c r="E328" s="3">
        <v>1460</v>
      </c>
      <c r="F328" s="3">
        <v>1466.8</v>
      </c>
      <c r="G328" s="3">
        <v>1461</v>
      </c>
      <c r="H328" s="3">
        <v>1465.2</v>
      </c>
      <c r="I328" s="3">
        <v>1467.87</v>
      </c>
      <c r="J328" s="3">
        <v>2752</v>
      </c>
      <c r="K328" s="3">
        <v>1114.8499999999999</v>
      </c>
      <c r="L328" s="4">
        <v>2066169</v>
      </c>
      <c r="M328" s="3">
        <v>3032861642.8000002</v>
      </c>
      <c r="N328" s="4">
        <v>86819</v>
      </c>
      <c r="O328">
        <f t="shared" si="5"/>
        <v>-1.0908099263702679E-3</v>
      </c>
    </row>
    <row r="329" spans="1:15" ht="14.25" customHeight="1" x14ac:dyDescent="0.3">
      <c r="A329" s="2">
        <v>45953</v>
      </c>
      <c r="B329" t="s">
        <v>15</v>
      </c>
      <c r="C329" s="3">
        <v>1475</v>
      </c>
      <c r="D329" s="3">
        <v>1482.9</v>
      </c>
      <c r="E329" s="3">
        <v>1444.6</v>
      </c>
      <c r="F329" s="3">
        <v>1465.2</v>
      </c>
      <c r="G329" s="3">
        <v>1448</v>
      </c>
      <c r="H329" s="3">
        <v>1448.4</v>
      </c>
      <c r="I329" s="3">
        <v>1464.71</v>
      </c>
      <c r="J329" s="3">
        <v>2752</v>
      </c>
      <c r="K329" s="3">
        <v>1114.8499999999999</v>
      </c>
      <c r="L329" s="4">
        <v>18707090</v>
      </c>
      <c r="M329" s="3">
        <v>27400374842.5</v>
      </c>
      <c r="N329" s="4">
        <v>376220</v>
      </c>
      <c r="O329">
        <f t="shared" si="5"/>
        <v>-1.1466011466011434E-2</v>
      </c>
    </row>
    <row r="330" spans="1:15" ht="14.25" customHeight="1" x14ac:dyDescent="0.3">
      <c r="A330" s="2">
        <v>45954</v>
      </c>
      <c r="B330" t="s">
        <v>15</v>
      </c>
      <c r="C330" s="3">
        <v>1450</v>
      </c>
      <c r="D330" s="3">
        <v>1459.8</v>
      </c>
      <c r="E330" s="3">
        <v>1441</v>
      </c>
      <c r="F330" s="3">
        <v>1448.4</v>
      </c>
      <c r="G330" s="3">
        <v>1451.1</v>
      </c>
      <c r="H330" s="3">
        <v>1451.6</v>
      </c>
      <c r="I330" s="3">
        <v>1450.25</v>
      </c>
      <c r="J330" s="3">
        <v>2752</v>
      </c>
      <c r="K330" s="3">
        <v>1114.8499999999999</v>
      </c>
      <c r="L330" s="4">
        <v>9700837</v>
      </c>
      <c r="M330" s="3">
        <v>14068622023.200001</v>
      </c>
      <c r="N330" s="4">
        <v>221258</v>
      </c>
      <c r="O330">
        <f t="shared" si="5"/>
        <v>2.2093344380004266E-3</v>
      </c>
    </row>
    <row r="331" spans="1:15" ht="14.25" customHeight="1" x14ac:dyDescent="0.3">
      <c r="A331" s="2">
        <v>45957</v>
      </c>
      <c r="B331" t="s">
        <v>15</v>
      </c>
      <c r="C331" s="3">
        <v>1463</v>
      </c>
      <c r="D331" s="3">
        <v>1485</v>
      </c>
      <c r="E331" s="3">
        <v>1458</v>
      </c>
      <c r="F331" s="3">
        <v>1451.6</v>
      </c>
      <c r="G331" s="3">
        <v>1483.2</v>
      </c>
      <c r="H331" s="3">
        <v>1484.1</v>
      </c>
      <c r="I331" s="3">
        <v>1480.24</v>
      </c>
      <c r="J331" s="3">
        <v>1551</v>
      </c>
      <c r="K331" s="3">
        <v>1114.8499999999999</v>
      </c>
      <c r="L331" s="4">
        <v>14113867</v>
      </c>
      <c r="M331" s="3">
        <v>20891882342.5</v>
      </c>
      <c r="N331" s="4">
        <v>274839</v>
      </c>
      <c r="O331">
        <f t="shared" si="5"/>
        <v>2.2389087903003584E-2</v>
      </c>
    </row>
    <row r="332" spans="1:15" ht="14.25" customHeight="1" x14ac:dyDescent="0.3">
      <c r="A332" s="2">
        <v>45958</v>
      </c>
      <c r="B332" t="s">
        <v>15</v>
      </c>
      <c r="C332" s="3">
        <v>1484.1</v>
      </c>
      <c r="D332" s="3">
        <v>1492</v>
      </c>
      <c r="E332" s="3">
        <v>1477.6</v>
      </c>
      <c r="F332" s="3">
        <v>1484.1</v>
      </c>
      <c r="G332" s="3">
        <v>1489.7</v>
      </c>
      <c r="H332" s="3">
        <v>1486.9</v>
      </c>
      <c r="I332" s="3">
        <v>1484.96</v>
      </c>
      <c r="J332" s="3">
        <v>1551</v>
      </c>
      <c r="K332" s="3">
        <v>1114.8499999999999</v>
      </c>
      <c r="L332" s="4">
        <v>17631577</v>
      </c>
      <c r="M332" s="3">
        <v>26182248923.900002</v>
      </c>
      <c r="N332" s="4">
        <v>314894</v>
      </c>
      <c r="O332">
        <f t="shared" si="5"/>
        <v>1.8866653190487044E-3</v>
      </c>
    </row>
    <row r="333" spans="1:15" ht="14.25" customHeight="1" x14ac:dyDescent="0.3">
      <c r="A333" s="2">
        <v>45959</v>
      </c>
      <c r="B333" t="s">
        <v>15</v>
      </c>
      <c r="C333" s="3">
        <v>1490</v>
      </c>
      <c r="D333" s="3">
        <v>1508.3</v>
      </c>
      <c r="E333" s="3">
        <v>1488.1</v>
      </c>
      <c r="F333" s="3">
        <v>1486.9</v>
      </c>
      <c r="G333" s="3">
        <v>1504</v>
      </c>
      <c r="H333" s="3">
        <v>1504.2</v>
      </c>
      <c r="I333" s="3">
        <v>1502.67</v>
      </c>
      <c r="J333" s="3">
        <v>1551</v>
      </c>
      <c r="K333" s="3">
        <v>1114.8499999999999</v>
      </c>
      <c r="L333" s="4">
        <v>11884745</v>
      </c>
      <c r="M333" s="3">
        <v>17858800582.599998</v>
      </c>
      <c r="N333" s="4">
        <v>219504</v>
      </c>
      <c r="O333">
        <f t="shared" si="5"/>
        <v>1.1634945187974951E-2</v>
      </c>
    </row>
    <row r="334" spans="1:15" ht="14.25" customHeight="1" x14ac:dyDescent="0.3">
      <c r="A334" s="2">
        <v>45960</v>
      </c>
      <c r="B334" t="s">
        <v>15</v>
      </c>
      <c r="C334" s="3">
        <v>1500</v>
      </c>
      <c r="D334" s="3">
        <v>1503.1</v>
      </c>
      <c r="E334" s="3">
        <v>1484</v>
      </c>
      <c r="F334" s="3">
        <v>1504.2</v>
      </c>
      <c r="G334" s="3">
        <v>1489.5</v>
      </c>
      <c r="H334" s="3">
        <v>1488.5</v>
      </c>
      <c r="I334" s="3">
        <v>1492.27</v>
      </c>
      <c r="J334" s="3">
        <v>1551</v>
      </c>
      <c r="K334" s="3">
        <v>1114.8499999999999</v>
      </c>
      <c r="L334" s="4">
        <v>9318663</v>
      </c>
      <c r="M334" s="3">
        <v>13905920959.9</v>
      </c>
      <c r="N334" s="4">
        <v>276397</v>
      </c>
      <c r="O334">
        <f t="shared" si="5"/>
        <v>-1.0437441829543974E-2</v>
      </c>
    </row>
    <row r="335" spans="1:15" ht="14.25" customHeight="1" x14ac:dyDescent="0.3">
      <c r="A335" s="2">
        <v>45961</v>
      </c>
      <c r="B335" t="s">
        <v>15</v>
      </c>
      <c r="C335" s="3">
        <v>1490.4</v>
      </c>
      <c r="D335" s="3">
        <v>1497.5</v>
      </c>
      <c r="E335" s="3">
        <v>1482.3</v>
      </c>
      <c r="F335" s="3">
        <v>1488.5</v>
      </c>
      <c r="G335" s="3">
        <v>1487</v>
      </c>
      <c r="H335" s="3">
        <v>1486.4</v>
      </c>
      <c r="I335" s="3">
        <v>1487.8</v>
      </c>
      <c r="J335" s="3">
        <v>1551</v>
      </c>
      <c r="K335" s="3">
        <v>1114.8499999999999</v>
      </c>
      <c r="L335" s="4">
        <v>8758053</v>
      </c>
      <c r="M335" s="3">
        <v>13030257785.299999</v>
      </c>
      <c r="N335" s="4">
        <v>206898</v>
      </c>
      <c r="O335">
        <f t="shared" si="5"/>
        <v>-1.410816257977769E-3</v>
      </c>
    </row>
    <row r="336" spans="1:15" ht="14.25" customHeight="1" x14ac:dyDescent="0.3">
      <c r="A336" s="2">
        <v>45964</v>
      </c>
      <c r="B336" t="s">
        <v>15</v>
      </c>
      <c r="C336" s="3">
        <v>1486</v>
      </c>
      <c r="D336" s="3">
        <v>1495</v>
      </c>
      <c r="E336" s="3">
        <v>1479.3</v>
      </c>
      <c r="F336" s="3">
        <v>1486.4</v>
      </c>
      <c r="G336" s="3">
        <v>1487.3</v>
      </c>
      <c r="H336" s="3">
        <v>1484.7</v>
      </c>
      <c r="I336" s="3">
        <v>1488.29</v>
      </c>
      <c r="J336" s="3">
        <v>1551</v>
      </c>
      <c r="K336" s="3">
        <v>1114.8499999999999</v>
      </c>
      <c r="L336" s="4">
        <v>8452085</v>
      </c>
      <c r="M336" s="3">
        <v>12579161982.9</v>
      </c>
      <c r="N336" s="4">
        <v>245664</v>
      </c>
      <c r="O336">
        <f t="shared" si="5"/>
        <v>-1.1437029063509454E-3</v>
      </c>
    </row>
    <row r="337" spans="1:15" ht="14.25" customHeight="1" x14ac:dyDescent="0.3">
      <c r="A337" s="2">
        <v>45965</v>
      </c>
      <c r="B337" t="s">
        <v>15</v>
      </c>
      <c r="C337" s="3">
        <v>1483.9</v>
      </c>
      <c r="D337" s="3">
        <v>1492.8</v>
      </c>
      <c r="E337" s="3">
        <v>1470.1</v>
      </c>
      <c r="F337" s="3">
        <v>1484.7</v>
      </c>
      <c r="G337" s="3">
        <v>1471.1</v>
      </c>
      <c r="H337" s="3">
        <v>1473.1</v>
      </c>
      <c r="I337" s="3">
        <v>1480.96</v>
      </c>
      <c r="J337" s="3">
        <v>1551</v>
      </c>
      <c r="K337" s="3">
        <v>1114.8499999999999</v>
      </c>
      <c r="L337" s="4">
        <v>10007806</v>
      </c>
      <c r="M337" s="3">
        <v>14821144472.700001</v>
      </c>
      <c r="N337" s="4">
        <v>218103</v>
      </c>
      <c r="O337">
        <f t="shared" si="5"/>
        <v>-7.8130262005793333E-3</v>
      </c>
    </row>
    <row r="338" spans="1:15" ht="14.25" customHeight="1" x14ac:dyDescent="0.3">
      <c r="A338" s="2">
        <v>45967</v>
      </c>
      <c r="B338" t="s">
        <v>15</v>
      </c>
      <c r="C338" s="3">
        <v>1484</v>
      </c>
      <c r="D338" s="3">
        <v>1501.6</v>
      </c>
      <c r="E338" s="3">
        <v>1476.2</v>
      </c>
      <c r="F338" s="3">
        <v>1473.1</v>
      </c>
      <c r="G338" s="3">
        <v>1494.8</v>
      </c>
      <c r="H338" s="3">
        <v>1496.1</v>
      </c>
      <c r="I338" s="3">
        <v>1494.08</v>
      </c>
      <c r="J338" s="3">
        <v>1551</v>
      </c>
      <c r="K338" s="3">
        <v>1114.8499999999999</v>
      </c>
      <c r="L338" s="4">
        <v>16772678</v>
      </c>
      <c r="M338" s="3">
        <v>25059656533.299999</v>
      </c>
      <c r="N338" s="4">
        <v>269902</v>
      </c>
      <c r="O338">
        <f t="shared" si="5"/>
        <v>1.5613332428212614E-2</v>
      </c>
    </row>
    <row r="339" spans="1:15" ht="14.25" customHeight="1" x14ac:dyDescent="0.3">
      <c r="A339" s="2">
        <v>45968</v>
      </c>
      <c r="B339" t="s">
        <v>15</v>
      </c>
      <c r="C339" s="3">
        <v>1494.6</v>
      </c>
      <c r="D339" s="3">
        <v>1498.4</v>
      </c>
      <c r="E339" s="3">
        <v>1475.9</v>
      </c>
      <c r="F339" s="3">
        <v>1496.1</v>
      </c>
      <c r="G339" s="3">
        <v>1480</v>
      </c>
      <c r="H339" s="3">
        <v>1478</v>
      </c>
      <c r="I339" s="3">
        <v>1486.71</v>
      </c>
      <c r="J339" s="3">
        <v>1551</v>
      </c>
      <c r="K339" s="3">
        <v>1114.8499999999999</v>
      </c>
      <c r="L339" s="4">
        <v>7821765</v>
      </c>
      <c r="M339" s="3">
        <v>11628733264.1</v>
      </c>
      <c r="N339" s="4">
        <v>139608</v>
      </c>
      <c r="O339">
        <f t="shared" si="5"/>
        <v>-1.2098121783303195E-2</v>
      </c>
    </row>
    <row r="340" spans="1:15" ht="14.25" customHeight="1" x14ac:dyDescent="0.3">
      <c r="A340" s="2">
        <v>45971</v>
      </c>
      <c r="B340" t="s">
        <v>15</v>
      </c>
      <c r="C340" s="3">
        <v>1477.9</v>
      </c>
      <c r="D340" s="3">
        <v>1501</v>
      </c>
      <c r="E340" s="3">
        <v>1475.5</v>
      </c>
      <c r="F340" s="3">
        <v>1478</v>
      </c>
      <c r="G340" s="3">
        <v>1490.1</v>
      </c>
      <c r="H340" s="3">
        <v>1489.3</v>
      </c>
      <c r="I340" s="3">
        <v>1492.69</v>
      </c>
      <c r="J340" s="3">
        <v>1551</v>
      </c>
      <c r="K340" s="3">
        <v>1114.8499999999999</v>
      </c>
      <c r="L340" s="4">
        <v>7068438</v>
      </c>
      <c r="M340" s="3">
        <v>10550978254.299999</v>
      </c>
      <c r="N340" s="4">
        <v>154602</v>
      </c>
      <c r="O340">
        <f t="shared" si="5"/>
        <v>7.6454668470906321E-3</v>
      </c>
    </row>
    <row r="341" spans="1:15" ht="14.25" customHeight="1" x14ac:dyDescent="0.3">
      <c r="A341" s="2">
        <v>45972</v>
      </c>
      <c r="B341" t="s">
        <v>15</v>
      </c>
      <c r="C341" s="3">
        <v>1497</v>
      </c>
      <c r="D341" s="3">
        <v>1498.8</v>
      </c>
      <c r="E341" s="3">
        <v>1480.2</v>
      </c>
      <c r="F341" s="3">
        <v>1489.3</v>
      </c>
      <c r="G341" s="3">
        <v>1493.8</v>
      </c>
      <c r="H341" s="3">
        <v>1493.4</v>
      </c>
      <c r="I341" s="3">
        <v>1489.58</v>
      </c>
      <c r="J341" s="3">
        <v>1551</v>
      </c>
      <c r="K341" s="3">
        <v>1114.8499999999999</v>
      </c>
      <c r="L341" s="4">
        <v>7127506</v>
      </c>
      <c r="M341" s="3">
        <v>10616976771.799999</v>
      </c>
      <c r="N341" s="4">
        <v>149607</v>
      </c>
      <c r="O341">
        <f t="shared" si="5"/>
        <v>2.7529711945210077E-3</v>
      </c>
    </row>
    <row r="342" spans="1:15" ht="14.25" customHeight="1" x14ac:dyDescent="0.3">
      <c r="A342" s="2">
        <v>45973</v>
      </c>
      <c r="B342" t="s">
        <v>15</v>
      </c>
      <c r="C342" s="3">
        <v>1505</v>
      </c>
      <c r="D342" s="3">
        <v>1524.7</v>
      </c>
      <c r="E342" s="3">
        <v>1500</v>
      </c>
      <c r="F342" s="3">
        <v>1493.4</v>
      </c>
      <c r="G342" s="3">
        <v>1511.8</v>
      </c>
      <c r="H342" s="3">
        <v>1511.5</v>
      </c>
      <c r="I342" s="3">
        <v>1515</v>
      </c>
      <c r="J342" s="3">
        <v>1551</v>
      </c>
      <c r="K342" s="3">
        <v>1114.8499999999999</v>
      </c>
      <c r="L342" s="4">
        <v>12384459</v>
      </c>
      <c r="M342" s="3">
        <v>18762517172.200001</v>
      </c>
      <c r="N342" s="4">
        <v>252417</v>
      </c>
      <c r="O342">
        <f t="shared" si="5"/>
        <v>1.2119994643096229E-2</v>
      </c>
    </row>
    <row r="343" spans="1:15" ht="14.25" customHeight="1" x14ac:dyDescent="0.3">
      <c r="A343" s="2">
        <v>45974</v>
      </c>
      <c r="B343" t="s">
        <v>15</v>
      </c>
      <c r="C343" s="3">
        <v>1515</v>
      </c>
      <c r="D343" s="3">
        <v>1522.1</v>
      </c>
      <c r="E343" s="3">
        <v>1506.8</v>
      </c>
      <c r="F343" s="3">
        <v>1511.5</v>
      </c>
      <c r="G343" s="3">
        <v>1512.1</v>
      </c>
      <c r="H343" s="3">
        <v>1510.9</v>
      </c>
      <c r="I343" s="3">
        <v>1514.35</v>
      </c>
      <c r="J343" s="3">
        <v>1551</v>
      </c>
      <c r="K343" s="3">
        <v>1114.8499999999999</v>
      </c>
      <c r="L343" s="4">
        <v>7196443</v>
      </c>
      <c r="M343" s="3">
        <v>10897956389.700001</v>
      </c>
      <c r="N343" s="4">
        <v>209774</v>
      </c>
      <c r="O343">
        <f t="shared" si="5"/>
        <v>-3.9695666556394907E-4</v>
      </c>
    </row>
    <row r="344" spans="1:15" ht="14.25" customHeight="1" x14ac:dyDescent="0.3">
      <c r="A344" s="2">
        <v>45975</v>
      </c>
      <c r="B344" t="s">
        <v>15</v>
      </c>
      <c r="C344" s="3">
        <v>1505.5</v>
      </c>
      <c r="D344" s="3">
        <v>1520.9</v>
      </c>
      <c r="E344" s="3">
        <v>1505.5</v>
      </c>
      <c r="F344" s="3">
        <v>1510.9</v>
      </c>
      <c r="G344" s="3">
        <v>1518.2</v>
      </c>
      <c r="H344" s="3">
        <v>1518.9</v>
      </c>
      <c r="I344" s="3">
        <v>1516.51</v>
      </c>
      <c r="J344" s="3">
        <v>1551</v>
      </c>
      <c r="K344" s="3">
        <v>1114.8499999999999</v>
      </c>
      <c r="L344" s="4">
        <v>7682823</v>
      </c>
      <c r="M344" s="3">
        <v>11651084505.299999</v>
      </c>
      <c r="N344" s="4">
        <v>194941</v>
      </c>
      <c r="O344">
        <f t="shared" si="5"/>
        <v>5.2948573697796011E-3</v>
      </c>
    </row>
    <row r="345" spans="1:15" ht="14.25" customHeight="1" x14ac:dyDescent="0.3">
      <c r="A345" s="2">
        <v>45978</v>
      </c>
      <c r="B345" t="s">
        <v>15</v>
      </c>
      <c r="C345" s="3">
        <v>1520.9</v>
      </c>
      <c r="D345" s="3">
        <v>1523.7</v>
      </c>
      <c r="E345" s="3">
        <v>1511.5</v>
      </c>
      <c r="F345" s="3">
        <v>1518.9</v>
      </c>
      <c r="G345" s="3">
        <v>1518</v>
      </c>
      <c r="H345" s="3">
        <v>1518.3</v>
      </c>
      <c r="I345" s="3">
        <v>1516.89</v>
      </c>
      <c r="J345" s="3">
        <v>1551</v>
      </c>
      <c r="K345" s="3">
        <v>1114.8499999999999</v>
      </c>
      <c r="L345" s="4">
        <v>5871416</v>
      </c>
      <c r="M345" s="3">
        <v>8906294222.2999992</v>
      </c>
      <c r="N345" s="4">
        <v>123473</v>
      </c>
      <c r="O345">
        <f t="shared" si="5"/>
        <v>-3.9502271380613364E-4</v>
      </c>
    </row>
    <row r="346" spans="1:15" ht="14.25" customHeight="1" x14ac:dyDescent="0.3">
      <c r="A346" s="2">
        <v>45979</v>
      </c>
      <c r="B346" t="s">
        <v>15</v>
      </c>
      <c r="C346" s="3">
        <v>1521.7</v>
      </c>
      <c r="D346" s="3">
        <v>1527.8</v>
      </c>
      <c r="E346" s="3">
        <v>1510.5</v>
      </c>
      <c r="F346" s="3">
        <v>1518.3</v>
      </c>
      <c r="G346" s="3">
        <v>1520</v>
      </c>
      <c r="H346" s="3">
        <v>1519.4</v>
      </c>
      <c r="I346" s="3">
        <v>1520.18</v>
      </c>
      <c r="J346" s="3">
        <v>1551</v>
      </c>
      <c r="K346" s="3">
        <v>1114.8499999999999</v>
      </c>
      <c r="L346" s="4">
        <v>11045042</v>
      </c>
      <c r="M346" s="3">
        <v>16790505249.5</v>
      </c>
      <c r="N346" s="4">
        <v>165850</v>
      </c>
      <c r="O346">
        <f t="shared" si="5"/>
        <v>7.244945004282003E-4</v>
      </c>
    </row>
    <row r="347" spans="1:15" ht="14.25" customHeight="1" x14ac:dyDescent="0.3">
      <c r="A347" s="2">
        <v>45980</v>
      </c>
      <c r="B347" t="s">
        <v>15</v>
      </c>
      <c r="C347" s="3">
        <v>1517.4</v>
      </c>
      <c r="D347" s="3">
        <v>1522.3</v>
      </c>
      <c r="E347" s="3">
        <v>1512</v>
      </c>
      <c r="F347" s="3">
        <v>1519.4</v>
      </c>
      <c r="G347" s="3">
        <v>1519</v>
      </c>
      <c r="H347" s="3">
        <v>1518.9</v>
      </c>
      <c r="I347" s="3">
        <v>1518.64</v>
      </c>
      <c r="J347" s="3">
        <v>1551</v>
      </c>
      <c r="K347" s="3">
        <v>1114.8499999999999</v>
      </c>
      <c r="L347" s="4">
        <v>5692366</v>
      </c>
      <c r="M347" s="3">
        <v>8644640452.7000008</v>
      </c>
      <c r="N347" s="4">
        <v>131481</v>
      </c>
      <c r="O347">
        <f t="shared" si="5"/>
        <v>-3.2907726734237198E-4</v>
      </c>
    </row>
    <row r="348" spans="1:15" ht="14.25" customHeight="1" x14ac:dyDescent="0.3">
      <c r="A348" s="2">
        <v>45981</v>
      </c>
      <c r="B348" t="s">
        <v>15</v>
      </c>
      <c r="C348" s="3">
        <v>1530</v>
      </c>
      <c r="D348" s="3">
        <v>1550.9</v>
      </c>
      <c r="E348" s="3">
        <v>1526.7</v>
      </c>
      <c r="F348" s="3">
        <v>1518.9</v>
      </c>
      <c r="G348" s="3">
        <v>1549.5</v>
      </c>
      <c r="H348" s="3">
        <v>1549.1</v>
      </c>
      <c r="I348" s="3">
        <v>1543.57</v>
      </c>
      <c r="J348" s="3">
        <v>1551</v>
      </c>
      <c r="K348" s="3">
        <v>1114.8499999999999</v>
      </c>
      <c r="L348" s="4">
        <v>18171724</v>
      </c>
      <c r="M348" s="3">
        <v>28049306041.5</v>
      </c>
      <c r="N348" s="4">
        <v>246552</v>
      </c>
      <c r="O348">
        <f t="shared" si="5"/>
        <v>1.9882809928237419E-2</v>
      </c>
    </row>
    <row r="349" spans="1:15" ht="14.25" customHeight="1" x14ac:dyDescent="0.3">
      <c r="A349" s="2">
        <v>45982</v>
      </c>
      <c r="B349" t="s">
        <v>15</v>
      </c>
      <c r="C349" s="3">
        <v>1541</v>
      </c>
      <c r="D349" s="3">
        <v>1557.8</v>
      </c>
      <c r="E349" s="3">
        <v>1540.1</v>
      </c>
      <c r="F349" s="3">
        <v>1549.1</v>
      </c>
      <c r="G349" s="3">
        <v>1543.7</v>
      </c>
      <c r="H349" s="3">
        <v>1546.6</v>
      </c>
      <c r="I349" s="3">
        <v>1549.35</v>
      </c>
      <c r="J349" s="3">
        <v>1557.8</v>
      </c>
      <c r="K349" s="3">
        <v>1114.8499999999999</v>
      </c>
      <c r="L349" s="4">
        <v>9615271</v>
      </c>
      <c r="M349" s="3">
        <v>14897385970.299999</v>
      </c>
      <c r="N349" s="4">
        <v>240250</v>
      </c>
      <c r="O349">
        <f t="shared" si="5"/>
        <v>-1.6138402943644697E-3</v>
      </c>
    </row>
    <row r="350" spans="1:15" ht="14.25" customHeight="1" x14ac:dyDescent="0.3">
      <c r="A350" s="2">
        <v>45985</v>
      </c>
      <c r="B350" t="s">
        <v>15</v>
      </c>
      <c r="C350" s="3">
        <v>1550</v>
      </c>
      <c r="D350" s="3">
        <v>1550</v>
      </c>
      <c r="E350" s="3">
        <v>1531.8</v>
      </c>
      <c r="F350" s="3">
        <v>1546.6</v>
      </c>
      <c r="G350" s="3">
        <v>1534.9</v>
      </c>
      <c r="H350" s="3">
        <v>1535.9</v>
      </c>
      <c r="I350" s="3">
        <v>1537.26</v>
      </c>
      <c r="J350" s="3">
        <v>1557.8</v>
      </c>
      <c r="K350" s="3">
        <v>1114.8499999999999</v>
      </c>
      <c r="L350" s="4">
        <v>18433951</v>
      </c>
      <c r="M350" s="3">
        <v>28337841303.400002</v>
      </c>
      <c r="N350" s="4">
        <v>198313</v>
      </c>
      <c r="O350">
        <f t="shared" si="5"/>
        <v>-6.9184016552436434E-3</v>
      </c>
    </row>
    <row r="351" spans="1:15" ht="14.25" customHeight="1" x14ac:dyDescent="0.3">
      <c r="A351" s="2">
        <v>45986</v>
      </c>
      <c r="B351" t="s">
        <v>15</v>
      </c>
      <c r="C351" s="3">
        <v>1535.9</v>
      </c>
      <c r="D351" s="3">
        <v>1559.6</v>
      </c>
      <c r="E351" s="3">
        <v>1525.1</v>
      </c>
      <c r="F351" s="3">
        <v>1535.9</v>
      </c>
      <c r="G351" s="3">
        <v>1540</v>
      </c>
      <c r="H351" s="3">
        <v>1539.7</v>
      </c>
      <c r="I351" s="3">
        <v>1546.34</v>
      </c>
      <c r="J351" s="3">
        <v>1559.6</v>
      </c>
      <c r="K351" s="3">
        <v>1114.8499999999999</v>
      </c>
      <c r="L351" s="4">
        <v>15033482</v>
      </c>
      <c r="M351" s="3">
        <v>23246909829.700001</v>
      </c>
      <c r="N351" s="4">
        <v>299805</v>
      </c>
      <c r="O351">
        <f t="shared" si="5"/>
        <v>2.4741194088156483E-3</v>
      </c>
    </row>
    <row r="352" spans="1:15" ht="14.25" customHeight="1" x14ac:dyDescent="0.3">
      <c r="A352" s="2">
        <v>45987</v>
      </c>
      <c r="B352" t="s">
        <v>15</v>
      </c>
      <c r="C352" s="3">
        <v>1542.3</v>
      </c>
      <c r="D352" s="3">
        <v>1571.6</v>
      </c>
      <c r="E352" s="3">
        <v>1540.5</v>
      </c>
      <c r="F352" s="3">
        <v>1539.7</v>
      </c>
      <c r="G352" s="3">
        <v>1569.6</v>
      </c>
      <c r="H352" s="3">
        <v>1569.9</v>
      </c>
      <c r="I352" s="3">
        <v>1562.98</v>
      </c>
      <c r="J352" s="3">
        <v>1571.6</v>
      </c>
      <c r="K352" s="3">
        <v>1114.8499999999999</v>
      </c>
      <c r="L352" s="4">
        <v>14054299</v>
      </c>
      <c r="M352" s="3">
        <v>21966588733.900002</v>
      </c>
      <c r="N352" s="4">
        <v>285274</v>
      </c>
      <c r="O352">
        <f t="shared" si="5"/>
        <v>1.9614210560498828E-2</v>
      </c>
    </row>
    <row r="353" spans="1:15" ht="14.25" customHeight="1" x14ac:dyDescent="0.3">
      <c r="A353" s="2">
        <v>45988</v>
      </c>
      <c r="B353" t="s">
        <v>15</v>
      </c>
      <c r="C353" s="3">
        <v>1575</v>
      </c>
      <c r="D353" s="3">
        <v>1575.5</v>
      </c>
      <c r="E353" s="3">
        <v>1556</v>
      </c>
      <c r="F353" s="3">
        <v>1569.9</v>
      </c>
      <c r="G353" s="3">
        <v>1564.8</v>
      </c>
      <c r="H353" s="3">
        <v>1563.4</v>
      </c>
      <c r="I353" s="3">
        <v>1563.68</v>
      </c>
      <c r="J353" s="3">
        <v>1575.5</v>
      </c>
      <c r="K353" s="3">
        <v>1114.8499999999999</v>
      </c>
      <c r="L353" s="4">
        <v>9794643</v>
      </c>
      <c r="M353" s="3">
        <v>15315704900.9</v>
      </c>
      <c r="N353" s="4">
        <v>278929</v>
      </c>
      <c r="O353">
        <f t="shared" si="5"/>
        <v>-4.1403911077138667E-3</v>
      </c>
    </row>
    <row r="354" spans="1:15" ht="14.25" customHeight="1" x14ac:dyDescent="0.3">
      <c r="A354" s="2">
        <v>45989</v>
      </c>
      <c r="B354" t="s">
        <v>15</v>
      </c>
      <c r="C354" s="3">
        <v>1568</v>
      </c>
      <c r="D354" s="3">
        <v>1581.3</v>
      </c>
      <c r="E354" s="3">
        <v>1563</v>
      </c>
      <c r="F354" s="3">
        <v>1563.4</v>
      </c>
      <c r="G354" s="3">
        <v>1569</v>
      </c>
      <c r="H354" s="3">
        <v>1567.5</v>
      </c>
      <c r="I354" s="3">
        <v>1571.94</v>
      </c>
      <c r="J354" s="3">
        <v>1581.3</v>
      </c>
      <c r="K354" s="3">
        <v>1114.8499999999999</v>
      </c>
      <c r="L354" s="4">
        <v>8959508</v>
      </c>
      <c r="M354" s="3">
        <v>14083838960.4</v>
      </c>
      <c r="N354" s="4">
        <v>229373</v>
      </c>
      <c r="O354">
        <f t="shared" si="5"/>
        <v>2.6224894460790001E-3</v>
      </c>
    </row>
    <row r="355" spans="1:15" ht="14.25" customHeight="1" x14ac:dyDescent="0.3">
      <c r="A355" s="2">
        <v>45992</v>
      </c>
      <c r="B355" t="s">
        <v>15</v>
      </c>
      <c r="C355" s="3">
        <v>1575</v>
      </c>
      <c r="D355" s="3">
        <v>1577.5</v>
      </c>
      <c r="E355" s="3">
        <v>1563.6</v>
      </c>
      <c r="F355" s="3">
        <v>1567.5</v>
      </c>
      <c r="G355" s="3">
        <v>1566.5</v>
      </c>
      <c r="H355" s="3">
        <v>1566.1</v>
      </c>
      <c r="I355" s="3">
        <v>1571.31</v>
      </c>
      <c r="J355" s="3">
        <v>1581.3</v>
      </c>
      <c r="K355" s="3">
        <v>1114.8499999999999</v>
      </c>
      <c r="L355" s="4">
        <v>8920233</v>
      </c>
      <c r="M355" s="3">
        <v>14016486649.5</v>
      </c>
      <c r="N355" s="4">
        <v>292601</v>
      </c>
      <c r="O355">
        <f t="shared" si="5"/>
        <v>-8.9314194577358279E-4</v>
      </c>
    </row>
    <row r="356" spans="1:15" ht="14.25" customHeight="1" x14ac:dyDescent="0.3">
      <c r="A356" s="2">
        <v>45993</v>
      </c>
      <c r="B356" t="s">
        <v>15</v>
      </c>
      <c r="C356" s="3">
        <v>1561.1</v>
      </c>
      <c r="D356" s="3">
        <v>1567.5</v>
      </c>
      <c r="E356" s="3">
        <v>1542</v>
      </c>
      <c r="F356" s="3">
        <v>1566.1</v>
      </c>
      <c r="G356" s="3">
        <v>1548.3</v>
      </c>
      <c r="H356" s="3">
        <v>1546.3</v>
      </c>
      <c r="I356" s="3">
        <v>1550.62</v>
      </c>
      <c r="J356" s="3">
        <v>1581.3</v>
      </c>
      <c r="K356" s="3">
        <v>1114.8499999999999</v>
      </c>
      <c r="L356" s="4">
        <v>11389150</v>
      </c>
      <c r="M356" s="3">
        <v>17660297036.299999</v>
      </c>
      <c r="N356" s="4">
        <v>323713</v>
      </c>
      <c r="O356">
        <f t="shared" si="5"/>
        <v>-1.2642870825617748E-2</v>
      </c>
    </row>
    <row r="357" spans="1:15" ht="14.25" customHeight="1" x14ac:dyDescent="0.3">
      <c r="A357" s="2">
        <v>45994</v>
      </c>
      <c r="B357" t="s">
        <v>15</v>
      </c>
      <c r="C357" s="3">
        <v>1545.2</v>
      </c>
      <c r="D357" s="3">
        <v>1552.4</v>
      </c>
      <c r="E357" s="3">
        <v>1533</v>
      </c>
      <c r="F357" s="3">
        <v>1546.3</v>
      </c>
      <c r="G357" s="3">
        <v>1539.1</v>
      </c>
      <c r="H357" s="3">
        <v>1538.8</v>
      </c>
      <c r="I357" s="3">
        <v>1539.45</v>
      </c>
      <c r="J357" s="3">
        <v>1581.3</v>
      </c>
      <c r="K357" s="3">
        <v>1114.8499999999999</v>
      </c>
      <c r="L357" s="4">
        <v>6090883</v>
      </c>
      <c r="M357" s="3">
        <v>9376593978.8999996</v>
      </c>
      <c r="N357" s="4">
        <v>156721</v>
      </c>
      <c r="O357">
        <f t="shared" si="5"/>
        <v>-4.8502877837418353E-3</v>
      </c>
    </row>
    <row r="358" spans="1:15" ht="14.25" customHeight="1" x14ac:dyDescent="0.3">
      <c r="A358" s="2">
        <v>45995</v>
      </c>
      <c r="B358" t="s">
        <v>15</v>
      </c>
      <c r="C358" s="3">
        <v>1536</v>
      </c>
      <c r="D358" s="3">
        <v>1560.5</v>
      </c>
      <c r="E358" s="3">
        <v>1517.6</v>
      </c>
      <c r="F358" s="3">
        <v>1538.8</v>
      </c>
      <c r="G358" s="3">
        <v>1525.3</v>
      </c>
      <c r="H358" s="3">
        <v>1535.6</v>
      </c>
      <c r="I358" s="3">
        <v>1543.73</v>
      </c>
      <c r="J358" s="3">
        <v>1581.3</v>
      </c>
      <c r="K358" s="3">
        <v>1114.8499999999999</v>
      </c>
      <c r="L358" s="4">
        <v>11867930</v>
      </c>
      <c r="M358" s="3">
        <v>18320833054.599998</v>
      </c>
      <c r="N358" s="4">
        <v>203260</v>
      </c>
      <c r="O358">
        <f t="shared" si="5"/>
        <v>-2.0795425006498868E-3</v>
      </c>
    </row>
    <row r="359" spans="1:15" ht="14.25" customHeight="1" x14ac:dyDescent="0.3">
      <c r="A359" s="2">
        <v>45996</v>
      </c>
      <c r="B359" t="s">
        <v>15</v>
      </c>
      <c r="C359" s="3">
        <v>1530.4</v>
      </c>
      <c r="D359" s="3">
        <v>1545.8</v>
      </c>
      <c r="E359" s="3">
        <v>1520.6</v>
      </c>
      <c r="F359" s="3">
        <v>1535.6</v>
      </c>
      <c r="G359" s="3">
        <v>1544.6</v>
      </c>
      <c r="H359" s="3">
        <v>1540.6</v>
      </c>
      <c r="I359" s="3">
        <v>1534.8</v>
      </c>
      <c r="J359" s="3">
        <v>1581.3</v>
      </c>
      <c r="K359" s="3">
        <v>1114.8499999999999</v>
      </c>
      <c r="L359" s="4">
        <v>10183266</v>
      </c>
      <c r="M359" s="3">
        <v>15629290582.5</v>
      </c>
      <c r="N359" s="4">
        <v>181528</v>
      </c>
      <c r="O359">
        <f t="shared" si="5"/>
        <v>3.2560562646522535E-3</v>
      </c>
    </row>
    <row r="360" spans="1:15" ht="14.25" customHeight="1" x14ac:dyDescent="0.3">
      <c r="A360" s="2">
        <v>45999</v>
      </c>
      <c r="B360" t="s">
        <v>15</v>
      </c>
      <c r="C360" s="3">
        <v>1539.2</v>
      </c>
      <c r="D360" s="3">
        <v>1551</v>
      </c>
      <c r="E360" s="3">
        <v>1535</v>
      </c>
      <c r="F360" s="3">
        <v>1540.6</v>
      </c>
      <c r="G360" s="3">
        <v>1539.9</v>
      </c>
      <c r="H360" s="3">
        <v>1543</v>
      </c>
      <c r="I360" s="3">
        <v>1540.71</v>
      </c>
      <c r="J360" s="3">
        <v>1581.3</v>
      </c>
      <c r="K360" s="3">
        <v>1114.8499999999999</v>
      </c>
      <c r="L360" s="4">
        <v>11301491</v>
      </c>
      <c r="M360" s="3">
        <v>17412309977.700001</v>
      </c>
      <c r="N360" s="4">
        <v>182756</v>
      </c>
      <c r="O360">
        <f t="shared" si="5"/>
        <v>1.5578346098923089E-3</v>
      </c>
    </row>
    <row r="361" spans="1:15" ht="14.25" customHeight="1" x14ac:dyDescent="0.3">
      <c r="A361" s="2">
        <v>46000</v>
      </c>
      <c r="B361" t="s">
        <v>15</v>
      </c>
      <c r="C361" s="3">
        <v>1540.3</v>
      </c>
      <c r="D361" s="3">
        <v>1542.5</v>
      </c>
      <c r="E361" s="3">
        <v>1520.1</v>
      </c>
      <c r="F361" s="3">
        <v>1543</v>
      </c>
      <c r="G361" s="3">
        <v>1532.4</v>
      </c>
      <c r="H361" s="3">
        <v>1529.4</v>
      </c>
      <c r="I361" s="3">
        <v>1530</v>
      </c>
      <c r="J361" s="3">
        <v>1581.3</v>
      </c>
      <c r="K361" s="3">
        <v>1114.8499999999999</v>
      </c>
      <c r="L361" s="4">
        <v>11503971</v>
      </c>
      <c r="M361" s="3">
        <v>17601083501.200001</v>
      </c>
      <c r="N361" s="4">
        <v>205129</v>
      </c>
      <c r="O361">
        <f t="shared" si="5"/>
        <v>-8.8139987038236608E-3</v>
      </c>
    </row>
    <row r="362" spans="1:15" ht="14.25" customHeight="1" x14ac:dyDescent="0.3">
      <c r="A362" s="2">
        <v>46001</v>
      </c>
      <c r="B362" t="s">
        <v>15</v>
      </c>
      <c r="C362" s="3">
        <v>1534</v>
      </c>
      <c r="D362" s="3">
        <v>1547.5</v>
      </c>
      <c r="E362" s="3">
        <v>1531.4</v>
      </c>
      <c r="F362" s="3">
        <v>1529.4</v>
      </c>
      <c r="G362" s="3">
        <v>1533.5</v>
      </c>
      <c r="H362" s="3">
        <v>1536.9</v>
      </c>
      <c r="I362" s="3">
        <v>1539.72</v>
      </c>
      <c r="J362" s="3">
        <v>1581.3</v>
      </c>
      <c r="K362" s="3">
        <v>1114.8499999999999</v>
      </c>
      <c r="L362" s="4">
        <v>7991629</v>
      </c>
      <c r="M362" s="3">
        <v>12304893787.5</v>
      </c>
      <c r="N362" s="4">
        <v>202989</v>
      </c>
      <c r="O362">
        <f t="shared" si="5"/>
        <v>4.903883876029815E-3</v>
      </c>
    </row>
    <row r="363" spans="1:15" ht="14.25" customHeight="1" x14ac:dyDescent="0.3">
      <c r="A363" s="2">
        <v>46002</v>
      </c>
      <c r="B363" t="s">
        <v>15</v>
      </c>
      <c r="C363" s="3">
        <v>1536.9</v>
      </c>
      <c r="D363" s="3">
        <v>1550</v>
      </c>
      <c r="E363" s="3">
        <v>1524</v>
      </c>
      <c r="F363" s="3">
        <v>1536.9</v>
      </c>
      <c r="G363" s="3">
        <v>1543</v>
      </c>
      <c r="H363" s="3">
        <v>1545</v>
      </c>
      <c r="I363" s="3">
        <v>1540.61</v>
      </c>
      <c r="J363" s="3">
        <v>1581.3</v>
      </c>
      <c r="K363" s="3">
        <v>1114.8499999999999</v>
      </c>
      <c r="L363" s="4">
        <v>4706197</v>
      </c>
      <c r="M363" s="3">
        <v>7250428118.3999996</v>
      </c>
      <c r="N363" s="4">
        <v>168155</v>
      </c>
      <c r="O363">
        <f t="shared" si="5"/>
        <v>5.2703494046456561E-3</v>
      </c>
    </row>
    <row r="364" spans="1:15" ht="14.25" customHeight="1" x14ac:dyDescent="0.3">
      <c r="A364" s="2">
        <v>46003</v>
      </c>
      <c r="B364" t="s">
        <v>15</v>
      </c>
      <c r="C364" s="3">
        <v>1550.8</v>
      </c>
      <c r="D364" s="3">
        <v>1559.8</v>
      </c>
      <c r="E364" s="3">
        <v>1546.1</v>
      </c>
      <c r="F364" s="3">
        <v>1545</v>
      </c>
      <c r="G364" s="3">
        <v>1554.3</v>
      </c>
      <c r="H364" s="3">
        <v>1556.5</v>
      </c>
      <c r="I364" s="3">
        <v>1555.21</v>
      </c>
      <c r="J364" s="3">
        <v>1581.3</v>
      </c>
      <c r="K364" s="3">
        <v>1114.8499999999999</v>
      </c>
      <c r="L364" s="4">
        <v>5106655</v>
      </c>
      <c r="M364" s="3">
        <v>7941940758.5</v>
      </c>
      <c r="N364" s="4">
        <v>139702</v>
      </c>
      <c r="O364">
        <f t="shared" si="5"/>
        <v>7.4433656957928803E-3</v>
      </c>
    </row>
    <row r="365" spans="1:15" ht="14.25" customHeight="1" x14ac:dyDescent="0.3">
      <c r="A365" s="2">
        <v>46006</v>
      </c>
      <c r="B365" t="s">
        <v>15</v>
      </c>
      <c r="C365" s="3">
        <v>1551.2</v>
      </c>
      <c r="D365" s="3">
        <v>1558.6</v>
      </c>
      <c r="E365" s="3">
        <v>1546.5</v>
      </c>
      <c r="F365" s="3">
        <v>1556.5</v>
      </c>
      <c r="G365" s="3">
        <v>1557</v>
      </c>
      <c r="H365" s="3">
        <v>1556.2</v>
      </c>
      <c r="I365" s="3">
        <v>1553.69</v>
      </c>
      <c r="J365" s="3">
        <v>1581.3</v>
      </c>
      <c r="K365" s="3">
        <v>1114.8499999999999</v>
      </c>
      <c r="L365" s="4">
        <v>5774543</v>
      </c>
      <c r="M365" s="3">
        <v>8971836560.7000008</v>
      </c>
      <c r="N365" s="4">
        <v>185872</v>
      </c>
      <c r="O365">
        <f t="shared" si="5"/>
        <v>-1.9274012206871476E-4</v>
      </c>
    </row>
    <row r="366" spans="1:15" ht="14.25" customHeight="1" x14ac:dyDescent="0.3">
      <c r="A366" s="2">
        <v>46007</v>
      </c>
      <c r="B366" t="s">
        <v>15</v>
      </c>
      <c r="C366" s="3">
        <v>1545</v>
      </c>
      <c r="D366" s="3">
        <v>1551.7</v>
      </c>
      <c r="E366" s="3">
        <v>1538.8</v>
      </c>
      <c r="F366" s="3">
        <v>1556.2</v>
      </c>
      <c r="G366" s="3">
        <v>1540.7</v>
      </c>
      <c r="H366" s="3">
        <v>1542.3</v>
      </c>
      <c r="I366" s="3">
        <v>1544.3</v>
      </c>
      <c r="J366" s="3">
        <v>1581.3</v>
      </c>
      <c r="K366" s="3">
        <v>1114.8499999999999</v>
      </c>
      <c r="L366" s="4">
        <v>11731856</v>
      </c>
      <c r="M366" s="3">
        <v>18117538818.099998</v>
      </c>
      <c r="N366" s="4">
        <v>246980</v>
      </c>
      <c r="O366">
        <f t="shared" si="5"/>
        <v>-8.9320138799640729E-3</v>
      </c>
    </row>
    <row r="367" spans="1:15" ht="14.25" customHeight="1" x14ac:dyDescent="0.3">
      <c r="A367" s="2">
        <v>46008</v>
      </c>
      <c r="B367" t="s">
        <v>15</v>
      </c>
      <c r="C367" s="3">
        <v>1550</v>
      </c>
      <c r="D367" s="3">
        <v>1550</v>
      </c>
      <c r="E367" s="3">
        <v>1539.3</v>
      </c>
      <c r="F367" s="3">
        <v>1542.3</v>
      </c>
      <c r="G367" s="3">
        <v>1545.1</v>
      </c>
      <c r="H367" s="3">
        <v>1544.4</v>
      </c>
      <c r="I367" s="3">
        <v>1544.14</v>
      </c>
      <c r="J367" s="3">
        <v>1581.3</v>
      </c>
      <c r="K367" s="3">
        <v>1114.8499999999999</v>
      </c>
      <c r="L367" s="4">
        <v>7116649</v>
      </c>
      <c r="M367" s="3">
        <v>10989103491.9</v>
      </c>
      <c r="N367" s="4">
        <v>176852</v>
      </c>
      <c r="O367">
        <f t="shared" si="5"/>
        <v>1.3616028010115648E-3</v>
      </c>
    </row>
    <row r="368" spans="1:15" ht="14.25" customHeight="1" x14ac:dyDescent="0.3">
      <c r="A368" s="2">
        <v>46009</v>
      </c>
      <c r="B368" t="s">
        <v>15</v>
      </c>
      <c r="C368" s="3">
        <v>1535.2</v>
      </c>
      <c r="D368" s="3">
        <v>1551.5</v>
      </c>
      <c r="E368" s="3">
        <v>1535.2</v>
      </c>
      <c r="F368" s="3">
        <v>1544.4</v>
      </c>
      <c r="G368" s="3">
        <v>1543.5</v>
      </c>
      <c r="H368" s="3">
        <v>1544.4</v>
      </c>
      <c r="I368" s="3">
        <v>1545.3</v>
      </c>
      <c r="J368" s="3">
        <v>1581.3</v>
      </c>
      <c r="K368" s="3">
        <v>1114.8499999999999</v>
      </c>
      <c r="L368" s="4">
        <v>6580829</v>
      </c>
      <c r="M368" s="3">
        <v>10169353778</v>
      </c>
      <c r="N368" s="4">
        <v>175814</v>
      </c>
      <c r="O368">
        <f t="shared" si="5"/>
        <v>0</v>
      </c>
    </row>
    <row r="369" spans="1:15" ht="14.25" customHeight="1" x14ac:dyDescent="0.3">
      <c r="A369" s="2">
        <v>46010</v>
      </c>
      <c r="B369" t="s">
        <v>15</v>
      </c>
      <c r="C369" s="3">
        <v>1554.4</v>
      </c>
      <c r="D369" s="3">
        <v>1574.2</v>
      </c>
      <c r="E369" s="3">
        <v>1551</v>
      </c>
      <c r="F369" s="3">
        <v>1544.4</v>
      </c>
      <c r="G369" s="3">
        <v>1564.9</v>
      </c>
      <c r="H369" s="3">
        <v>1565.1</v>
      </c>
      <c r="I369" s="3">
        <v>1566.6</v>
      </c>
      <c r="J369" s="3">
        <v>1581.3</v>
      </c>
      <c r="K369" s="3">
        <v>1114.8499999999999</v>
      </c>
      <c r="L369" s="4">
        <v>13937275</v>
      </c>
      <c r="M369" s="3">
        <v>21834130206.799999</v>
      </c>
      <c r="N369" s="4">
        <v>279233</v>
      </c>
      <c r="O369">
        <f t="shared" si="5"/>
        <v>1.3403263403263284E-2</v>
      </c>
    </row>
    <row r="370" spans="1:15" ht="14.25" customHeight="1" x14ac:dyDescent="0.3">
      <c r="A370" s="2">
        <v>46013</v>
      </c>
      <c r="B370" t="s">
        <v>15</v>
      </c>
      <c r="C370" s="3">
        <v>1573.5</v>
      </c>
      <c r="D370" s="3">
        <v>1577.5</v>
      </c>
      <c r="E370" s="3">
        <v>1565.3</v>
      </c>
      <c r="F370" s="3">
        <v>1565.1</v>
      </c>
      <c r="G370" s="3">
        <v>1577</v>
      </c>
      <c r="H370" s="3">
        <v>1575.4</v>
      </c>
      <c r="I370" s="3">
        <v>1571.96</v>
      </c>
      <c r="J370" s="3">
        <v>1581.3</v>
      </c>
      <c r="K370" s="3">
        <v>1114.8499999999999</v>
      </c>
      <c r="L370" s="4">
        <v>10184852</v>
      </c>
      <c r="M370" s="3">
        <v>16010206159.5</v>
      </c>
      <c r="N370" s="4">
        <v>371017</v>
      </c>
      <c r="O370">
        <f t="shared" si="5"/>
        <v>6.5810491342407403E-3</v>
      </c>
    </row>
    <row r="371" spans="1:15" ht="14.25" customHeight="1" x14ac:dyDescent="0.3">
      <c r="A371" s="2">
        <v>46014</v>
      </c>
      <c r="B371" t="s">
        <v>15</v>
      </c>
      <c r="C371" s="3">
        <v>1580.9</v>
      </c>
      <c r="D371" s="3">
        <v>1580.9</v>
      </c>
      <c r="E371" s="3">
        <v>1568.1</v>
      </c>
      <c r="F371" s="3">
        <v>1575.4</v>
      </c>
      <c r="G371" s="3">
        <v>1569</v>
      </c>
      <c r="H371" s="3">
        <v>1570.7</v>
      </c>
      <c r="I371" s="3">
        <v>1573.01</v>
      </c>
      <c r="J371" s="3">
        <v>1581.3</v>
      </c>
      <c r="K371" s="3">
        <v>1114.8499999999999</v>
      </c>
      <c r="L371" s="4">
        <v>7506564</v>
      </c>
      <c r="M371" s="3">
        <v>11807916323.5</v>
      </c>
      <c r="N371" s="4">
        <v>179265</v>
      </c>
      <c r="O371">
        <f t="shared" si="5"/>
        <v>-2.983369303034179E-3</v>
      </c>
    </row>
    <row r="372" spans="1:15" ht="14.25" customHeight="1" x14ac:dyDescent="0.3">
      <c r="A372" s="2">
        <v>46015</v>
      </c>
      <c r="B372" t="s">
        <v>15</v>
      </c>
      <c r="C372" s="3">
        <v>1572.7</v>
      </c>
      <c r="D372" s="3">
        <v>1575.7</v>
      </c>
      <c r="E372" s="3">
        <v>1553.6</v>
      </c>
      <c r="F372" s="3">
        <v>1570.7</v>
      </c>
      <c r="G372" s="3">
        <v>1560.6</v>
      </c>
      <c r="H372" s="3">
        <v>1558.2</v>
      </c>
      <c r="I372" s="3">
        <v>1559.55</v>
      </c>
      <c r="J372" s="3">
        <v>1581.3</v>
      </c>
      <c r="K372" s="3">
        <v>1114.8499999999999</v>
      </c>
      <c r="L372" s="4">
        <v>8815745</v>
      </c>
      <c r="M372" s="3">
        <v>13748600530.9</v>
      </c>
      <c r="N372" s="4">
        <v>243970</v>
      </c>
      <c r="O372">
        <f t="shared" si="5"/>
        <v>-7.958235181766091E-3</v>
      </c>
    </row>
    <row r="373" spans="1:15" ht="14.25" customHeight="1" x14ac:dyDescent="0.3">
      <c r="A373" s="2">
        <v>46017</v>
      </c>
      <c r="B373" t="s">
        <v>15</v>
      </c>
      <c r="C373" s="3">
        <v>1554.7</v>
      </c>
      <c r="D373" s="3">
        <v>1561</v>
      </c>
      <c r="E373" s="3">
        <v>1554.3</v>
      </c>
      <c r="F373" s="3">
        <v>1558.2</v>
      </c>
      <c r="G373" s="3">
        <v>1560</v>
      </c>
      <c r="H373" s="3">
        <v>1559.2</v>
      </c>
      <c r="I373" s="3">
        <v>1558.05</v>
      </c>
      <c r="J373" s="3">
        <v>1581.3</v>
      </c>
      <c r="K373" s="3">
        <v>1114.8499999999999</v>
      </c>
      <c r="L373" s="4">
        <v>2311495</v>
      </c>
      <c r="M373" s="3">
        <v>3601435338.6999998</v>
      </c>
      <c r="N373" s="4">
        <v>81976</v>
      </c>
      <c r="O373">
        <f t="shared" si="5"/>
        <v>6.4176614041843154E-4</v>
      </c>
    </row>
    <row r="374" spans="1:15" ht="14.25" customHeight="1" x14ac:dyDescent="0.3">
      <c r="A374" s="2">
        <v>46020</v>
      </c>
      <c r="B374" t="s">
        <v>15</v>
      </c>
      <c r="C374" s="3">
        <v>1554.9</v>
      </c>
      <c r="D374" s="3">
        <v>1558.1</v>
      </c>
      <c r="E374" s="3">
        <v>1543.6</v>
      </c>
      <c r="F374" s="3">
        <v>1559.2</v>
      </c>
      <c r="G374" s="3">
        <v>1546.7</v>
      </c>
      <c r="H374" s="3">
        <v>1545.6</v>
      </c>
      <c r="I374" s="3">
        <v>1547.8</v>
      </c>
      <c r="J374" s="3">
        <v>1581.3</v>
      </c>
      <c r="K374" s="3">
        <v>1114.8499999999999</v>
      </c>
      <c r="L374" s="4">
        <v>5972105</v>
      </c>
      <c r="M374" s="3">
        <v>9243616142.2999992</v>
      </c>
      <c r="N374" s="4">
        <v>158162</v>
      </c>
      <c r="O374">
        <f t="shared" si="5"/>
        <v>-8.7224217547461104E-3</v>
      </c>
    </row>
    <row r="375" spans="1:15" ht="14.25" customHeight="1" x14ac:dyDescent="0.3">
      <c r="A375" s="2">
        <v>46021</v>
      </c>
      <c r="B375" t="s">
        <v>15</v>
      </c>
      <c r="C375" s="3">
        <v>1547</v>
      </c>
      <c r="D375" s="3">
        <v>1553.6</v>
      </c>
      <c r="E375" s="3">
        <v>1537.8</v>
      </c>
      <c r="F375" s="3">
        <v>1545.6</v>
      </c>
      <c r="G375" s="3">
        <v>1541</v>
      </c>
      <c r="H375" s="3">
        <v>1539.8</v>
      </c>
      <c r="I375" s="3">
        <v>1543.21</v>
      </c>
      <c r="J375" s="3">
        <v>1581.3</v>
      </c>
      <c r="K375" s="3">
        <v>1114.8499999999999</v>
      </c>
      <c r="L375" s="4">
        <v>8815884</v>
      </c>
      <c r="M375" s="3">
        <v>13604745435</v>
      </c>
      <c r="N375" s="4">
        <v>199428</v>
      </c>
      <c r="O375">
        <f t="shared" si="5"/>
        <v>-3.7525879917183974E-3</v>
      </c>
    </row>
    <row r="376" spans="1:15" ht="14.25" customHeight="1" x14ac:dyDescent="0.3">
      <c r="A376" s="2">
        <v>46022</v>
      </c>
      <c r="B376" t="s">
        <v>15</v>
      </c>
      <c r="C376" s="3">
        <v>1541</v>
      </c>
      <c r="D376" s="3">
        <v>1577</v>
      </c>
      <c r="E376" s="3">
        <v>1541</v>
      </c>
      <c r="F376" s="3">
        <v>1539.8</v>
      </c>
      <c r="G376" s="3">
        <v>1569</v>
      </c>
      <c r="H376" s="3">
        <v>1570.4</v>
      </c>
      <c r="I376" s="3">
        <v>1566.86</v>
      </c>
      <c r="J376" s="3">
        <v>1581.3</v>
      </c>
      <c r="K376" s="3">
        <v>1114.8499999999999</v>
      </c>
      <c r="L376" s="4">
        <v>5771830</v>
      </c>
      <c r="M376" s="3">
        <v>9043650348.5</v>
      </c>
      <c r="N376" s="4">
        <v>141792</v>
      </c>
      <c r="O376">
        <f t="shared" si="5"/>
        <v>1.987271074165485E-2</v>
      </c>
    </row>
    <row r="377" spans="1:15" ht="14.25" customHeight="1" x14ac:dyDescent="0.3">
      <c r="A377" s="2">
        <v>46023</v>
      </c>
      <c r="B377" t="s">
        <v>15</v>
      </c>
      <c r="C377" s="3">
        <v>1573.7</v>
      </c>
      <c r="D377" s="3">
        <v>1592.5</v>
      </c>
      <c r="E377" s="3">
        <v>1571.1</v>
      </c>
      <c r="F377" s="3">
        <v>1570.4</v>
      </c>
      <c r="G377" s="3">
        <v>1572.9</v>
      </c>
      <c r="H377" s="3">
        <v>1575.6</v>
      </c>
      <c r="I377" s="3">
        <v>1578.67</v>
      </c>
      <c r="J377" s="3">
        <v>1592.5</v>
      </c>
      <c r="K377" s="3">
        <v>1114.8499999999999</v>
      </c>
      <c r="L377" s="4">
        <v>6408128</v>
      </c>
      <c r="M377" s="3">
        <v>10116346867.1</v>
      </c>
      <c r="N377" s="4">
        <v>134062</v>
      </c>
      <c r="O377">
        <f t="shared" si="5"/>
        <v>3.3112582781455791E-3</v>
      </c>
    </row>
    <row r="378" spans="1:15" ht="14.25" customHeight="1" x14ac:dyDescent="0.3">
      <c r="A378" s="2">
        <v>46024</v>
      </c>
      <c r="B378" t="s">
        <v>15</v>
      </c>
      <c r="C378" s="3">
        <v>1580</v>
      </c>
      <c r="D378" s="3">
        <v>1594.6</v>
      </c>
      <c r="E378" s="3">
        <v>1578.2</v>
      </c>
      <c r="F378" s="3">
        <v>1575.6</v>
      </c>
      <c r="G378" s="3">
        <v>1593</v>
      </c>
      <c r="H378" s="3">
        <v>1592.3</v>
      </c>
      <c r="I378" s="3">
        <v>1589.16</v>
      </c>
      <c r="J378" s="3">
        <v>1594.6</v>
      </c>
      <c r="K378" s="3">
        <v>1114.8499999999999</v>
      </c>
      <c r="L378" s="4">
        <v>6602230</v>
      </c>
      <c r="M378" s="3">
        <v>10491999169.4</v>
      </c>
      <c r="N378" s="4">
        <v>156023</v>
      </c>
      <c r="O378">
        <f t="shared" si="5"/>
        <v>1.0599136836760628E-2</v>
      </c>
    </row>
    <row r="379" spans="1:15" ht="14.25" customHeight="1" x14ac:dyDescent="0.3">
      <c r="A379" s="2">
        <v>46027</v>
      </c>
      <c r="B379" t="s">
        <v>15</v>
      </c>
      <c r="C379" s="3">
        <v>1593</v>
      </c>
      <c r="D379" s="3">
        <v>1611.8</v>
      </c>
      <c r="E379" s="3">
        <v>1575.3</v>
      </c>
      <c r="F379" s="3">
        <v>1592.3</v>
      </c>
      <c r="G379" s="3">
        <v>1577</v>
      </c>
      <c r="H379" s="3">
        <v>1578.1</v>
      </c>
      <c r="I379" s="3">
        <v>1589.36</v>
      </c>
      <c r="J379" s="3">
        <v>1611.8</v>
      </c>
      <c r="K379" s="3">
        <v>1114.8499999999999</v>
      </c>
      <c r="L379" s="4">
        <v>8704973</v>
      </c>
      <c r="M379" s="3">
        <v>13835333400.1</v>
      </c>
      <c r="N379" s="4">
        <v>227204</v>
      </c>
      <c r="O379">
        <f t="shared" si="5"/>
        <v>-8.9179174778622403E-3</v>
      </c>
    </row>
    <row r="380" spans="1:15" ht="14.25" customHeight="1" x14ac:dyDescent="0.3">
      <c r="A380" s="2">
        <v>46028</v>
      </c>
      <c r="B380" t="s">
        <v>15</v>
      </c>
      <c r="C380" s="3">
        <v>1569</v>
      </c>
      <c r="D380" s="3">
        <v>1569</v>
      </c>
      <c r="E380" s="3">
        <v>1496.3</v>
      </c>
      <c r="F380" s="3">
        <v>1578.1</v>
      </c>
      <c r="G380" s="3">
        <v>1508.9</v>
      </c>
      <c r="H380" s="3">
        <v>1507.6</v>
      </c>
      <c r="I380" s="3">
        <v>1516.17</v>
      </c>
      <c r="J380" s="3">
        <v>1611.8</v>
      </c>
      <c r="K380" s="3">
        <v>1114.8499999999999</v>
      </c>
      <c r="L380" s="4">
        <v>27417125</v>
      </c>
      <c r="M380" s="3">
        <v>41569080602.199997</v>
      </c>
      <c r="N380" s="4">
        <v>583917</v>
      </c>
      <c r="O380">
        <f t="shared" si="5"/>
        <v>-4.4673975033267858E-2</v>
      </c>
    </row>
    <row r="381" spans="1:15" ht="14.25" customHeight="1" x14ac:dyDescent="0.3">
      <c r="A381" s="2">
        <v>46029</v>
      </c>
      <c r="B381" t="s">
        <v>15</v>
      </c>
      <c r="C381" s="3">
        <v>1510</v>
      </c>
      <c r="D381" s="3">
        <v>1520</v>
      </c>
      <c r="E381" s="3">
        <v>1498</v>
      </c>
      <c r="F381" s="3">
        <v>1507.6</v>
      </c>
      <c r="G381" s="3">
        <v>1505.1</v>
      </c>
      <c r="H381" s="3">
        <v>1504.2</v>
      </c>
      <c r="I381" s="3">
        <v>1506.81</v>
      </c>
      <c r="J381" s="3">
        <v>1611.8</v>
      </c>
      <c r="K381" s="3">
        <v>1114.8499999999999</v>
      </c>
      <c r="L381" s="4">
        <v>11199340</v>
      </c>
      <c r="M381" s="3">
        <v>16875253099.5</v>
      </c>
      <c r="N381" s="4">
        <v>302077</v>
      </c>
      <c r="O381">
        <f t="shared" si="5"/>
        <v>-2.2552401167417512E-3</v>
      </c>
    </row>
    <row r="382" spans="1:15" ht="14.25" customHeight="1" x14ac:dyDescent="0.3">
      <c r="A382" s="2">
        <v>46030</v>
      </c>
      <c r="B382" t="s">
        <v>15</v>
      </c>
      <c r="C382" s="3">
        <v>1500</v>
      </c>
      <c r="D382" s="3">
        <v>1503.9</v>
      </c>
      <c r="E382" s="3">
        <v>1468.8</v>
      </c>
      <c r="F382" s="3">
        <v>1504.2</v>
      </c>
      <c r="G382" s="3">
        <v>1470.7</v>
      </c>
      <c r="H382" s="3">
        <v>1470.6</v>
      </c>
      <c r="I382" s="3">
        <v>1477.72</v>
      </c>
      <c r="J382" s="3">
        <v>1611.8</v>
      </c>
      <c r="K382" s="3">
        <v>1114.8499999999999</v>
      </c>
      <c r="L382" s="4">
        <v>16518684</v>
      </c>
      <c r="M382" s="3">
        <v>24410037550.099998</v>
      </c>
      <c r="N382" s="4">
        <v>443727</v>
      </c>
      <c r="O382">
        <f t="shared" si="5"/>
        <v>-2.2337455125648276E-2</v>
      </c>
    </row>
    <row r="383" spans="1:15" ht="14.25" customHeight="1" x14ac:dyDescent="0.3">
      <c r="A383" s="2">
        <v>46031</v>
      </c>
      <c r="B383" t="s">
        <v>15</v>
      </c>
      <c r="C383" s="3">
        <v>1465</v>
      </c>
      <c r="D383" s="3">
        <v>1479.9</v>
      </c>
      <c r="E383" s="3">
        <v>1465</v>
      </c>
      <c r="F383" s="3">
        <v>1470.6</v>
      </c>
      <c r="G383" s="3">
        <v>1476</v>
      </c>
      <c r="H383" s="3">
        <v>1475.3</v>
      </c>
      <c r="I383" s="3">
        <v>1472.13</v>
      </c>
      <c r="J383" s="3">
        <v>1611.8</v>
      </c>
      <c r="K383" s="3">
        <v>1114.8499999999999</v>
      </c>
      <c r="L383" s="4">
        <v>8335311</v>
      </c>
      <c r="M383" s="3">
        <v>12270672520.9</v>
      </c>
      <c r="N383" s="4">
        <v>237412</v>
      </c>
      <c r="O383">
        <f t="shared" si="5"/>
        <v>3.1959744322045736E-3</v>
      </c>
    </row>
    <row r="384" spans="1:15" ht="14.25" customHeight="1" x14ac:dyDescent="0.3">
      <c r="A384" s="2">
        <v>46034</v>
      </c>
      <c r="B384" t="s">
        <v>15</v>
      </c>
      <c r="C384" s="3">
        <v>1475.3</v>
      </c>
      <c r="D384" s="3">
        <v>1485.3</v>
      </c>
      <c r="E384" s="3">
        <v>1451</v>
      </c>
      <c r="F384" s="3">
        <v>1475.3</v>
      </c>
      <c r="G384" s="3">
        <v>1484</v>
      </c>
      <c r="H384" s="3">
        <v>1483.2</v>
      </c>
      <c r="I384" s="3">
        <v>1469.79</v>
      </c>
      <c r="J384" s="3">
        <v>1611.8</v>
      </c>
      <c r="K384" s="3">
        <v>1114.8499999999999</v>
      </c>
      <c r="L384" s="4">
        <v>8883745</v>
      </c>
      <c r="M384" s="3">
        <v>13057259395.4</v>
      </c>
      <c r="N384" s="4">
        <v>236827</v>
      </c>
      <c r="O384">
        <f t="shared" si="5"/>
        <v>5.35484308276289E-3</v>
      </c>
    </row>
    <row r="385" spans="1:15" ht="14.25" customHeight="1" x14ac:dyDescent="0.3">
      <c r="A385" s="2">
        <v>46035</v>
      </c>
      <c r="B385" t="s">
        <v>15</v>
      </c>
      <c r="C385" s="3">
        <v>1485</v>
      </c>
      <c r="D385" s="3">
        <v>1485.8</v>
      </c>
      <c r="E385" s="3">
        <v>1444.7</v>
      </c>
      <c r="F385" s="3">
        <v>1483.2</v>
      </c>
      <c r="G385" s="3">
        <v>1456.9</v>
      </c>
      <c r="H385" s="3">
        <v>1452.8</v>
      </c>
      <c r="I385" s="3">
        <v>1457.67</v>
      </c>
      <c r="J385" s="3">
        <v>1611.8</v>
      </c>
      <c r="K385" s="3">
        <v>1114.8499999999999</v>
      </c>
      <c r="L385" s="4">
        <v>13499760</v>
      </c>
      <c r="M385" s="3">
        <v>19678131155.400002</v>
      </c>
      <c r="N385" s="4">
        <v>289198</v>
      </c>
      <c r="O385">
        <f t="shared" si="5"/>
        <v>-2.0496224379719586E-2</v>
      </c>
    </row>
    <row r="386" spans="1:15" ht="14.25" customHeight="1" x14ac:dyDescent="0.3">
      <c r="A386" s="2">
        <v>46036</v>
      </c>
      <c r="B386" t="s">
        <v>15</v>
      </c>
      <c r="C386" s="3">
        <v>1444</v>
      </c>
      <c r="D386" s="3">
        <v>1467</v>
      </c>
      <c r="E386" s="3">
        <v>1440.2</v>
      </c>
      <c r="F386" s="3">
        <v>1452.8</v>
      </c>
      <c r="G386" s="3">
        <v>1458.8</v>
      </c>
      <c r="H386" s="3">
        <v>1458.8</v>
      </c>
      <c r="I386" s="3">
        <v>1458.22</v>
      </c>
      <c r="J386" s="3">
        <v>1611.8</v>
      </c>
      <c r="K386" s="3">
        <v>1114.8499999999999</v>
      </c>
      <c r="L386" s="4">
        <v>8321764</v>
      </c>
      <c r="M386" s="3">
        <v>12134950551.200001</v>
      </c>
      <c r="N386" s="4">
        <v>167816</v>
      </c>
      <c r="O386">
        <f t="shared" si="5"/>
        <v>4.1299559471365639E-3</v>
      </c>
    </row>
    <row r="387" spans="1:15" ht="14.25" customHeight="1" x14ac:dyDescent="0.3">
      <c r="A387" s="2">
        <v>46038</v>
      </c>
      <c r="B387" t="s">
        <v>15</v>
      </c>
      <c r="C387" s="3">
        <v>1458.8</v>
      </c>
      <c r="D387" s="3">
        <v>1480</v>
      </c>
      <c r="E387" s="3">
        <v>1455.1</v>
      </c>
      <c r="F387" s="3">
        <v>1458.8</v>
      </c>
      <c r="G387" s="3">
        <v>1461</v>
      </c>
      <c r="H387" s="3">
        <v>1457.9</v>
      </c>
      <c r="I387" s="3">
        <v>1464.15</v>
      </c>
      <c r="J387" s="3">
        <v>1611.8</v>
      </c>
      <c r="K387" s="3">
        <v>1114.8499999999999</v>
      </c>
      <c r="L387" s="4">
        <v>17167161</v>
      </c>
      <c r="M387" s="3">
        <v>25135247618</v>
      </c>
      <c r="N387" s="4">
        <v>289037</v>
      </c>
      <c r="O387">
        <f t="shared" ref="O387:O450" si="6">(H387-H386)/H386</f>
        <v>-6.1694543460369042E-4</v>
      </c>
    </row>
    <row r="388" spans="1:15" ht="14.25" customHeight="1" x14ac:dyDescent="0.3">
      <c r="A388" s="2">
        <v>46041</v>
      </c>
      <c r="B388" t="s">
        <v>15</v>
      </c>
      <c r="C388" s="3">
        <v>1450.6</v>
      </c>
      <c r="D388" s="3">
        <v>1450.6</v>
      </c>
      <c r="E388" s="3">
        <v>1403.3</v>
      </c>
      <c r="F388" s="3">
        <v>1457.9</v>
      </c>
      <c r="G388" s="3">
        <v>1413.2</v>
      </c>
      <c r="H388" s="3">
        <v>1413.6</v>
      </c>
      <c r="I388" s="3">
        <v>1415.36</v>
      </c>
      <c r="J388" s="3">
        <v>1611.8</v>
      </c>
      <c r="K388" s="3">
        <v>1114.8499999999999</v>
      </c>
      <c r="L388" s="4">
        <v>20392765</v>
      </c>
      <c r="M388" s="3">
        <v>28863128634.099998</v>
      </c>
      <c r="N388" s="4">
        <v>569720</v>
      </c>
      <c r="O388">
        <f t="shared" si="6"/>
        <v>-3.0386171891076327E-2</v>
      </c>
    </row>
    <row r="389" spans="1:15" ht="14.25" customHeight="1" x14ac:dyDescent="0.3">
      <c r="A389" s="2">
        <v>46042</v>
      </c>
      <c r="B389" t="s">
        <v>15</v>
      </c>
      <c r="C389" s="3">
        <v>1410.7</v>
      </c>
      <c r="D389" s="3">
        <v>1416</v>
      </c>
      <c r="E389" s="3">
        <v>1390</v>
      </c>
      <c r="F389" s="3">
        <v>1413.6</v>
      </c>
      <c r="G389" s="3">
        <v>1392.4</v>
      </c>
      <c r="H389" s="3">
        <v>1394</v>
      </c>
      <c r="I389" s="3">
        <v>1401.05</v>
      </c>
      <c r="J389" s="3">
        <v>1611.8</v>
      </c>
      <c r="K389" s="3">
        <v>1114.8499999999999</v>
      </c>
      <c r="L389" s="4">
        <v>13189498</v>
      </c>
      <c r="M389" s="3">
        <v>18479164578.5</v>
      </c>
      <c r="N389" s="4">
        <v>382470</v>
      </c>
      <c r="O389">
        <f t="shared" si="6"/>
        <v>-1.3865308432371187E-2</v>
      </c>
    </row>
    <row r="390" spans="1:15" ht="14.25" customHeight="1" x14ac:dyDescent="0.3">
      <c r="A390" s="2">
        <v>46043</v>
      </c>
      <c r="B390" t="s">
        <v>15</v>
      </c>
      <c r="C390" s="3">
        <v>1389.5</v>
      </c>
      <c r="D390" s="3">
        <v>1412.9</v>
      </c>
      <c r="E390" s="3">
        <v>1373</v>
      </c>
      <c r="F390" s="3">
        <v>1394</v>
      </c>
      <c r="G390" s="3">
        <v>1407.5</v>
      </c>
      <c r="H390" s="3">
        <v>1404.6</v>
      </c>
      <c r="I390" s="3">
        <v>1399.14</v>
      </c>
      <c r="J390" s="3">
        <v>1611.8</v>
      </c>
      <c r="K390" s="3">
        <v>1114.8499999999999</v>
      </c>
      <c r="L390" s="4">
        <v>17352720</v>
      </c>
      <c r="M390" s="3">
        <v>24278965746.299999</v>
      </c>
      <c r="N390" s="4">
        <v>412452</v>
      </c>
      <c r="O390">
        <f t="shared" si="6"/>
        <v>7.6040172166426893E-3</v>
      </c>
    </row>
    <row r="391" spans="1:15" ht="14.25" customHeight="1" x14ac:dyDescent="0.3">
      <c r="A391" s="2">
        <v>46044</v>
      </c>
      <c r="B391" t="s">
        <v>15</v>
      </c>
      <c r="C391" s="3">
        <v>1410.1</v>
      </c>
      <c r="D391" s="3">
        <v>1419.5</v>
      </c>
      <c r="E391" s="3">
        <v>1395</v>
      </c>
      <c r="F391" s="3">
        <v>1404.6</v>
      </c>
      <c r="G391" s="3">
        <v>1404.1</v>
      </c>
      <c r="H391" s="3">
        <v>1402.5</v>
      </c>
      <c r="I391" s="3">
        <v>1403.8</v>
      </c>
      <c r="J391" s="3">
        <v>1611.8</v>
      </c>
      <c r="K391" s="3">
        <v>1114.8499999999999</v>
      </c>
      <c r="L391" s="4">
        <v>15721693</v>
      </c>
      <c r="M391" s="3">
        <v>22070150220.099998</v>
      </c>
      <c r="N391" s="4">
        <v>391641</v>
      </c>
      <c r="O391">
        <f t="shared" si="6"/>
        <v>-1.4950875694147154E-3</v>
      </c>
    </row>
    <row r="392" spans="1:15" ht="14.25" customHeight="1" x14ac:dyDescent="0.3">
      <c r="A392" s="2">
        <v>46045</v>
      </c>
      <c r="B392" t="s">
        <v>15</v>
      </c>
      <c r="C392" s="3">
        <v>1401.8</v>
      </c>
      <c r="D392" s="3">
        <v>1407</v>
      </c>
      <c r="E392" s="3">
        <v>1381</v>
      </c>
      <c r="F392" s="3">
        <v>1402.5</v>
      </c>
      <c r="G392" s="3">
        <v>1387</v>
      </c>
      <c r="H392" s="3">
        <v>1386.1</v>
      </c>
      <c r="I392" s="3">
        <v>1391.32</v>
      </c>
      <c r="J392" s="3">
        <v>1611.8</v>
      </c>
      <c r="K392" s="3">
        <v>1114.8499999999999</v>
      </c>
      <c r="L392" s="4">
        <v>9837802</v>
      </c>
      <c r="M392" s="3">
        <v>13687560136.700001</v>
      </c>
      <c r="N392" s="4">
        <v>263283</v>
      </c>
      <c r="O392">
        <f t="shared" si="6"/>
        <v>-1.169340463458117E-2</v>
      </c>
    </row>
    <row r="393" spans="1:15" ht="14.25" customHeight="1" x14ac:dyDescent="0.3">
      <c r="A393" s="2">
        <v>46049</v>
      </c>
      <c r="B393" t="s">
        <v>15</v>
      </c>
      <c r="C393" s="3">
        <v>1380</v>
      </c>
      <c r="D393" s="3">
        <v>1391.6</v>
      </c>
      <c r="E393" s="3">
        <v>1368</v>
      </c>
      <c r="F393" s="3">
        <v>1386.1</v>
      </c>
      <c r="G393" s="3">
        <v>1384</v>
      </c>
      <c r="H393" s="3">
        <v>1380.5</v>
      </c>
      <c r="I393" s="3">
        <v>1381.87</v>
      </c>
      <c r="J393" s="3">
        <v>1611.8</v>
      </c>
      <c r="K393" s="3">
        <v>1114.8499999999999</v>
      </c>
      <c r="L393" s="4">
        <v>26302396</v>
      </c>
      <c r="M393" s="3">
        <v>36346567203.099998</v>
      </c>
      <c r="N393" s="4">
        <v>337571</v>
      </c>
      <c r="O393">
        <f t="shared" si="6"/>
        <v>-4.0401125459922872E-3</v>
      </c>
    </row>
    <row r="394" spans="1:15" ht="14.25" customHeight="1" x14ac:dyDescent="0.3">
      <c r="A394" s="2">
        <v>46050</v>
      </c>
      <c r="B394" t="s">
        <v>15</v>
      </c>
      <c r="C394" s="3">
        <v>1385</v>
      </c>
      <c r="D394" s="3">
        <v>1409.9</v>
      </c>
      <c r="E394" s="3">
        <v>1384.9</v>
      </c>
      <c r="F394" s="3">
        <v>1380.5</v>
      </c>
      <c r="G394" s="3">
        <v>1398.5</v>
      </c>
      <c r="H394" s="3">
        <v>1396.7</v>
      </c>
      <c r="I394" s="3">
        <v>1396.85</v>
      </c>
      <c r="J394" s="3">
        <v>1611.8</v>
      </c>
      <c r="K394" s="3">
        <v>1114.8499999999999</v>
      </c>
      <c r="L394" s="4">
        <v>11121657</v>
      </c>
      <c r="M394" s="3">
        <v>15535335257.6</v>
      </c>
      <c r="N394" s="4">
        <v>209556</v>
      </c>
      <c r="O394">
        <f t="shared" si="6"/>
        <v>1.1734878667149616E-2</v>
      </c>
    </row>
    <row r="395" spans="1:15" ht="14.25" customHeight="1" x14ac:dyDescent="0.3">
      <c r="A395" s="2">
        <v>46051</v>
      </c>
      <c r="B395" t="s">
        <v>15</v>
      </c>
      <c r="C395" s="3">
        <v>1402.9</v>
      </c>
      <c r="D395" s="3">
        <v>1402.9</v>
      </c>
      <c r="E395" s="3">
        <v>1384</v>
      </c>
      <c r="F395" s="3">
        <v>1396.7</v>
      </c>
      <c r="G395" s="3">
        <v>1386.9</v>
      </c>
      <c r="H395" s="3">
        <v>1391</v>
      </c>
      <c r="I395" s="3">
        <v>1393.55</v>
      </c>
      <c r="J395" s="3">
        <v>1611.8</v>
      </c>
      <c r="K395" s="3">
        <v>1114.8499999999999</v>
      </c>
      <c r="L395" s="4">
        <v>20846683</v>
      </c>
      <c r="M395" s="3">
        <v>29050818209</v>
      </c>
      <c r="N395" s="4">
        <v>295986</v>
      </c>
      <c r="O395">
        <f t="shared" si="6"/>
        <v>-4.0810481850075504E-3</v>
      </c>
    </row>
    <row r="396" spans="1:15" ht="14.25" customHeight="1" x14ac:dyDescent="0.3">
      <c r="A396" s="2">
        <v>46052</v>
      </c>
      <c r="B396" t="s">
        <v>15</v>
      </c>
      <c r="C396" s="3">
        <v>1382.6</v>
      </c>
      <c r="D396" s="3">
        <v>1398</v>
      </c>
      <c r="E396" s="3">
        <v>1378.5</v>
      </c>
      <c r="F396" s="3">
        <v>1391</v>
      </c>
      <c r="G396" s="3">
        <v>1397</v>
      </c>
      <c r="H396" s="3">
        <v>1395.4</v>
      </c>
      <c r="I396" s="3">
        <v>1391.25</v>
      </c>
      <c r="J396" s="3">
        <v>1611.8</v>
      </c>
      <c r="K396" s="3">
        <v>1114.8499999999999</v>
      </c>
      <c r="L396" s="4">
        <v>11239835</v>
      </c>
      <c r="M396" s="3">
        <v>15637418399.5</v>
      </c>
      <c r="N396" s="4">
        <v>159638</v>
      </c>
      <c r="O396">
        <f t="shared" si="6"/>
        <v>3.1631919482387424E-3</v>
      </c>
    </row>
    <row r="397" spans="1:15" ht="14.25" customHeight="1" x14ac:dyDescent="0.3">
      <c r="A397" s="2">
        <v>46054</v>
      </c>
      <c r="B397" t="s">
        <v>15</v>
      </c>
      <c r="C397" s="3">
        <v>1396</v>
      </c>
      <c r="D397" s="3">
        <v>1411</v>
      </c>
      <c r="E397" s="3">
        <v>1335</v>
      </c>
      <c r="F397" s="3">
        <v>1395.4</v>
      </c>
      <c r="G397" s="3">
        <v>1342.8</v>
      </c>
      <c r="H397" s="3">
        <v>1347</v>
      </c>
      <c r="I397" s="3">
        <v>1377.13</v>
      </c>
      <c r="J397" s="3">
        <v>1611.8</v>
      </c>
      <c r="K397" s="3">
        <v>1114.8499999999999</v>
      </c>
      <c r="L397" s="4">
        <v>9714528</v>
      </c>
      <c r="M397" s="3">
        <v>13378145108.700001</v>
      </c>
      <c r="N397" s="4">
        <v>236369</v>
      </c>
      <c r="O397">
        <f t="shared" si="6"/>
        <v>-3.4685394868854871E-2</v>
      </c>
    </row>
    <row r="398" spans="1:15" ht="14.25" customHeight="1" x14ac:dyDescent="0.3">
      <c r="A398" s="2">
        <v>46055</v>
      </c>
      <c r="B398" t="s">
        <v>15</v>
      </c>
      <c r="C398" s="3">
        <v>1340</v>
      </c>
      <c r="D398" s="3">
        <v>1392.9</v>
      </c>
      <c r="E398" s="3">
        <v>1335.5</v>
      </c>
      <c r="F398" s="3">
        <v>1347</v>
      </c>
      <c r="G398" s="3">
        <v>1388</v>
      </c>
      <c r="H398" s="3">
        <v>1390.4</v>
      </c>
      <c r="I398" s="3">
        <v>1373.27</v>
      </c>
      <c r="J398" s="3">
        <v>1611.8</v>
      </c>
      <c r="K398" s="3">
        <v>1114.8499999999999</v>
      </c>
      <c r="L398" s="4">
        <v>15711165</v>
      </c>
      <c r="M398" s="3">
        <v>21575643258.5</v>
      </c>
      <c r="N398" s="4">
        <v>379997</v>
      </c>
      <c r="O398">
        <f t="shared" si="6"/>
        <v>3.2219747587230951E-2</v>
      </c>
    </row>
    <row r="399" spans="1:15" ht="14.25" customHeight="1" x14ac:dyDescent="0.3">
      <c r="A399" s="2">
        <v>46056</v>
      </c>
      <c r="B399" t="s">
        <v>15</v>
      </c>
      <c r="C399" s="3">
        <v>1473.9</v>
      </c>
      <c r="D399" s="3">
        <v>1489.5</v>
      </c>
      <c r="E399" s="3">
        <v>1430.2</v>
      </c>
      <c r="F399" s="3">
        <v>1390.4</v>
      </c>
      <c r="G399" s="3">
        <v>1438</v>
      </c>
      <c r="H399" s="3">
        <v>1437.1</v>
      </c>
      <c r="I399" s="3">
        <v>1445.7</v>
      </c>
      <c r="J399" s="3">
        <v>1611.8</v>
      </c>
      <c r="K399" s="3">
        <v>1114.8499999999999</v>
      </c>
      <c r="L399" s="4">
        <v>25456171</v>
      </c>
      <c r="M399" s="3">
        <v>36802006349.099998</v>
      </c>
      <c r="N399" s="4">
        <v>360494</v>
      </c>
      <c r="O399">
        <f t="shared" si="6"/>
        <v>3.3587456846950386E-2</v>
      </c>
    </row>
    <row r="400" spans="1:15" ht="14.25" customHeight="1" x14ac:dyDescent="0.3">
      <c r="A400" s="2">
        <v>46057</v>
      </c>
      <c r="B400" t="s">
        <v>15</v>
      </c>
      <c r="C400" s="3">
        <v>1444</v>
      </c>
      <c r="D400" s="3">
        <v>1464</v>
      </c>
      <c r="E400" s="3">
        <v>1440.3</v>
      </c>
      <c r="F400" s="3">
        <v>1437.1</v>
      </c>
      <c r="G400" s="3">
        <v>1455.4</v>
      </c>
      <c r="H400" s="3">
        <v>1456.8</v>
      </c>
      <c r="I400" s="3">
        <v>1455.35</v>
      </c>
      <c r="J400" s="3">
        <v>1611.8</v>
      </c>
      <c r="K400" s="3">
        <v>1114.8499999999999</v>
      </c>
      <c r="L400" s="4">
        <v>8333387</v>
      </c>
      <c r="M400" s="3">
        <v>12127957783.700001</v>
      </c>
      <c r="N400" s="4">
        <v>189873</v>
      </c>
      <c r="O400">
        <f t="shared" si="6"/>
        <v>1.3708162271240725E-2</v>
      </c>
    </row>
    <row r="401" spans="1:15" ht="14.25" customHeight="1" x14ac:dyDescent="0.3">
      <c r="A401" s="2">
        <v>46058</v>
      </c>
      <c r="B401" t="s">
        <v>15</v>
      </c>
      <c r="C401" s="3">
        <v>1457</v>
      </c>
      <c r="D401" s="3">
        <v>1461.5</v>
      </c>
      <c r="E401" s="3">
        <v>1439.5</v>
      </c>
      <c r="F401" s="3">
        <v>1456.8</v>
      </c>
      <c r="G401" s="3">
        <v>1441.9</v>
      </c>
      <c r="H401" s="3">
        <v>1443.4</v>
      </c>
      <c r="I401" s="3">
        <v>1444.91</v>
      </c>
      <c r="J401" s="3">
        <v>1611.8</v>
      </c>
      <c r="K401" s="3">
        <v>1114.8499999999999</v>
      </c>
      <c r="L401" s="4">
        <v>11763658</v>
      </c>
      <c r="M401" s="3">
        <v>16997446034.9</v>
      </c>
      <c r="N401" s="4">
        <v>206465</v>
      </c>
      <c r="O401">
        <f t="shared" si="6"/>
        <v>-9.1982427237780502E-3</v>
      </c>
    </row>
    <row r="402" spans="1:15" ht="14.25" customHeight="1" x14ac:dyDescent="0.3">
      <c r="A402" s="2">
        <v>46059</v>
      </c>
      <c r="B402" t="s">
        <v>15</v>
      </c>
      <c r="C402" s="3">
        <v>1441.5</v>
      </c>
      <c r="D402" s="3">
        <v>1452.8</v>
      </c>
      <c r="E402" s="3">
        <v>1433.5</v>
      </c>
      <c r="F402" s="3">
        <v>1443.4</v>
      </c>
      <c r="G402" s="3">
        <v>1451</v>
      </c>
      <c r="H402" s="3">
        <v>1450.8</v>
      </c>
      <c r="I402" s="3">
        <v>1442.78</v>
      </c>
      <c r="J402" s="3">
        <v>1611.8</v>
      </c>
      <c r="K402" s="3">
        <v>1114.8499999999999</v>
      </c>
      <c r="L402" s="4">
        <v>8277304</v>
      </c>
      <c r="M402" s="3">
        <v>11942366313</v>
      </c>
      <c r="N402" s="4">
        <v>133331</v>
      </c>
      <c r="O402">
        <f t="shared" si="6"/>
        <v>5.1267839822640038E-3</v>
      </c>
    </row>
    <row r="403" spans="1:15" ht="14.25" customHeight="1" x14ac:dyDescent="0.3">
      <c r="A403" s="2">
        <v>46062</v>
      </c>
      <c r="B403" t="s">
        <v>15</v>
      </c>
      <c r="C403" s="3">
        <v>1458</v>
      </c>
      <c r="D403" s="3">
        <v>1465.9</v>
      </c>
      <c r="E403" s="3">
        <v>1453</v>
      </c>
      <c r="F403" s="3">
        <v>1450.8</v>
      </c>
      <c r="G403" s="3">
        <v>1461.2</v>
      </c>
      <c r="H403" s="3">
        <v>1461.6</v>
      </c>
      <c r="I403" s="3">
        <v>1462.26</v>
      </c>
      <c r="J403" s="3">
        <v>1611.8</v>
      </c>
      <c r="K403" s="3">
        <v>1114.8499999999999</v>
      </c>
      <c r="L403" s="4">
        <v>5775864</v>
      </c>
      <c r="M403" s="3">
        <v>8445811902.3000002</v>
      </c>
      <c r="N403" s="4">
        <v>127171</v>
      </c>
      <c r="O403">
        <f t="shared" si="6"/>
        <v>7.4441687344912839E-3</v>
      </c>
    </row>
    <row r="404" spans="1:15" ht="14.25" customHeight="1" x14ac:dyDescent="0.3">
      <c r="A404" s="2">
        <v>46063</v>
      </c>
      <c r="B404" t="s">
        <v>15</v>
      </c>
      <c r="C404" s="3">
        <v>1471</v>
      </c>
      <c r="D404" s="3">
        <v>1471</v>
      </c>
      <c r="E404" s="3">
        <v>1452.2</v>
      </c>
      <c r="F404" s="3">
        <v>1461.6</v>
      </c>
      <c r="G404" s="3">
        <v>1456.2</v>
      </c>
      <c r="H404" s="3">
        <v>1458.5</v>
      </c>
      <c r="I404" s="3">
        <v>1459.23</v>
      </c>
      <c r="J404" s="3">
        <v>1611.8</v>
      </c>
      <c r="K404" s="3">
        <v>1114.8499999999999</v>
      </c>
      <c r="L404" s="4">
        <v>10259630</v>
      </c>
      <c r="M404" s="3">
        <v>14971196098.299999</v>
      </c>
      <c r="N404" s="4">
        <v>181163</v>
      </c>
      <c r="O404">
        <f t="shared" si="6"/>
        <v>-2.1209633278598174E-3</v>
      </c>
    </row>
    <row r="405" spans="1:15" ht="14.25" customHeight="1" x14ac:dyDescent="0.3">
      <c r="A405" s="2">
        <v>46064</v>
      </c>
      <c r="B405" t="s">
        <v>15</v>
      </c>
      <c r="C405" s="3">
        <v>1459.6</v>
      </c>
      <c r="D405" s="3">
        <v>1470</v>
      </c>
      <c r="E405" s="3">
        <v>1453.6</v>
      </c>
      <c r="F405" s="3">
        <v>1458.5</v>
      </c>
      <c r="G405" s="3">
        <v>1469</v>
      </c>
      <c r="H405" s="3">
        <v>1468.7</v>
      </c>
      <c r="I405" s="3">
        <v>1465.14</v>
      </c>
      <c r="J405" s="3">
        <v>1611.8</v>
      </c>
      <c r="K405" s="3">
        <v>1114.8499999999999</v>
      </c>
      <c r="L405" s="4">
        <v>7106877</v>
      </c>
      <c r="M405" s="3">
        <v>10412535997.799999</v>
      </c>
      <c r="N405" s="4">
        <v>200342</v>
      </c>
      <c r="O405">
        <f t="shared" si="6"/>
        <v>6.9934864586904668E-3</v>
      </c>
    </row>
    <row r="406" spans="1:15" ht="14.25" customHeight="1" x14ac:dyDescent="0.3">
      <c r="A406" s="2">
        <v>46065</v>
      </c>
      <c r="B406" t="s">
        <v>15</v>
      </c>
      <c r="C406" s="3">
        <v>1470</v>
      </c>
      <c r="D406" s="3">
        <v>1473</v>
      </c>
      <c r="E406" s="3">
        <v>1445.5</v>
      </c>
      <c r="F406" s="3">
        <v>1468.7</v>
      </c>
      <c r="G406" s="3">
        <v>1449.9</v>
      </c>
      <c r="H406" s="3">
        <v>1448.9</v>
      </c>
      <c r="I406" s="3">
        <v>1453.64</v>
      </c>
      <c r="J406" s="3">
        <v>1611.8</v>
      </c>
      <c r="K406" s="3">
        <v>1114.8499999999999</v>
      </c>
      <c r="L406" s="4">
        <v>11135399</v>
      </c>
      <c r="M406" s="3">
        <v>16186860274.5</v>
      </c>
      <c r="N406" s="4">
        <v>195451</v>
      </c>
      <c r="O406">
        <f t="shared" si="6"/>
        <v>-1.3481310002042592E-2</v>
      </c>
    </row>
    <row r="407" spans="1:15" ht="14.25" customHeight="1" x14ac:dyDescent="0.3">
      <c r="A407" s="2">
        <v>46066</v>
      </c>
      <c r="B407" t="s">
        <v>15</v>
      </c>
      <c r="C407" s="3">
        <v>1445.5</v>
      </c>
      <c r="D407" s="3">
        <v>1450.7</v>
      </c>
      <c r="E407" s="3">
        <v>1416.3</v>
      </c>
      <c r="F407" s="3">
        <v>1448.9</v>
      </c>
      <c r="G407" s="3">
        <v>1418.6</v>
      </c>
      <c r="H407" s="3">
        <v>1419.6</v>
      </c>
      <c r="I407" s="3">
        <v>1423.73</v>
      </c>
      <c r="J407" s="3">
        <v>1611.8</v>
      </c>
      <c r="K407" s="3">
        <v>1114.8499999999999</v>
      </c>
      <c r="L407" s="4">
        <v>10755693</v>
      </c>
      <c r="M407" s="3">
        <v>15313221949.700001</v>
      </c>
      <c r="N407" s="4">
        <v>182348</v>
      </c>
      <c r="O407">
        <f t="shared" si="6"/>
        <v>-2.0222237559528042E-2</v>
      </c>
    </row>
    <row r="408" spans="1:15" ht="14.25" customHeight="1" x14ac:dyDescent="0.3">
      <c r="A408" s="2">
        <v>46069</v>
      </c>
      <c r="B408" t="s">
        <v>15</v>
      </c>
      <c r="C408" s="3">
        <v>1420.1</v>
      </c>
      <c r="D408" s="3">
        <v>1439.6</v>
      </c>
      <c r="E408" s="3">
        <v>1409.3</v>
      </c>
      <c r="F408" s="3">
        <v>1419.6</v>
      </c>
      <c r="G408" s="3">
        <v>1434.1</v>
      </c>
      <c r="H408" s="3">
        <v>1437.1</v>
      </c>
      <c r="I408" s="3">
        <v>1426.07</v>
      </c>
      <c r="J408" s="3">
        <v>1611.8</v>
      </c>
      <c r="K408" s="3">
        <v>1114.8499999999999</v>
      </c>
      <c r="L408" s="4">
        <v>5896514</v>
      </c>
      <c r="M408" s="3">
        <v>8408865413.3000002</v>
      </c>
      <c r="N408" s="4">
        <v>160094</v>
      </c>
      <c r="O408">
        <f t="shared" si="6"/>
        <v>1.232741617357002E-2</v>
      </c>
    </row>
    <row r="409" spans="1:15" ht="14.25" customHeight="1" x14ac:dyDescent="0.3">
      <c r="A409" s="2">
        <v>46070</v>
      </c>
      <c r="B409" t="s">
        <v>15</v>
      </c>
      <c r="C409" s="3">
        <v>1431.1</v>
      </c>
      <c r="D409" s="3">
        <v>1431.8</v>
      </c>
      <c r="E409" s="3">
        <v>1418.6</v>
      </c>
      <c r="F409" s="3">
        <v>1437.1</v>
      </c>
      <c r="G409" s="3">
        <v>1424.2</v>
      </c>
      <c r="H409" s="3">
        <v>1423</v>
      </c>
      <c r="I409" s="3">
        <v>1423.1</v>
      </c>
      <c r="J409" s="3">
        <v>1611.8</v>
      </c>
      <c r="K409" s="3">
        <v>1114.8499999999999</v>
      </c>
      <c r="L409" s="4">
        <v>10731630</v>
      </c>
      <c r="M409" s="3">
        <v>15272175589.4</v>
      </c>
      <c r="N409" s="4">
        <v>189670</v>
      </c>
      <c r="O409">
        <f t="shared" si="6"/>
        <v>-9.8114257880453064E-3</v>
      </c>
    </row>
    <row r="410" spans="1:15" ht="14.25" customHeight="1" x14ac:dyDescent="0.3">
      <c r="A410" s="2">
        <v>46071</v>
      </c>
      <c r="B410" t="s">
        <v>15</v>
      </c>
      <c r="C410" s="3">
        <v>1427</v>
      </c>
      <c r="D410" s="3">
        <v>1442.1</v>
      </c>
      <c r="E410" s="3">
        <v>1419.2</v>
      </c>
      <c r="F410" s="3">
        <v>1423</v>
      </c>
      <c r="G410" s="3">
        <v>1441</v>
      </c>
      <c r="H410" s="3">
        <v>1441.3</v>
      </c>
      <c r="I410" s="3">
        <v>1432.14</v>
      </c>
      <c r="J410" s="3">
        <v>1611.8</v>
      </c>
      <c r="K410" s="3">
        <v>1114.8499999999999</v>
      </c>
      <c r="L410" s="4">
        <v>5521096</v>
      </c>
      <c r="M410" s="3">
        <v>7906956447.3999996</v>
      </c>
      <c r="N410" s="4">
        <v>121784</v>
      </c>
      <c r="O410">
        <f t="shared" si="6"/>
        <v>1.2860154602951479E-2</v>
      </c>
    </row>
    <row r="411" spans="1:15" ht="14.25" customHeight="1" x14ac:dyDescent="0.3">
      <c r="A411" s="2">
        <v>46072</v>
      </c>
      <c r="B411" t="s">
        <v>15</v>
      </c>
      <c r="C411" s="3">
        <v>1443</v>
      </c>
      <c r="D411" s="3">
        <v>1443</v>
      </c>
      <c r="E411" s="3">
        <v>1400</v>
      </c>
      <c r="F411" s="3">
        <v>1441.3</v>
      </c>
      <c r="G411" s="3">
        <v>1407.2</v>
      </c>
      <c r="H411" s="3">
        <v>1409.5</v>
      </c>
      <c r="I411" s="3">
        <v>1415.94</v>
      </c>
      <c r="J411" s="3">
        <v>1611.8</v>
      </c>
      <c r="K411" s="3">
        <v>1114.8499999999999</v>
      </c>
      <c r="L411" s="4">
        <v>11884664</v>
      </c>
      <c r="M411" s="3">
        <v>16827934160.1</v>
      </c>
      <c r="N411" s="4">
        <v>221944</v>
      </c>
      <c r="O411">
        <f t="shared" si="6"/>
        <v>-2.2063414972594154E-2</v>
      </c>
    </row>
    <row r="412" spans="1:15" ht="14.25" customHeight="1" x14ac:dyDescent="0.3">
      <c r="A412" s="2">
        <v>46073</v>
      </c>
      <c r="B412" t="s">
        <v>15</v>
      </c>
      <c r="C412" s="3">
        <v>1409.5</v>
      </c>
      <c r="D412" s="3">
        <v>1427.4</v>
      </c>
      <c r="E412" s="3">
        <v>1406.1</v>
      </c>
      <c r="F412" s="3">
        <v>1409.5</v>
      </c>
      <c r="G412" s="3">
        <v>1419.1</v>
      </c>
      <c r="H412" s="3">
        <v>1419.4</v>
      </c>
      <c r="I412" s="3">
        <v>1420</v>
      </c>
      <c r="J412" s="3">
        <v>1611.8</v>
      </c>
      <c r="K412" s="3">
        <v>1114.8499999999999</v>
      </c>
      <c r="L412" s="4">
        <v>8177670</v>
      </c>
      <c r="M412" s="3">
        <v>11612283011.4</v>
      </c>
      <c r="N412" s="4">
        <v>161489</v>
      </c>
      <c r="O412">
        <f t="shared" si="6"/>
        <v>7.0237672933665066E-3</v>
      </c>
    </row>
    <row r="413" spans="1:15" ht="14.25" customHeight="1" x14ac:dyDescent="0.3">
      <c r="A413" s="2">
        <v>46076</v>
      </c>
      <c r="B413" t="s">
        <v>15</v>
      </c>
      <c r="C413" s="3">
        <v>1425</v>
      </c>
      <c r="D413" s="3">
        <v>1434.9</v>
      </c>
      <c r="E413" s="3">
        <v>1418.3</v>
      </c>
      <c r="F413" s="3">
        <v>1419.4</v>
      </c>
      <c r="G413" s="3">
        <v>1425</v>
      </c>
      <c r="H413" s="3">
        <v>1428</v>
      </c>
      <c r="I413" s="3">
        <v>1425.5</v>
      </c>
      <c r="J413" s="3">
        <v>1611.8</v>
      </c>
      <c r="K413" s="3">
        <v>1114.8499999999999</v>
      </c>
      <c r="L413" s="4">
        <v>7758856</v>
      </c>
      <c r="M413" s="3">
        <v>11060270073.700001</v>
      </c>
      <c r="N413" s="4">
        <v>140217</v>
      </c>
      <c r="O413">
        <f t="shared" si="6"/>
        <v>6.0588981259686548E-3</v>
      </c>
    </row>
    <row r="414" spans="1:15" ht="14.25" customHeight="1" x14ac:dyDescent="0.3">
      <c r="A414" s="2">
        <v>46077</v>
      </c>
      <c r="B414" t="s">
        <v>15</v>
      </c>
      <c r="C414" s="3">
        <v>1425.3</v>
      </c>
      <c r="D414" s="3">
        <v>1433.3</v>
      </c>
      <c r="E414" s="3">
        <v>1415</v>
      </c>
      <c r="F414" s="3">
        <v>1428</v>
      </c>
      <c r="G414" s="3">
        <v>1431.1</v>
      </c>
      <c r="H414" s="3">
        <v>1428.8</v>
      </c>
      <c r="I414" s="3">
        <v>1424.96</v>
      </c>
      <c r="J414" s="3">
        <v>1611.8</v>
      </c>
      <c r="K414" s="3">
        <v>1114.8499999999999</v>
      </c>
      <c r="L414" s="4">
        <v>12529409</v>
      </c>
      <c r="M414" s="3">
        <v>17853917144.099998</v>
      </c>
      <c r="N414" s="4">
        <v>196324</v>
      </c>
      <c r="O414">
        <f t="shared" si="6"/>
        <v>5.6022408963582254E-4</v>
      </c>
    </row>
    <row r="415" spans="1:15" ht="14.25" customHeight="1" x14ac:dyDescent="0.3">
      <c r="A415" s="2">
        <v>46078</v>
      </c>
      <c r="B415" t="s">
        <v>15</v>
      </c>
      <c r="C415" s="3">
        <v>1435</v>
      </c>
      <c r="D415" s="3">
        <v>1440.5</v>
      </c>
      <c r="E415" s="3">
        <v>1393.5</v>
      </c>
      <c r="F415" s="3">
        <v>1428.8</v>
      </c>
      <c r="G415" s="3">
        <v>1400.8</v>
      </c>
      <c r="H415" s="3">
        <v>1398.5</v>
      </c>
      <c r="I415" s="3">
        <v>1414.07</v>
      </c>
      <c r="J415" s="3">
        <v>1611.8</v>
      </c>
      <c r="K415" s="3">
        <v>1114.8499999999999</v>
      </c>
      <c r="L415" s="4">
        <v>10728792</v>
      </c>
      <c r="M415" s="3">
        <v>15171307392.700001</v>
      </c>
      <c r="N415" s="4">
        <v>204165</v>
      </c>
      <c r="O415">
        <f t="shared" si="6"/>
        <v>-2.1206606942889106E-2</v>
      </c>
    </row>
    <row r="416" spans="1:15" ht="14.25" customHeight="1" x14ac:dyDescent="0.3">
      <c r="A416" s="2">
        <v>46079</v>
      </c>
      <c r="B416" t="s">
        <v>15</v>
      </c>
      <c r="C416" s="3">
        <v>1398.5</v>
      </c>
      <c r="D416" s="3">
        <v>1412.9</v>
      </c>
      <c r="E416" s="3">
        <v>1391.9</v>
      </c>
      <c r="F416" s="3">
        <v>1398.5</v>
      </c>
      <c r="G416" s="3">
        <v>1409</v>
      </c>
      <c r="H416" s="3">
        <v>1406.8</v>
      </c>
      <c r="I416" s="3">
        <v>1404.01</v>
      </c>
      <c r="J416" s="3">
        <v>1611.8</v>
      </c>
      <c r="K416" s="3">
        <v>1114.8499999999999</v>
      </c>
      <c r="L416" s="4">
        <v>16683858</v>
      </c>
      <c r="M416" s="3">
        <v>23424295896.5</v>
      </c>
      <c r="N416" s="4">
        <v>242404</v>
      </c>
      <c r="O416">
        <f t="shared" si="6"/>
        <v>5.9349302824454444E-3</v>
      </c>
    </row>
    <row r="417" spans="1:15" ht="14.25" customHeight="1" x14ac:dyDescent="0.3">
      <c r="A417" s="2">
        <v>46080</v>
      </c>
      <c r="B417" t="s">
        <v>15</v>
      </c>
      <c r="C417" s="3">
        <v>1398</v>
      </c>
      <c r="D417" s="3">
        <v>1410.4</v>
      </c>
      <c r="E417" s="3">
        <v>1388.1</v>
      </c>
      <c r="F417" s="3">
        <v>1406.8</v>
      </c>
      <c r="G417" s="3">
        <v>1394.9</v>
      </c>
      <c r="H417" s="3">
        <v>1393.9</v>
      </c>
      <c r="I417" s="3">
        <v>1397.46</v>
      </c>
      <c r="J417" s="3">
        <v>1611.8</v>
      </c>
      <c r="K417" s="3">
        <v>1114.8499999999999</v>
      </c>
      <c r="L417" s="4">
        <v>12031440</v>
      </c>
      <c r="M417" s="3">
        <v>16813512507.200001</v>
      </c>
      <c r="N417" s="4">
        <v>195405</v>
      </c>
      <c r="O417">
        <f t="shared" si="6"/>
        <v>-9.1697469434175883E-3</v>
      </c>
    </row>
    <row r="418" spans="1:15" ht="14.25" customHeight="1" x14ac:dyDescent="0.3">
      <c r="A418" s="2">
        <v>46083</v>
      </c>
      <c r="B418" t="s">
        <v>15</v>
      </c>
      <c r="C418" s="3">
        <v>1375.5</v>
      </c>
      <c r="D418" s="3">
        <v>1378.6</v>
      </c>
      <c r="E418" s="3">
        <v>1341.5</v>
      </c>
      <c r="F418" s="3">
        <v>1393.9</v>
      </c>
      <c r="G418" s="3">
        <v>1360</v>
      </c>
      <c r="H418" s="3">
        <v>1358</v>
      </c>
      <c r="I418" s="3">
        <v>1358.19</v>
      </c>
      <c r="J418" s="3">
        <v>1611.8</v>
      </c>
      <c r="K418" s="3">
        <v>1114.8499999999999</v>
      </c>
      <c r="L418" s="4">
        <v>23728722</v>
      </c>
      <c r="M418" s="3">
        <v>32228124369.599998</v>
      </c>
      <c r="N418" s="4">
        <v>384813</v>
      </c>
      <c r="O418">
        <f t="shared" si="6"/>
        <v>-2.575507568692165E-2</v>
      </c>
    </row>
    <row r="419" spans="1:15" ht="14.25" customHeight="1" x14ac:dyDescent="0.3">
      <c r="A419" s="2">
        <v>46085</v>
      </c>
      <c r="B419" t="s">
        <v>15</v>
      </c>
      <c r="C419" s="3">
        <v>1330</v>
      </c>
      <c r="D419" s="3">
        <v>1352.8</v>
      </c>
      <c r="E419" s="3">
        <v>1307</v>
      </c>
      <c r="F419" s="3">
        <v>1358</v>
      </c>
      <c r="G419" s="3">
        <v>1345.2</v>
      </c>
      <c r="H419" s="3">
        <v>1345</v>
      </c>
      <c r="I419" s="3">
        <v>1334.6</v>
      </c>
      <c r="J419" s="3">
        <v>1611.8</v>
      </c>
      <c r="K419" s="3">
        <v>1114.8499999999999</v>
      </c>
      <c r="L419" s="4">
        <v>32495007</v>
      </c>
      <c r="M419" s="3">
        <v>43367943821.300003</v>
      </c>
      <c r="N419" s="4">
        <v>643399</v>
      </c>
      <c r="O419">
        <f t="shared" si="6"/>
        <v>-9.5729013254786458E-3</v>
      </c>
    </row>
    <row r="420" spans="1:15" ht="14.25" customHeight="1" x14ac:dyDescent="0.3">
      <c r="A420" s="2">
        <v>46086</v>
      </c>
      <c r="B420" t="s">
        <v>15</v>
      </c>
      <c r="C420" s="3">
        <v>1353.1</v>
      </c>
      <c r="D420" s="3">
        <v>1399</v>
      </c>
      <c r="E420" s="3">
        <v>1353.1</v>
      </c>
      <c r="F420" s="3">
        <v>1345</v>
      </c>
      <c r="G420" s="3">
        <v>1386.4</v>
      </c>
      <c r="H420" s="3">
        <v>1389.4</v>
      </c>
      <c r="I420" s="3">
        <v>1383.03</v>
      </c>
      <c r="J420" s="3">
        <v>1611.8</v>
      </c>
      <c r="K420" s="3">
        <v>1114.8499999999999</v>
      </c>
      <c r="L420" s="4">
        <v>25957532</v>
      </c>
      <c r="M420" s="3">
        <v>35899997226.099998</v>
      </c>
      <c r="N420" s="4">
        <v>339169</v>
      </c>
      <c r="O420">
        <f t="shared" si="6"/>
        <v>3.3011152416356944E-2</v>
      </c>
    </row>
    <row r="421" spans="1:15" ht="14.25" customHeight="1" x14ac:dyDescent="0.3">
      <c r="A421" s="2">
        <v>46087</v>
      </c>
      <c r="B421" t="s">
        <v>15</v>
      </c>
      <c r="C421" s="3">
        <v>1396.5</v>
      </c>
      <c r="D421" s="3">
        <v>1424.3</v>
      </c>
      <c r="E421" s="3">
        <v>1390.3</v>
      </c>
      <c r="F421" s="3">
        <v>1389.4</v>
      </c>
      <c r="G421" s="3">
        <v>1407</v>
      </c>
      <c r="H421" s="3">
        <v>1404.8</v>
      </c>
      <c r="I421" s="3">
        <v>1412.87</v>
      </c>
      <c r="J421" s="3">
        <v>1611.8</v>
      </c>
      <c r="K421" s="3">
        <v>1114.8499999999999</v>
      </c>
      <c r="L421" s="4">
        <v>19311971</v>
      </c>
      <c r="M421" s="3">
        <v>27285257299.5</v>
      </c>
      <c r="N421" s="4">
        <v>291792</v>
      </c>
      <c r="O421">
        <f t="shared" si="6"/>
        <v>1.1083921117028835E-2</v>
      </c>
    </row>
    <row r="422" spans="1:15" ht="14.25" customHeight="1" x14ac:dyDescent="0.3">
      <c r="A422" s="2">
        <v>46090</v>
      </c>
      <c r="B422" t="s">
        <v>15</v>
      </c>
      <c r="C422" s="3">
        <v>1375</v>
      </c>
      <c r="D422" s="3">
        <v>1429.4</v>
      </c>
      <c r="E422" s="3">
        <v>1370</v>
      </c>
      <c r="F422" s="3">
        <v>1404.8</v>
      </c>
      <c r="G422" s="3">
        <v>1418.6</v>
      </c>
      <c r="H422" s="3">
        <v>1424</v>
      </c>
      <c r="I422" s="3">
        <v>1404.08</v>
      </c>
      <c r="J422" s="3">
        <v>1611.8</v>
      </c>
      <c r="K422" s="3">
        <v>1114.8499999999999</v>
      </c>
      <c r="L422" s="4">
        <v>24870822</v>
      </c>
      <c r="M422" s="3">
        <v>34920585822.300003</v>
      </c>
      <c r="N422" s="4">
        <v>363998</v>
      </c>
      <c r="O422">
        <f t="shared" si="6"/>
        <v>1.3667425968109373E-2</v>
      </c>
    </row>
    <row r="423" spans="1:15" ht="14.25" customHeight="1" x14ac:dyDescent="0.3">
      <c r="A423" s="2">
        <v>46091</v>
      </c>
      <c r="B423" t="s">
        <v>15</v>
      </c>
      <c r="C423" s="3">
        <v>1430.6</v>
      </c>
      <c r="D423" s="3">
        <v>1431.5</v>
      </c>
      <c r="E423" s="3">
        <v>1400.6</v>
      </c>
      <c r="F423" s="3">
        <v>1424</v>
      </c>
      <c r="G423" s="3">
        <v>1410.9</v>
      </c>
      <c r="H423" s="3">
        <v>1408.8</v>
      </c>
      <c r="I423" s="3">
        <v>1410.92</v>
      </c>
      <c r="J423" s="3">
        <v>1611.8</v>
      </c>
      <c r="K423" s="3">
        <v>1114.8499999999999</v>
      </c>
      <c r="L423" s="4">
        <v>18071259</v>
      </c>
      <c r="M423" s="3">
        <v>25497167382.5</v>
      </c>
      <c r="N423" s="4">
        <v>266712</v>
      </c>
      <c r="O423">
        <f t="shared" si="6"/>
        <v>-1.0674157303370818E-2</v>
      </c>
    </row>
    <row r="424" spans="1:15" ht="14.25" customHeight="1" x14ac:dyDescent="0.3">
      <c r="A424" s="2">
        <v>46092</v>
      </c>
      <c r="B424" t="s">
        <v>15</v>
      </c>
      <c r="C424" s="3">
        <v>1424.9</v>
      </c>
      <c r="D424" s="3">
        <v>1434</v>
      </c>
      <c r="E424" s="3">
        <v>1383.6</v>
      </c>
      <c r="F424" s="3">
        <v>1408.8</v>
      </c>
      <c r="G424" s="3">
        <v>1386.8</v>
      </c>
      <c r="H424" s="3">
        <v>1390.2</v>
      </c>
      <c r="I424" s="3">
        <v>1402.95</v>
      </c>
      <c r="J424" s="3">
        <v>1611.8</v>
      </c>
      <c r="K424" s="3">
        <v>1114.8499999999999</v>
      </c>
      <c r="L424" s="4">
        <v>21848087</v>
      </c>
      <c r="M424" s="3">
        <v>30651692543.400002</v>
      </c>
      <c r="N424" s="4">
        <v>358595</v>
      </c>
      <c r="O424">
        <f t="shared" si="6"/>
        <v>-1.3202725724020379E-2</v>
      </c>
    </row>
    <row r="425" spans="1:15" ht="14.25" customHeight="1" x14ac:dyDescent="0.3">
      <c r="A425" s="2">
        <v>46093</v>
      </c>
      <c r="B425" t="s">
        <v>15</v>
      </c>
      <c r="C425" s="3">
        <v>1390</v>
      </c>
      <c r="D425" s="3">
        <v>1410.9</v>
      </c>
      <c r="E425" s="3">
        <v>1381.1</v>
      </c>
      <c r="F425" s="3">
        <v>1390.2</v>
      </c>
      <c r="G425" s="3">
        <v>1390</v>
      </c>
      <c r="H425" s="3">
        <v>1392.2</v>
      </c>
      <c r="I425" s="3">
        <v>1397.56</v>
      </c>
      <c r="J425" s="3">
        <v>1611.8</v>
      </c>
      <c r="K425" s="3">
        <v>1114.8499999999999</v>
      </c>
      <c r="L425" s="4">
        <v>20939959</v>
      </c>
      <c r="M425" s="3">
        <v>29264877793.700001</v>
      </c>
      <c r="N425" s="4">
        <v>370385</v>
      </c>
      <c r="O425">
        <f t="shared" si="6"/>
        <v>1.4386419220256078E-3</v>
      </c>
    </row>
    <row r="426" spans="1:15" ht="14.25" customHeight="1" x14ac:dyDescent="0.3">
      <c r="A426" s="2">
        <v>46094</v>
      </c>
      <c r="B426" t="s">
        <v>15</v>
      </c>
      <c r="C426" s="3">
        <v>1385.2</v>
      </c>
      <c r="D426" s="3">
        <v>1400.8</v>
      </c>
      <c r="E426" s="3">
        <v>1378.4</v>
      </c>
      <c r="F426" s="3">
        <v>1392.2</v>
      </c>
      <c r="G426" s="3">
        <v>1382.1</v>
      </c>
      <c r="H426" s="3">
        <v>1380.7</v>
      </c>
      <c r="I426" s="3">
        <v>1388.25</v>
      </c>
      <c r="J426" s="3">
        <v>1611.8</v>
      </c>
      <c r="K426" s="3">
        <v>1114.8499999999999</v>
      </c>
      <c r="L426" s="4">
        <v>17265090</v>
      </c>
      <c r="M426" s="3">
        <v>23968236254.700001</v>
      </c>
      <c r="N426" s="4">
        <v>315335</v>
      </c>
      <c r="O426">
        <f t="shared" si="6"/>
        <v>-8.260307427093808E-3</v>
      </c>
    </row>
    <row r="427" spans="1:15" ht="14.25" customHeight="1" x14ac:dyDescent="0.3">
      <c r="A427" s="2">
        <v>46097</v>
      </c>
      <c r="B427" t="s">
        <v>15</v>
      </c>
      <c r="C427" s="3">
        <v>1380</v>
      </c>
      <c r="D427" s="3">
        <v>1397.3</v>
      </c>
      <c r="E427" s="3">
        <v>1363.5</v>
      </c>
      <c r="F427" s="3">
        <v>1380.7</v>
      </c>
      <c r="G427" s="3">
        <v>1394</v>
      </c>
      <c r="H427" s="3">
        <v>1395.1</v>
      </c>
      <c r="I427" s="3">
        <v>1384.52</v>
      </c>
      <c r="J427" s="3">
        <v>1611.8</v>
      </c>
      <c r="K427" s="3">
        <v>1114.8499999999999</v>
      </c>
      <c r="L427" s="4">
        <v>22837802</v>
      </c>
      <c r="M427" s="3">
        <v>31619378231.5</v>
      </c>
      <c r="N427" s="4">
        <v>293132</v>
      </c>
      <c r="O427">
        <f t="shared" si="6"/>
        <v>1.0429492286521231E-2</v>
      </c>
    </row>
    <row r="428" spans="1:15" ht="14.25" customHeight="1" x14ac:dyDescent="0.3">
      <c r="A428" s="2">
        <v>46098</v>
      </c>
      <c r="B428" t="s">
        <v>15</v>
      </c>
      <c r="C428" s="3">
        <v>1399</v>
      </c>
      <c r="D428" s="3">
        <v>1405.9</v>
      </c>
      <c r="E428" s="3">
        <v>1388.2</v>
      </c>
      <c r="F428" s="3">
        <v>1395.1</v>
      </c>
      <c r="G428" s="3">
        <v>1394.8</v>
      </c>
      <c r="H428" s="3">
        <v>1397.6</v>
      </c>
      <c r="I428" s="3">
        <v>1398.21</v>
      </c>
      <c r="J428" s="3">
        <v>1611.8</v>
      </c>
      <c r="K428" s="3">
        <v>1114.8499999999999</v>
      </c>
      <c r="L428" s="4">
        <v>19007744</v>
      </c>
      <c r="M428" s="3">
        <v>26576882526.599998</v>
      </c>
      <c r="N428" s="4">
        <v>273340</v>
      </c>
      <c r="O428">
        <f t="shared" si="6"/>
        <v>1.7919862375456958E-3</v>
      </c>
    </row>
    <row r="429" spans="1:15" ht="14.25" customHeight="1" x14ac:dyDescent="0.3">
      <c r="A429" s="2">
        <v>46099</v>
      </c>
      <c r="B429" t="s">
        <v>15</v>
      </c>
      <c r="C429" s="3">
        <v>1397.2</v>
      </c>
      <c r="D429" s="3">
        <v>1412.9</v>
      </c>
      <c r="E429" s="3">
        <v>1397.2</v>
      </c>
      <c r="F429" s="3">
        <v>1397.6</v>
      </c>
      <c r="G429" s="3">
        <v>1407.2</v>
      </c>
      <c r="H429" s="3">
        <v>1408.1</v>
      </c>
      <c r="I429" s="3">
        <v>1408.59</v>
      </c>
      <c r="J429" s="3">
        <v>1611.8</v>
      </c>
      <c r="K429" s="3">
        <v>1114.8499999999999</v>
      </c>
      <c r="L429" s="4">
        <v>9559327</v>
      </c>
      <c r="M429" s="3">
        <v>13465178867.700001</v>
      </c>
      <c r="N429" s="4">
        <v>212371</v>
      </c>
      <c r="O429">
        <f t="shared" si="6"/>
        <v>7.5128792215226111E-3</v>
      </c>
    </row>
    <row r="430" spans="1:15" ht="14.25" customHeight="1" x14ac:dyDescent="0.3">
      <c r="A430" s="2">
        <v>46100</v>
      </c>
      <c r="B430" t="s">
        <v>15</v>
      </c>
      <c r="C430" s="3">
        <v>1388</v>
      </c>
      <c r="D430" s="3">
        <v>1415.7</v>
      </c>
      <c r="E430" s="3">
        <v>1376.1</v>
      </c>
      <c r="F430" s="3">
        <v>1408.1</v>
      </c>
      <c r="G430" s="3">
        <v>1392</v>
      </c>
      <c r="H430" s="3">
        <v>1384.8</v>
      </c>
      <c r="I430" s="3">
        <v>1394.72</v>
      </c>
      <c r="J430" s="3">
        <v>1611.8</v>
      </c>
      <c r="K430" s="3">
        <v>1114.8499999999999</v>
      </c>
      <c r="L430" s="4">
        <v>16498373</v>
      </c>
      <c r="M430" s="3">
        <v>23010687830.5</v>
      </c>
      <c r="N430" s="4">
        <v>305792</v>
      </c>
      <c r="O430">
        <f t="shared" si="6"/>
        <v>-1.6547120232937969E-2</v>
      </c>
    </row>
    <row r="431" spans="1:15" ht="14.25" customHeight="1" x14ac:dyDescent="0.3">
      <c r="A431" s="2">
        <v>46101</v>
      </c>
      <c r="B431" t="s">
        <v>15</v>
      </c>
      <c r="C431" s="3">
        <v>1398</v>
      </c>
      <c r="D431" s="3">
        <v>1430</v>
      </c>
      <c r="E431" s="3">
        <v>1396.1</v>
      </c>
      <c r="F431" s="3">
        <v>1384.8</v>
      </c>
      <c r="G431" s="3">
        <v>1413.6</v>
      </c>
      <c r="H431" s="3">
        <v>1414.4</v>
      </c>
      <c r="I431" s="3">
        <v>1418.94</v>
      </c>
      <c r="J431" s="3">
        <v>1611.8</v>
      </c>
      <c r="K431" s="3">
        <v>1114.8499999999999</v>
      </c>
      <c r="L431" s="4">
        <v>22994918</v>
      </c>
      <c r="M431" s="3">
        <v>32628466606.5</v>
      </c>
      <c r="N431" s="4">
        <v>315139</v>
      </c>
      <c r="O431">
        <f t="shared" si="6"/>
        <v>2.1374927787406222E-2</v>
      </c>
    </row>
    <row r="432" spans="1:15" ht="14.25" customHeight="1" x14ac:dyDescent="0.3">
      <c r="A432" s="2">
        <v>46104</v>
      </c>
      <c r="B432" t="s">
        <v>15</v>
      </c>
      <c r="C432" s="3">
        <v>1400</v>
      </c>
      <c r="D432" s="3">
        <v>1415.6</v>
      </c>
      <c r="E432" s="3">
        <v>1391</v>
      </c>
      <c r="F432" s="3">
        <v>1414.4</v>
      </c>
      <c r="G432" s="3">
        <v>1404</v>
      </c>
      <c r="H432" s="3">
        <v>1407.8</v>
      </c>
      <c r="I432" s="3">
        <v>1404.46</v>
      </c>
      <c r="J432" s="3">
        <v>1611.8</v>
      </c>
      <c r="K432" s="3">
        <v>1114.8499999999999</v>
      </c>
      <c r="L432" s="4">
        <v>18979554</v>
      </c>
      <c r="M432" s="3">
        <v>26655971496.799999</v>
      </c>
      <c r="N432" s="4">
        <v>385355</v>
      </c>
      <c r="O432">
        <f t="shared" si="6"/>
        <v>-4.6662895927602772E-3</v>
      </c>
    </row>
    <row r="433" spans="1:15" ht="14.25" customHeight="1" x14ac:dyDescent="0.3">
      <c r="A433" s="2">
        <v>46105</v>
      </c>
      <c r="B433" t="s">
        <v>15</v>
      </c>
      <c r="C433" s="3">
        <v>1420</v>
      </c>
      <c r="D433" s="3">
        <v>1422.4</v>
      </c>
      <c r="E433" s="3">
        <v>1406.6</v>
      </c>
      <c r="F433" s="3">
        <v>1407.8</v>
      </c>
      <c r="G433" s="3">
        <v>1414</v>
      </c>
      <c r="H433" s="3">
        <v>1411.8</v>
      </c>
      <c r="I433" s="3">
        <v>1413.2</v>
      </c>
      <c r="J433" s="3">
        <v>1611.8</v>
      </c>
      <c r="K433" s="3">
        <v>1114.8499999999999</v>
      </c>
      <c r="L433" s="4">
        <v>18620893</v>
      </c>
      <c r="M433" s="3">
        <v>26315089062.400002</v>
      </c>
      <c r="N433" s="4">
        <v>304313</v>
      </c>
      <c r="O433">
        <f t="shared" si="6"/>
        <v>2.8413126864611452E-3</v>
      </c>
    </row>
    <row r="434" spans="1:15" ht="14.25" customHeight="1" x14ac:dyDescent="0.3">
      <c r="A434" s="2">
        <v>46106</v>
      </c>
      <c r="B434" t="s">
        <v>15</v>
      </c>
      <c r="C434" s="3">
        <v>1420</v>
      </c>
      <c r="D434" s="3">
        <v>1430.5</v>
      </c>
      <c r="E434" s="3">
        <v>1408.4</v>
      </c>
      <c r="F434" s="3">
        <v>1411.8</v>
      </c>
      <c r="G434" s="3">
        <v>1413.8</v>
      </c>
      <c r="H434" s="3">
        <v>1413.1</v>
      </c>
      <c r="I434" s="3">
        <v>1418.75</v>
      </c>
      <c r="J434" s="3">
        <v>1611.8</v>
      </c>
      <c r="K434" s="3">
        <v>1114.8499999999999</v>
      </c>
      <c r="L434" s="4">
        <v>19041331</v>
      </c>
      <c r="M434" s="3">
        <v>27014940455.5</v>
      </c>
      <c r="N434" s="4">
        <v>313024</v>
      </c>
      <c r="O434">
        <f t="shared" si="6"/>
        <v>9.2081031307547428E-4</v>
      </c>
    </row>
    <row r="435" spans="1:15" ht="14.25" customHeight="1" x14ac:dyDescent="0.3">
      <c r="A435" s="2">
        <v>46108</v>
      </c>
      <c r="B435" t="s">
        <v>15</v>
      </c>
      <c r="C435" s="3">
        <v>1401</v>
      </c>
      <c r="D435" s="3">
        <v>1404.7</v>
      </c>
      <c r="E435" s="3">
        <v>1345</v>
      </c>
      <c r="F435" s="3">
        <v>1413.1</v>
      </c>
      <c r="G435" s="3">
        <v>1348</v>
      </c>
      <c r="H435" s="3">
        <v>1348.1</v>
      </c>
      <c r="I435" s="3">
        <v>1359.97</v>
      </c>
      <c r="J435" s="3">
        <v>1611.8</v>
      </c>
      <c r="K435" s="3">
        <v>1114.8499999999999</v>
      </c>
      <c r="L435" s="4">
        <v>23266517</v>
      </c>
      <c r="M435" s="3">
        <v>31641734742.5</v>
      </c>
      <c r="N435" s="4">
        <v>546051</v>
      </c>
      <c r="O435">
        <f t="shared" si="6"/>
        <v>-4.5998160073597062E-2</v>
      </c>
    </row>
    <row r="436" spans="1:15" ht="14.25" customHeight="1" x14ac:dyDescent="0.3">
      <c r="A436" s="2">
        <v>46111</v>
      </c>
      <c r="B436" t="s">
        <v>15</v>
      </c>
      <c r="C436" s="3">
        <v>1335</v>
      </c>
      <c r="D436" s="3">
        <v>1365</v>
      </c>
      <c r="E436" s="3">
        <v>1334.1</v>
      </c>
      <c r="F436" s="3">
        <v>1348.1</v>
      </c>
      <c r="G436" s="3">
        <v>1348.3</v>
      </c>
      <c r="H436" s="3">
        <v>1343.9</v>
      </c>
      <c r="I436" s="3">
        <v>1347.25</v>
      </c>
      <c r="J436" s="3">
        <v>1611.8</v>
      </c>
      <c r="K436" s="3">
        <v>1114.8499999999999</v>
      </c>
      <c r="L436" s="4">
        <v>24393861</v>
      </c>
      <c r="M436" s="3">
        <v>32864544984.700001</v>
      </c>
      <c r="N436" s="4">
        <v>426526</v>
      </c>
      <c r="O436">
        <f t="shared" si="6"/>
        <v>-3.1154958830945912E-3</v>
      </c>
    </row>
    <row r="437" spans="1:15" ht="14.25" customHeight="1" x14ac:dyDescent="0.3">
      <c r="A437" s="2">
        <v>46113</v>
      </c>
      <c r="B437" t="s">
        <v>15</v>
      </c>
      <c r="C437" s="3">
        <v>1384.2</v>
      </c>
      <c r="D437" s="3">
        <v>1384.4</v>
      </c>
      <c r="E437" s="3">
        <v>1362.9</v>
      </c>
      <c r="F437" s="3">
        <v>1343.9</v>
      </c>
      <c r="G437" s="3">
        <v>1369.5</v>
      </c>
      <c r="H437" s="3">
        <v>1369.2</v>
      </c>
      <c r="I437" s="3">
        <v>1372.02</v>
      </c>
      <c r="J437" s="3">
        <v>1611.8</v>
      </c>
      <c r="K437" s="3">
        <v>1114.8499999999999</v>
      </c>
      <c r="L437" s="4">
        <v>14404619</v>
      </c>
      <c r="M437" s="3">
        <v>19763387955.299999</v>
      </c>
      <c r="N437" s="4">
        <v>241179</v>
      </c>
      <c r="O437">
        <f t="shared" si="6"/>
        <v>1.8825805491479986E-2</v>
      </c>
    </row>
    <row r="438" spans="1:15" ht="14.25" customHeight="1" x14ac:dyDescent="0.3">
      <c r="A438" s="2">
        <v>46114</v>
      </c>
      <c r="B438" t="s">
        <v>15</v>
      </c>
      <c r="C438" s="3">
        <v>1357</v>
      </c>
      <c r="D438" s="3">
        <v>1358.2</v>
      </c>
      <c r="E438" s="3">
        <v>1328</v>
      </c>
      <c r="F438" s="3">
        <v>1369.2</v>
      </c>
      <c r="G438" s="3">
        <v>1350.9</v>
      </c>
      <c r="H438" s="3">
        <v>1350.5</v>
      </c>
      <c r="I438" s="3">
        <v>1346.65</v>
      </c>
      <c r="J438" s="3">
        <v>1611.8</v>
      </c>
      <c r="K438" s="3">
        <v>1114.8499999999999</v>
      </c>
      <c r="L438" s="4">
        <v>21280051</v>
      </c>
      <c r="M438" s="3">
        <v>28656873097.200001</v>
      </c>
      <c r="N438" s="4">
        <v>335321</v>
      </c>
      <c r="O438">
        <f t="shared" si="6"/>
        <v>-1.3657610283377187E-2</v>
      </c>
    </row>
    <row r="439" spans="1:15" ht="14.25" customHeight="1" x14ac:dyDescent="0.3">
      <c r="A439" s="2">
        <v>46118</v>
      </c>
      <c r="B439" t="s">
        <v>15</v>
      </c>
      <c r="C439" s="3">
        <v>1359</v>
      </c>
      <c r="D439" s="3">
        <v>1359</v>
      </c>
      <c r="E439" s="3">
        <v>1290</v>
      </c>
      <c r="F439" s="3">
        <v>1350.5</v>
      </c>
      <c r="G439" s="3">
        <v>1306</v>
      </c>
      <c r="H439" s="3">
        <v>1304.7</v>
      </c>
      <c r="I439" s="3">
        <v>1306.3699999999999</v>
      </c>
      <c r="J439" s="3">
        <v>1611.8</v>
      </c>
      <c r="K439" s="3">
        <v>1114.8499999999999</v>
      </c>
      <c r="L439" s="4">
        <v>29274881</v>
      </c>
      <c r="M439" s="3">
        <v>38243783551</v>
      </c>
      <c r="N439" s="4">
        <v>584670</v>
      </c>
      <c r="O439">
        <f t="shared" si="6"/>
        <v>-3.3913365420214704E-2</v>
      </c>
    </row>
    <row r="440" spans="1:15" ht="14.25" customHeight="1" x14ac:dyDescent="0.3">
      <c r="A440" s="2">
        <v>46119</v>
      </c>
      <c r="B440" t="s">
        <v>15</v>
      </c>
      <c r="C440" s="3">
        <v>1295</v>
      </c>
      <c r="D440" s="3">
        <v>1308.3</v>
      </c>
      <c r="E440" s="3">
        <v>1291</v>
      </c>
      <c r="F440" s="3">
        <v>1304.7</v>
      </c>
      <c r="G440" s="3">
        <v>1307.3</v>
      </c>
      <c r="H440" s="3">
        <v>1304.5999999999999</v>
      </c>
      <c r="I440" s="3">
        <v>1298.73</v>
      </c>
      <c r="J440" s="3">
        <v>1611.8</v>
      </c>
      <c r="K440" s="3">
        <v>1114.8499999999999</v>
      </c>
      <c r="L440" s="4">
        <v>28388922</v>
      </c>
      <c r="M440" s="3">
        <v>36869641751.599998</v>
      </c>
      <c r="N440" s="4">
        <v>364146</v>
      </c>
      <c r="O440">
        <f t="shared" si="6"/>
        <v>-7.6645972254262609E-5</v>
      </c>
    </row>
    <row r="441" spans="1:15" ht="14.25" customHeight="1" x14ac:dyDescent="0.3">
      <c r="A441" s="2">
        <v>46120</v>
      </c>
      <c r="B441" t="s">
        <v>15</v>
      </c>
      <c r="C441" s="3">
        <v>1349</v>
      </c>
      <c r="D441" s="3">
        <v>1350.6</v>
      </c>
      <c r="E441" s="3">
        <v>1326.2</v>
      </c>
      <c r="F441" s="3">
        <v>1304.5999999999999</v>
      </c>
      <c r="G441" s="3">
        <v>1349.4</v>
      </c>
      <c r="H441" s="3">
        <v>1347.8</v>
      </c>
      <c r="I441" s="3">
        <v>1343.02</v>
      </c>
      <c r="J441" s="3">
        <v>1611.8</v>
      </c>
      <c r="K441" s="3">
        <v>1114.8499999999999</v>
      </c>
      <c r="L441" s="4">
        <v>21817543</v>
      </c>
      <c r="M441" s="3">
        <v>29301422736.400002</v>
      </c>
      <c r="N441" s="4">
        <v>434059</v>
      </c>
      <c r="O441">
        <f t="shared" si="6"/>
        <v>3.3113598037712744E-2</v>
      </c>
    </row>
    <row r="442" spans="1:15" ht="14.25" customHeight="1" x14ac:dyDescent="0.3">
      <c r="A442" s="2">
        <v>46121</v>
      </c>
      <c r="B442" t="s">
        <v>15</v>
      </c>
      <c r="C442" s="3">
        <v>1346</v>
      </c>
      <c r="D442" s="3">
        <v>1350</v>
      </c>
      <c r="E442" s="3">
        <v>1326.3</v>
      </c>
      <c r="F442" s="3">
        <v>1347.8</v>
      </c>
      <c r="G442" s="3">
        <v>1330</v>
      </c>
      <c r="H442" s="3">
        <v>1330</v>
      </c>
      <c r="I442" s="3">
        <v>1333.26</v>
      </c>
      <c r="J442" s="3">
        <v>1611.8</v>
      </c>
      <c r="K442" s="3">
        <v>1114.8499999999999</v>
      </c>
      <c r="L442" s="4">
        <v>20725390</v>
      </c>
      <c r="M442" s="3">
        <v>27632249237.200001</v>
      </c>
      <c r="N442" s="4">
        <v>277395</v>
      </c>
      <c r="O442">
        <f t="shared" si="6"/>
        <v>-1.3206707226591449E-2</v>
      </c>
    </row>
    <row r="443" spans="1:15" ht="14.25" customHeight="1" x14ac:dyDescent="0.3">
      <c r="A443" s="2">
        <v>46122</v>
      </c>
      <c r="B443" t="s">
        <v>15</v>
      </c>
      <c r="C443" s="3">
        <v>1337</v>
      </c>
      <c r="D443" s="3">
        <v>1352.3</v>
      </c>
      <c r="E443" s="3">
        <v>1331.5</v>
      </c>
      <c r="F443" s="3">
        <v>1330</v>
      </c>
      <c r="G443" s="3">
        <v>1350</v>
      </c>
      <c r="H443" s="3">
        <v>1350.2</v>
      </c>
      <c r="I443" s="3">
        <v>1346.97</v>
      </c>
      <c r="J443" s="3">
        <v>1611.8</v>
      </c>
      <c r="K443" s="3">
        <v>1114.8499999999999</v>
      </c>
      <c r="L443" s="4">
        <v>19364461</v>
      </c>
      <c r="M443" s="3">
        <v>26083304335.700001</v>
      </c>
      <c r="N443" s="4">
        <v>228260</v>
      </c>
      <c r="O443">
        <f t="shared" si="6"/>
        <v>1.5187969924812065E-2</v>
      </c>
    </row>
    <row r="444" spans="1:15" ht="14.25" customHeight="1" x14ac:dyDescent="0.3">
      <c r="A444" s="2">
        <v>46125</v>
      </c>
      <c r="B444" t="s">
        <v>15</v>
      </c>
      <c r="C444" s="3">
        <v>1321.2</v>
      </c>
      <c r="D444" s="3">
        <v>1327.6</v>
      </c>
      <c r="E444" s="3">
        <v>1310</v>
      </c>
      <c r="F444" s="3">
        <v>1350.2</v>
      </c>
      <c r="G444" s="3">
        <v>1314</v>
      </c>
      <c r="H444" s="3">
        <v>1315.1</v>
      </c>
      <c r="I444" s="3">
        <v>1316.46</v>
      </c>
      <c r="J444" s="3">
        <v>1611.8</v>
      </c>
      <c r="K444" s="3">
        <v>1227.5999999999999</v>
      </c>
      <c r="L444" s="4">
        <v>28753269</v>
      </c>
      <c r="M444" s="3">
        <v>37852516273.599998</v>
      </c>
      <c r="N444" s="4">
        <v>456747</v>
      </c>
      <c r="O444">
        <f t="shared" si="6"/>
        <v>-2.599614871870844E-2</v>
      </c>
    </row>
    <row r="445" spans="1:15" ht="14.25" customHeight="1" x14ac:dyDescent="0.3">
      <c r="A445" s="2">
        <v>46127</v>
      </c>
      <c r="B445" t="s">
        <v>15</v>
      </c>
      <c r="C445" s="3">
        <v>1337</v>
      </c>
      <c r="D445" s="3">
        <v>1347</v>
      </c>
      <c r="E445" s="3">
        <v>1334.2</v>
      </c>
      <c r="F445" s="3">
        <v>1315.1</v>
      </c>
      <c r="G445" s="3">
        <v>1342.9</v>
      </c>
      <c r="H445" s="3">
        <v>1344.1</v>
      </c>
      <c r="I445" s="3">
        <v>1340.02</v>
      </c>
      <c r="J445" s="3">
        <v>1611.8</v>
      </c>
      <c r="K445" s="3">
        <v>1227.5999999999999</v>
      </c>
      <c r="L445" s="4">
        <v>15313779</v>
      </c>
      <c r="M445" s="3">
        <v>20520818325.599998</v>
      </c>
      <c r="N445" s="4">
        <v>259818</v>
      </c>
      <c r="O445">
        <f t="shared" si="6"/>
        <v>2.2051555014827771E-2</v>
      </c>
    </row>
    <row r="446" spans="1:15" ht="14.25" customHeight="1" x14ac:dyDescent="0.3">
      <c r="A446" s="2">
        <v>46128</v>
      </c>
      <c r="B446" t="s">
        <v>15</v>
      </c>
      <c r="C446" s="3">
        <v>1352</v>
      </c>
      <c r="D446" s="3">
        <v>1353.8</v>
      </c>
      <c r="E446" s="3">
        <v>1330</v>
      </c>
      <c r="F446" s="3">
        <v>1344.1</v>
      </c>
      <c r="G446" s="3">
        <v>1345.9</v>
      </c>
      <c r="H446" s="3">
        <v>1343.3</v>
      </c>
      <c r="I446" s="3">
        <v>1338.46</v>
      </c>
      <c r="J446" s="3">
        <v>1611.8</v>
      </c>
      <c r="K446" s="3">
        <v>1227.5999999999999</v>
      </c>
      <c r="L446" s="4">
        <v>30211012</v>
      </c>
      <c r="M446" s="3">
        <v>40436195396.300003</v>
      </c>
      <c r="N446" s="4">
        <v>333177</v>
      </c>
      <c r="O446">
        <f t="shared" si="6"/>
        <v>-5.9519380998434234E-4</v>
      </c>
    </row>
    <row r="447" spans="1:15" ht="14.25" customHeight="1" x14ac:dyDescent="0.3">
      <c r="A447" s="2">
        <v>46129</v>
      </c>
      <c r="B447" t="s">
        <v>15</v>
      </c>
      <c r="C447" s="3">
        <v>1340</v>
      </c>
      <c r="D447" s="3">
        <v>1368.4</v>
      </c>
      <c r="E447" s="3">
        <v>1340</v>
      </c>
      <c r="F447" s="3">
        <v>1343.3</v>
      </c>
      <c r="G447" s="3">
        <v>1364.9</v>
      </c>
      <c r="H447" s="3">
        <v>1365</v>
      </c>
      <c r="I447" s="3">
        <v>1359.14</v>
      </c>
      <c r="J447" s="3">
        <v>1611.8</v>
      </c>
      <c r="K447" s="3">
        <v>1227.5999999999999</v>
      </c>
      <c r="L447" s="4">
        <v>13869105</v>
      </c>
      <c r="M447" s="3">
        <v>18850089777.299999</v>
      </c>
      <c r="N447" s="4">
        <v>226433</v>
      </c>
      <c r="O447">
        <f t="shared" si="6"/>
        <v>1.6154247003647766E-2</v>
      </c>
    </row>
    <row r="448" spans="1:15" ht="14.25" customHeight="1" x14ac:dyDescent="0.3">
      <c r="A448" s="2">
        <v>46132</v>
      </c>
      <c r="B448" t="s">
        <v>15</v>
      </c>
      <c r="C448" s="3">
        <v>1363.2</v>
      </c>
      <c r="D448" s="3">
        <v>1373</v>
      </c>
      <c r="E448" s="3">
        <v>1352.8</v>
      </c>
      <c r="F448" s="3">
        <v>1365</v>
      </c>
      <c r="G448" s="3">
        <v>1361.1</v>
      </c>
      <c r="H448" s="3">
        <v>1363.3</v>
      </c>
      <c r="I448" s="3">
        <v>1365.92</v>
      </c>
      <c r="J448" s="3">
        <v>1611.8</v>
      </c>
      <c r="K448" s="3">
        <v>1267</v>
      </c>
      <c r="L448" s="4">
        <v>13614733</v>
      </c>
      <c r="M448" s="3">
        <v>18596570380.599998</v>
      </c>
      <c r="N448" s="4">
        <v>240331</v>
      </c>
      <c r="O448">
        <f t="shared" si="6"/>
        <v>-1.2454212454212788E-3</v>
      </c>
    </row>
    <row r="449" spans="1:15" ht="14.25" customHeight="1" x14ac:dyDescent="0.3">
      <c r="A449" s="2">
        <v>46133</v>
      </c>
      <c r="B449" t="s">
        <v>15</v>
      </c>
      <c r="C449" s="3">
        <v>1359</v>
      </c>
      <c r="D449" s="3">
        <v>1369.8</v>
      </c>
      <c r="E449" s="3">
        <v>1350.1</v>
      </c>
      <c r="F449" s="3">
        <v>1363.3</v>
      </c>
      <c r="G449" s="3">
        <v>1354.9</v>
      </c>
      <c r="H449" s="3">
        <v>1353.3</v>
      </c>
      <c r="I449" s="3">
        <v>1356.6</v>
      </c>
      <c r="J449" s="3">
        <v>1611.8</v>
      </c>
      <c r="K449" s="3">
        <v>1267</v>
      </c>
      <c r="L449" s="4">
        <v>27293629</v>
      </c>
      <c r="M449" s="3">
        <v>37026449570.400002</v>
      </c>
      <c r="N449" s="4">
        <v>297701</v>
      </c>
      <c r="O449">
        <f t="shared" si="6"/>
        <v>-7.3351426685249032E-3</v>
      </c>
    </row>
    <row r="450" spans="1:15" ht="14.25" customHeight="1" x14ac:dyDescent="0.3">
      <c r="A450" s="2">
        <v>46134</v>
      </c>
      <c r="B450" t="s">
        <v>15</v>
      </c>
      <c r="C450" s="3">
        <v>1350.3</v>
      </c>
      <c r="D450" s="3">
        <v>1366</v>
      </c>
      <c r="E450" s="3">
        <v>1349.1</v>
      </c>
      <c r="F450" s="3">
        <v>1353.3</v>
      </c>
      <c r="G450" s="3">
        <v>1362</v>
      </c>
      <c r="H450" s="3">
        <v>1362.1</v>
      </c>
      <c r="I450" s="3">
        <v>1360.4</v>
      </c>
      <c r="J450" s="3">
        <v>1611.8</v>
      </c>
      <c r="K450" s="3">
        <v>1267</v>
      </c>
      <c r="L450" s="4">
        <v>9525953</v>
      </c>
      <c r="M450" s="3">
        <v>12959100398.9</v>
      </c>
      <c r="N450" s="4">
        <v>153909</v>
      </c>
      <c r="O450">
        <f t="shared" si="6"/>
        <v>6.5026232173205903E-3</v>
      </c>
    </row>
    <row r="451" spans="1:15" ht="14.25" customHeight="1" x14ac:dyDescent="0.3">
      <c r="A451" s="2">
        <v>46135</v>
      </c>
      <c r="B451" t="s">
        <v>15</v>
      </c>
      <c r="C451" s="3">
        <v>1346</v>
      </c>
      <c r="D451" s="3">
        <v>1355.5</v>
      </c>
      <c r="E451" s="3">
        <v>1340.7</v>
      </c>
      <c r="F451" s="3">
        <v>1362.1</v>
      </c>
      <c r="G451" s="3">
        <v>1344.4</v>
      </c>
      <c r="H451" s="3">
        <v>1343.4</v>
      </c>
      <c r="I451" s="3">
        <v>1347.84</v>
      </c>
      <c r="J451" s="3">
        <v>1611.8</v>
      </c>
      <c r="K451" s="3">
        <v>1267</v>
      </c>
      <c r="L451" s="4">
        <v>16385079</v>
      </c>
      <c r="M451" s="3">
        <v>22084484854.700001</v>
      </c>
      <c r="N451" s="4">
        <v>209218</v>
      </c>
      <c r="O451">
        <f t="shared" ref="O451:O496" si="7">(H451-H450)/H450</f>
        <v>-1.3728801115923808E-2</v>
      </c>
    </row>
    <row r="452" spans="1:15" ht="14.25" customHeight="1" x14ac:dyDescent="0.3">
      <c r="A452" s="2">
        <v>46136</v>
      </c>
      <c r="B452" t="s">
        <v>15</v>
      </c>
      <c r="C452" s="3">
        <v>1340</v>
      </c>
      <c r="D452" s="3">
        <v>1345.9</v>
      </c>
      <c r="E452" s="3">
        <v>1325</v>
      </c>
      <c r="F452" s="3">
        <v>1343.4</v>
      </c>
      <c r="G452" s="3">
        <v>1331</v>
      </c>
      <c r="H452" s="3">
        <v>1327.8</v>
      </c>
      <c r="I452" s="3">
        <v>1333.01</v>
      </c>
      <c r="J452" s="3">
        <v>1611.8</v>
      </c>
      <c r="K452" s="3">
        <v>1267</v>
      </c>
      <c r="L452" s="4">
        <v>11744802</v>
      </c>
      <c r="M452" s="3">
        <v>15655932416.200001</v>
      </c>
      <c r="N452" s="4">
        <v>197088</v>
      </c>
      <c r="O452">
        <f t="shared" si="7"/>
        <v>-1.1612326931666023E-2</v>
      </c>
    </row>
    <row r="453" spans="1:15" ht="14.25" customHeight="1" x14ac:dyDescent="0.3">
      <c r="A453" s="2">
        <v>46139</v>
      </c>
      <c r="B453" t="s">
        <v>15</v>
      </c>
      <c r="C453" s="3">
        <v>1313</v>
      </c>
      <c r="D453" s="3">
        <v>1371.6</v>
      </c>
      <c r="E453" s="3">
        <v>1311</v>
      </c>
      <c r="F453" s="3">
        <v>1327.8</v>
      </c>
      <c r="G453" s="3">
        <v>1370</v>
      </c>
      <c r="H453" s="3">
        <v>1365.8</v>
      </c>
      <c r="I453" s="3">
        <v>1346.48</v>
      </c>
      <c r="J453" s="3">
        <v>1611.8</v>
      </c>
      <c r="K453" s="3">
        <v>1290</v>
      </c>
      <c r="L453" s="4">
        <v>24673098</v>
      </c>
      <c r="M453" s="3">
        <v>33221715766.799999</v>
      </c>
      <c r="N453" s="4">
        <v>301732</v>
      </c>
      <c r="O453">
        <f t="shared" si="7"/>
        <v>2.8618767886729929E-2</v>
      </c>
    </row>
    <row r="454" spans="1:15" ht="14.25" customHeight="1" x14ac:dyDescent="0.3">
      <c r="A454" s="2">
        <v>46140</v>
      </c>
      <c r="B454" t="s">
        <v>15</v>
      </c>
      <c r="C454" s="3">
        <v>1358</v>
      </c>
      <c r="D454" s="3">
        <v>1395.2</v>
      </c>
      <c r="E454" s="3">
        <v>1357</v>
      </c>
      <c r="F454" s="3">
        <v>1365.8</v>
      </c>
      <c r="G454" s="3">
        <v>1393</v>
      </c>
      <c r="H454" s="3">
        <v>1388.9</v>
      </c>
      <c r="I454" s="3">
        <v>1380.39</v>
      </c>
      <c r="J454" s="3">
        <v>1611.8</v>
      </c>
      <c r="K454" s="3">
        <v>1290</v>
      </c>
      <c r="L454" s="4">
        <v>41027699</v>
      </c>
      <c r="M454" s="3">
        <v>56634360964.599998</v>
      </c>
      <c r="N454" s="4">
        <v>371160</v>
      </c>
      <c r="O454">
        <f t="shared" si="7"/>
        <v>1.6913164445746184E-2</v>
      </c>
    </row>
    <row r="455" spans="1:15" ht="14.25" customHeight="1" x14ac:dyDescent="0.3">
      <c r="A455" s="2">
        <v>46141</v>
      </c>
      <c r="B455" t="s">
        <v>15</v>
      </c>
      <c r="C455" s="3">
        <v>1392</v>
      </c>
      <c r="D455" s="3">
        <v>1433.8</v>
      </c>
      <c r="E455" s="3">
        <v>1391.3</v>
      </c>
      <c r="F455" s="3">
        <v>1388.9</v>
      </c>
      <c r="G455" s="3">
        <v>1430</v>
      </c>
      <c r="H455" s="3">
        <v>1425.4</v>
      </c>
      <c r="I455" s="3">
        <v>1418.23</v>
      </c>
      <c r="J455" s="3">
        <v>1611.8</v>
      </c>
      <c r="K455" s="3">
        <v>1290</v>
      </c>
      <c r="L455" s="4">
        <v>30542143</v>
      </c>
      <c r="M455" s="3">
        <v>43315858969.900002</v>
      </c>
      <c r="N455" s="4">
        <v>377101</v>
      </c>
      <c r="O455">
        <f t="shared" si="7"/>
        <v>2.6279789761681906E-2</v>
      </c>
    </row>
    <row r="456" spans="1:15" ht="14.25" customHeight="1" x14ac:dyDescent="0.3">
      <c r="A456" s="2">
        <v>46142</v>
      </c>
      <c r="B456" t="s">
        <v>15</v>
      </c>
      <c r="C456" s="3">
        <v>1409</v>
      </c>
      <c r="D456" s="3">
        <v>1437</v>
      </c>
      <c r="E456" s="3">
        <v>1393.1</v>
      </c>
      <c r="F456" s="3">
        <v>1425.4</v>
      </c>
      <c r="G456" s="3">
        <v>1436</v>
      </c>
      <c r="H456" s="3">
        <v>1430.8</v>
      </c>
      <c r="I456" s="3">
        <v>1416.42</v>
      </c>
      <c r="J456" s="3">
        <v>1611.8</v>
      </c>
      <c r="K456" s="3">
        <v>1290</v>
      </c>
      <c r="L456" s="4">
        <v>30957881</v>
      </c>
      <c r="M456" s="3">
        <v>43849430496.900002</v>
      </c>
      <c r="N456" s="4">
        <v>364569</v>
      </c>
      <c r="O456">
        <f t="shared" si="7"/>
        <v>3.7884102708010828E-3</v>
      </c>
    </row>
    <row r="457" spans="1:15" ht="14.25" customHeight="1" x14ac:dyDescent="0.3">
      <c r="A457" s="2">
        <v>46146</v>
      </c>
      <c r="B457" t="s">
        <v>15</v>
      </c>
      <c r="C457" s="3">
        <v>1433.4</v>
      </c>
      <c r="D457" s="3">
        <v>1467.4</v>
      </c>
      <c r="E457" s="3">
        <v>1433.4</v>
      </c>
      <c r="F457" s="3">
        <v>1430.8</v>
      </c>
      <c r="G457" s="3">
        <v>1467.2</v>
      </c>
      <c r="H457" s="3">
        <v>1463.1</v>
      </c>
      <c r="I457" s="3">
        <v>1454</v>
      </c>
      <c r="J457" s="3">
        <v>1611.8</v>
      </c>
      <c r="K457" s="3">
        <v>1290</v>
      </c>
      <c r="L457" s="4">
        <v>24035700</v>
      </c>
      <c r="M457" s="3">
        <v>34947863091</v>
      </c>
      <c r="N457" s="4">
        <v>417403</v>
      </c>
      <c r="O457">
        <f t="shared" si="7"/>
        <v>2.2574783337992701E-2</v>
      </c>
    </row>
    <row r="458" spans="1:15" ht="14.25" customHeight="1" x14ac:dyDescent="0.3">
      <c r="A458" s="2">
        <v>46147</v>
      </c>
      <c r="B458" t="s">
        <v>15</v>
      </c>
      <c r="C458" s="3">
        <v>1460</v>
      </c>
      <c r="D458" s="3">
        <v>1473.4</v>
      </c>
      <c r="E458" s="3">
        <v>1450</v>
      </c>
      <c r="F458" s="3">
        <v>1463.1</v>
      </c>
      <c r="G458" s="3">
        <v>1462.5</v>
      </c>
      <c r="H458" s="3">
        <v>1463.6</v>
      </c>
      <c r="I458" s="3">
        <v>1461.45</v>
      </c>
      <c r="J458" s="3">
        <v>1611.8</v>
      </c>
      <c r="K458" s="3">
        <v>1290</v>
      </c>
      <c r="L458" s="4">
        <v>23543341</v>
      </c>
      <c r="M458" s="3">
        <v>34407523385.099998</v>
      </c>
      <c r="N458" s="4">
        <v>312401</v>
      </c>
      <c r="O458">
        <f t="shared" si="7"/>
        <v>3.4174014079693801E-4</v>
      </c>
    </row>
    <row r="459" spans="1:15" ht="14.25" customHeight="1" x14ac:dyDescent="0.3">
      <c r="A459" s="2">
        <v>46148</v>
      </c>
      <c r="B459" t="s">
        <v>15</v>
      </c>
      <c r="C459" s="3">
        <v>1463</v>
      </c>
      <c r="D459" s="3">
        <v>1473.3</v>
      </c>
      <c r="E459" s="3">
        <v>1427.5</v>
      </c>
      <c r="F459" s="3">
        <v>1463.6</v>
      </c>
      <c r="G459" s="3">
        <v>1438.7</v>
      </c>
      <c r="H459" s="3">
        <v>1437.9</v>
      </c>
      <c r="I459" s="3">
        <v>1444.41</v>
      </c>
      <c r="J459" s="3">
        <v>1611.8</v>
      </c>
      <c r="K459" s="3">
        <v>1290</v>
      </c>
      <c r="L459" s="4">
        <v>14221786</v>
      </c>
      <c r="M459" s="3">
        <v>20542051719.099998</v>
      </c>
      <c r="N459" s="4">
        <v>282129</v>
      </c>
      <c r="O459">
        <f t="shared" si="7"/>
        <v>-1.7559442470620266E-2</v>
      </c>
    </row>
    <row r="460" spans="1:15" ht="14.25" customHeight="1" x14ac:dyDescent="0.3">
      <c r="A460" s="2">
        <v>46149</v>
      </c>
      <c r="B460" t="s">
        <v>15</v>
      </c>
      <c r="C460" s="3">
        <v>1438.8</v>
      </c>
      <c r="D460" s="3">
        <v>1449.5</v>
      </c>
      <c r="E460" s="3">
        <v>1430.3</v>
      </c>
      <c r="F460" s="3">
        <v>1437.9</v>
      </c>
      <c r="G460" s="3">
        <v>1435.5</v>
      </c>
      <c r="H460" s="3">
        <v>1436.2</v>
      </c>
      <c r="I460" s="3">
        <v>1438.64</v>
      </c>
      <c r="J460" s="3">
        <v>1611.8</v>
      </c>
      <c r="K460" s="3">
        <v>1290</v>
      </c>
      <c r="L460" s="4">
        <v>19816903</v>
      </c>
      <c r="M460" s="3">
        <v>28509373904.5</v>
      </c>
      <c r="N460" s="4">
        <v>286996</v>
      </c>
      <c r="O460">
        <f t="shared" si="7"/>
        <v>-1.1822797134710657E-3</v>
      </c>
    </row>
    <row r="461" spans="1:15" ht="14.25" customHeight="1" x14ac:dyDescent="0.3">
      <c r="A461" s="2">
        <v>46150</v>
      </c>
      <c r="B461" t="s">
        <v>15</v>
      </c>
      <c r="C461" s="3">
        <v>1426</v>
      </c>
      <c r="D461" s="3">
        <v>1442.8</v>
      </c>
      <c r="E461" s="3">
        <v>1417.5</v>
      </c>
      <c r="F461" s="3">
        <v>1436.2</v>
      </c>
      <c r="G461" s="3">
        <v>1436</v>
      </c>
      <c r="H461" s="3">
        <v>1435.2</v>
      </c>
      <c r="I461" s="3">
        <v>1428.37</v>
      </c>
      <c r="J461" s="3">
        <v>1611.8</v>
      </c>
      <c r="K461" s="3">
        <v>1290</v>
      </c>
      <c r="L461" s="4">
        <v>8663105</v>
      </c>
      <c r="M461" s="3">
        <v>12374131086.6</v>
      </c>
      <c r="N461" s="4">
        <v>173992</v>
      </c>
      <c r="O461">
        <f t="shared" si="7"/>
        <v>-6.9628185489486137E-4</v>
      </c>
    </row>
    <row r="462" spans="1:15" ht="14.25" customHeight="1" x14ac:dyDescent="0.3">
      <c r="A462" s="2">
        <v>46153</v>
      </c>
      <c r="B462" t="s">
        <v>15</v>
      </c>
      <c r="C462" s="3">
        <v>1420</v>
      </c>
      <c r="D462" s="3">
        <v>1428</v>
      </c>
      <c r="E462" s="3">
        <v>1382</v>
      </c>
      <c r="F462" s="3">
        <v>1435.2</v>
      </c>
      <c r="G462" s="3">
        <v>1385.3</v>
      </c>
      <c r="H462" s="3">
        <v>1388.2</v>
      </c>
      <c r="I462" s="3">
        <v>1402.78</v>
      </c>
      <c r="J462" s="3">
        <v>1611.8</v>
      </c>
      <c r="K462" s="3">
        <v>1290</v>
      </c>
      <c r="L462" s="4">
        <v>15261787</v>
      </c>
      <c r="M462" s="3">
        <v>21408932295.599998</v>
      </c>
      <c r="N462" s="4">
        <v>240591</v>
      </c>
      <c r="O462">
        <f t="shared" si="7"/>
        <v>-3.274804905239688E-2</v>
      </c>
    </row>
    <row r="463" spans="1:15" ht="14.25" customHeight="1" x14ac:dyDescent="0.3">
      <c r="A463" s="2">
        <v>46154</v>
      </c>
      <c r="B463" t="s">
        <v>15</v>
      </c>
      <c r="C463" s="3">
        <v>1392</v>
      </c>
      <c r="D463" s="3">
        <v>1393.5</v>
      </c>
      <c r="E463" s="3">
        <v>1360.3</v>
      </c>
      <c r="F463" s="3">
        <v>1388.2</v>
      </c>
      <c r="G463" s="3">
        <v>1366.5</v>
      </c>
      <c r="H463" s="3">
        <v>1364</v>
      </c>
      <c r="I463" s="3">
        <v>1375.76</v>
      </c>
      <c r="J463" s="3">
        <v>1611.8</v>
      </c>
      <c r="K463" s="3">
        <v>1290</v>
      </c>
      <c r="L463" s="4">
        <v>24357500</v>
      </c>
      <c r="M463" s="3">
        <v>33509995739.5</v>
      </c>
      <c r="N463" s="4">
        <v>405245</v>
      </c>
      <c r="O463">
        <f t="shared" si="7"/>
        <v>-1.7432646592710016E-2</v>
      </c>
    </row>
    <row r="464" spans="1:15" ht="14.25" customHeight="1" x14ac:dyDescent="0.3">
      <c r="A464" s="2">
        <v>46155</v>
      </c>
      <c r="B464" t="s">
        <v>15</v>
      </c>
      <c r="C464" s="3">
        <v>1361.4</v>
      </c>
      <c r="D464" s="3">
        <v>1372.4</v>
      </c>
      <c r="E464" s="3">
        <v>1352.4</v>
      </c>
      <c r="F464" s="3">
        <v>1364</v>
      </c>
      <c r="G464" s="3">
        <v>1361.2</v>
      </c>
      <c r="H464" s="3">
        <v>1358.8</v>
      </c>
      <c r="I464" s="3">
        <v>1360.83</v>
      </c>
      <c r="J464" s="3">
        <v>1611.8</v>
      </c>
      <c r="K464" s="3">
        <v>1290</v>
      </c>
      <c r="L464" s="4">
        <v>13797989</v>
      </c>
      <c r="M464" s="3">
        <v>18776783797.900002</v>
      </c>
      <c r="N464" s="4">
        <v>253418</v>
      </c>
      <c r="O464">
        <f t="shared" si="7"/>
        <v>-3.8123167155425554E-3</v>
      </c>
    </row>
    <row r="465" spans="1:15" ht="14.25" customHeight="1" x14ac:dyDescent="0.3">
      <c r="A465" s="2">
        <v>46156</v>
      </c>
      <c r="B465" t="s">
        <v>15</v>
      </c>
      <c r="C465" s="3">
        <v>1365.2</v>
      </c>
      <c r="D465" s="3">
        <v>1378</v>
      </c>
      <c r="E465" s="3">
        <v>1358.4</v>
      </c>
      <c r="F465" s="3">
        <v>1358.8</v>
      </c>
      <c r="G465" s="3">
        <v>1368.5</v>
      </c>
      <c r="H465" s="3">
        <v>1361.8</v>
      </c>
      <c r="I465" s="3">
        <v>1365.93</v>
      </c>
      <c r="J465" s="3">
        <v>1611.8</v>
      </c>
      <c r="K465" s="3">
        <v>1290</v>
      </c>
      <c r="L465" s="4">
        <v>17303059</v>
      </c>
      <c r="M465" s="3">
        <v>23634693081.400002</v>
      </c>
      <c r="N465" s="4">
        <v>312686</v>
      </c>
      <c r="O465">
        <f t="shared" si="7"/>
        <v>2.2078304386223139E-3</v>
      </c>
    </row>
    <row r="466" spans="1:15" ht="14.25" customHeight="1" x14ac:dyDescent="0.3">
      <c r="A466" s="2">
        <v>46157</v>
      </c>
      <c r="B466" t="s">
        <v>15</v>
      </c>
      <c r="C466" s="3">
        <v>1356.8</v>
      </c>
      <c r="D466" s="3">
        <v>1364.8</v>
      </c>
      <c r="E466" s="3">
        <v>1329.2</v>
      </c>
      <c r="F466" s="3">
        <v>1361.8</v>
      </c>
      <c r="G466" s="3">
        <v>1339</v>
      </c>
      <c r="H466" s="3">
        <v>1336.4</v>
      </c>
      <c r="I466" s="3">
        <v>1339.37</v>
      </c>
      <c r="J466" s="3">
        <v>1611.8</v>
      </c>
      <c r="K466" s="3">
        <v>1290</v>
      </c>
      <c r="L466" s="4">
        <v>19976192</v>
      </c>
      <c r="M466" s="3">
        <v>26755567751.400002</v>
      </c>
      <c r="N466" s="4">
        <v>276450</v>
      </c>
      <c r="O466">
        <f t="shared" si="7"/>
        <v>-1.8651784402995936E-2</v>
      </c>
    </row>
    <row r="467" spans="1:15" ht="14.25" customHeight="1" x14ac:dyDescent="0.3">
      <c r="A467" s="2">
        <v>46160</v>
      </c>
      <c r="B467" t="s">
        <v>15</v>
      </c>
      <c r="C467" s="3">
        <v>1334</v>
      </c>
      <c r="D467" s="3">
        <v>1342</v>
      </c>
      <c r="E467" s="3">
        <v>1318.7</v>
      </c>
      <c r="F467" s="3">
        <v>1336.4</v>
      </c>
      <c r="G467" s="3">
        <v>1335</v>
      </c>
      <c r="H467" s="3">
        <v>1335.9</v>
      </c>
      <c r="I467" s="3">
        <v>1333.44</v>
      </c>
      <c r="J467" s="3">
        <v>1611.8</v>
      </c>
      <c r="K467" s="3">
        <v>1290</v>
      </c>
      <c r="L467" s="4">
        <v>13022473</v>
      </c>
      <c r="M467" s="3">
        <v>17364734585.599998</v>
      </c>
      <c r="N467" s="4">
        <v>224065</v>
      </c>
      <c r="O467">
        <f t="shared" si="7"/>
        <v>-3.7413947919784493E-4</v>
      </c>
    </row>
    <row r="468" spans="1:15" ht="14.25" customHeight="1" x14ac:dyDescent="0.3">
      <c r="A468" s="2">
        <v>46161</v>
      </c>
      <c r="B468" t="s">
        <v>15</v>
      </c>
      <c r="C468" s="3">
        <v>1338.7</v>
      </c>
      <c r="D468" s="3">
        <v>1344</v>
      </c>
      <c r="E468" s="3">
        <v>1318.4</v>
      </c>
      <c r="F468" s="3">
        <v>1335.9</v>
      </c>
      <c r="G468" s="3">
        <v>1322.8</v>
      </c>
      <c r="H468" s="3">
        <v>1322.7</v>
      </c>
      <c r="I468" s="3">
        <v>1332.15</v>
      </c>
      <c r="J468" s="3">
        <v>1611.8</v>
      </c>
      <c r="K468" s="3">
        <v>1290</v>
      </c>
      <c r="L468" s="4">
        <v>21665501</v>
      </c>
      <c r="M468" s="3">
        <v>28861686347.299999</v>
      </c>
      <c r="N468" s="4">
        <v>339757</v>
      </c>
      <c r="O468">
        <f t="shared" si="7"/>
        <v>-9.8809791152032669E-3</v>
      </c>
    </row>
    <row r="469" spans="1:15" ht="14.25" customHeight="1" x14ac:dyDescent="0.3">
      <c r="A469" s="2">
        <v>46162</v>
      </c>
      <c r="B469" t="s">
        <v>15</v>
      </c>
      <c r="C469" s="3">
        <v>1318.7</v>
      </c>
      <c r="D469" s="3">
        <v>1362.9</v>
      </c>
      <c r="E469" s="3">
        <v>1312.6</v>
      </c>
      <c r="F469" s="3">
        <v>1322.7</v>
      </c>
      <c r="G469" s="3">
        <v>1360.3</v>
      </c>
      <c r="H469" s="3">
        <v>1359.7</v>
      </c>
      <c r="I469" s="3">
        <v>1345.23</v>
      </c>
      <c r="J469" s="3">
        <v>1611.8</v>
      </c>
      <c r="K469" s="3">
        <v>1290</v>
      </c>
      <c r="L469" s="4">
        <v>13248515</v>
      </c>
      <c r="M469" s="3">
        <v>17822310858.200001</v>
      </c>
      <c r="N469" s="4">
        <v>227919</v>
      </c>
      <c r="O469">
        <f t="shared" si="7"/>
        <v>2.7973085355711802E-2</v>
      </c>
    </row>
    <row r="470" spans="1:15" ht="14.25" customHeight="1" x14ac:dyDescent="0.3">
      <c r="A470" s="2">
        <v>46163</v>
      </c>
      <c r="B470" t="s">
        <v>15</v>
      </c>
      <c r="C470" s="3">
        <v>1367.2</v>
      </c>
      <c r="D470" s="3">
        <v>1370.9</v>
      </c>
      <c r="E470" s="3">
        <v>1345.2</v>
      </c>
      <c r="F470" s="3">
        <v>1359.7</v>
      </c>
      <c r="G470" s="3">
        <v>1349</v>
      </c>
      <c r="H470" s="3">
        <v>1349.6</v>
      </c>
      <c r="I470" s="3">
        <v>1352.83</v>
      </c>
      <c r="J470" s="3">
        <v>1611.8</v>
      </c>
      <c r="K470" s="3">
        <v>1290</v>
      </c>
      <c r="L470" s="4">
        <v>17150630</v>
      </c>
      <c r="M470" s="3">
        <v>23201823031.700001</v>
      </c>
      <c r="N470" s="4">
        <v>275605</v>
      </c>
      <c r="O470">
        <f t="shared" si="7"/>
        <v>-7.4281091417225387E-3</v>
      </c>
    </row>
    <row r="471" spans="1:15" ht="14.25" customHeight="1" x14ac:dyDescent="0.3">
      <c r="A471" s="2">
        <v>46164</v>
      </c>
      <c r="B471" t="s">
        <v>15</v>
      </c>
      <c r="C471" s="3">
        <v>1350</v>
      </c>
      <c r="D471" s="3">
        <v>1367.4</v>
      </c>
      <c r="E471" s="3">
        <v>1349.1</v>
      </c>
      <c r="F471" s="3">
        <v>1349.6</v>
      </c>
      <c r="G471" s="3">
        <v>1358</v>
      </c>
      <c r="H471" s="3">
        <v>1354.5</v>
      </c>
      <c r="I471" s="3">
        <v>1357.24</v>
      </c>
      <c r="J471" s="3">
        <v>1611.8</v>
      </c>
      <c r="K471" s="3">
        <v>1290</v>
      </c>
      <c r="L471" s="4">
        <v>7105813</v>
      </c>
      <c r="M471" s="3">
        <v>9644325563.7999992</v>
      </c>
      <c r="N471" s="4">
        <v>163887</v>
      </c>
      <c r="O471">
        <f t="shared" si="7"/>
        <v>3.6307053941909391E-3</v>
      </c>
    </row>
    <row r="472" spans="1:15" ht="14.25" customHeight="1" x14ac:dyDescent="0.3">
      <c r="A472" s="2">
        <v>46167</v>
      </c>
      <c r="B472" t="s">
        <v>15</v>
      </c>
      <c r="C472" s="3">
        <v>1366.8</v>
      </c>
      <c r="D472" s="3">
        <v>1371.1</v>
      </c>
      <c r="E472" s="3">
        <v>1357</v>
      </c>
      <c r="F472" s="3">
        <v>1354.5</v>
      </c>
      <c r="G472" s="3">
        <v>1366.4</v>
      </c>
      <c r="H472" s="3">
        <v>1367</v>
      </c>
      <c r="I472" s="3">
        <v>1363.11</v>
      </c>
      <c r="J472" s="3">
        <v>1611.8</v>
      </c>
      <c r="K472" s="3">
        <v>1290</v>
      </c>
      <c r="L472" s="4">
        <v>6750071</v>
      </c>
      <c r="M472" s="3">
        <v>9201071110.8999996</v>
      </c>
      <c r="N472" s="4">
        <v>139554</v>
      </c>
      <c r="O472">
        <f t="shared" si="7"/>
        <v>9.2284976005906245E-3</v>
      </c>
    </row>
    <row r="473" spans="1:15" ht="14.25" customHeight="1" x14ac:dyDescent="0.3">
      <c r="A473" s="2">
        <v>46168</v>
      </c>
      <c r="B473" t="s">
        <v>15</v>
      </c>
      <c r="C473" s="3">
        <v>1360.1</v>
      </c>
      <c r="D473" s="3">
        <v>1368.5</v>
      </c>
      <c r="E473" s="3">
        <v>1352.4</v>
      </c>
      <c r="F473" s="3">
        <v>1367</v>
      </c>
      <c r="G473" s="3">
        <v>1357</v>
      </c>
      <c r="H473" s="3">
        <v>1356.3</v>
      </c>
      <c r="I473" s="3">
        <v>1359.22</v>
      </c>
      <c r="J473" s="3">
        <v>1611.8</v>
      </c>
      <c r="K473" s="3">
        <v>1290</v>
      </c>
      <c r="L473" s="4">
        <v>13769747</v>
      </c>
      <c r="M473" s="3">
        <v>18716137070.799999</v>
      </c>
      <c r="N473" s="4">
        <v>148444</v>
      </c>
      <c r="O473">
        <f t="shared" si="7"/>
        <v>-7.8273591806876704E-3</v>
      </c>
    </row>
    <row r="474" spans="1:15" ht="14.25" customHeight="1" x14ac:dyDescent="0.3">
      <c r="A474" s="2">
        <v>46169</v>
      </c>
      <c r="B474" t="s">
        <v>15</v>
      </c>
      <c r="C474" s="3">
        <v>1353</v>
      </c>
      <c r="D474" s="3">
        <v>1361</v>
      </c>
      <c r="E474" s="3">
        <v>1348.6</v>
      </c>
      <c r="F474" s="3">
        <v>1356.3</v>
      </c>
      <c r="G474" s="3">
        <v>1352</v>
      </c>
      <c r="H474" s="3">
        <v>1350.5</v>
      </c>
      <c r="I474" s="3">
        <v>1354.62</v>
      </c>
      <c r="J474" s="3">
        <v>1611.8</v>
      </c>
      <c r="K474" s="3">
        <v>1290</v>
      </c>
      <c r="L474" s="4">
        <v>13215138</v>
      </c>
      <c r="M474" s="3">
        <v>17901499784.799999</v>
      </c>
      <c r="N474" s="4">
        <v>230257</v>
      </c>
      <c r="O474">
        <f t="shared" si="7"/>
        <v>-4.2763400427633666E-3</v>
      </c>
    </row>
    <row r="475" spans="1:15" ht="14.25" customHeight="1" x14ac:dyDescent="0.3">
      <c r="A475" s="2">
        <v>46171</v>
      </c>
      <c r="B475" t="s">
        <v>15</v>
      </c>
      <c r="C475" s="3">
        <v>1364</v>
      </c>
      <c r="D475" s="3">
        <v>1369</v>
      </c>
      <c r="E475" s="3">
        <v>1317</v>
      </c>
      <c r="F475" s="3">
        <v>1350.5</v>
      </c>
      <c r="G475" s="3">
        <v>1321.9</v>
      </c>
      <c r="H475" s="3">
        <v>1321.2</v>
      </c>
      <c r="I475" s="3">
        <v>1330.58</v>
      </c>
      <c r="J475" s="3">
        <v>1611.8</v>
      </c>
      <c r="K475" s="3">
        <v>1290</v>
      </c>
      <c r="L475" s="4">
        <v>42634247</v>
      </c>
      <c r="M475" s="3">
        <v>56728419201.099998</v>
      </c>
      <c r="N475" s="4">
        <v>309971</v>
      </c>
      <c r="O475">
        <f t="shared" si="7"/>
        <v>-2.1695668271010705E-2</v>
      </c>
    </row>
    <row r="476" spans="1:15" ht="14.25" customHeight="1" x14ac:dyDescent="0.3">
      <c r="A476" s="2">
        <v>46174</v>
      </c>
      <c r="B476" t="s">
        <v>15</v>
      </c>
      <c r="C476" s="3">
        <v>1332.5</v>
      </c>
      <c r="D476" s="3">
        <v>1335.5</v>
      </c>
      <c r="E476" s="3">
        <v>1318.5</v>
      </c>
      <c r="F476" s="3">
        <v>1321.2</v>
      </c>
      <c r="G476" s="3">
        <v>1320.2</v>
      </c>
      <c r="H476" s="3">
        <v>1320</v>
      </c>
      <c r="I476" s="3">
        <v>1324.32</v>
      </c>
      <c r="J476" s="3">
        <v>1611.8</v>
      </c>
      <c r="K476" s="3">
        <v>1290</v>
      </c>
      <c r="L476" s="4">
        <v>10700603</v>
      </c>
      <c r="M476" s="3">
        <v>14170974474.5</v>
      </c>
      <c r="N476" s="4">
        <v>212031</v>
      </c>
      <c r="O476">
        <f t="shared" si="7"/>
        <v>-9.082652134423595E-4</v>
      </c>
    </row>
    <row r="477" spans="1:15" ht="14.25" customHeight="1" x14ac:dyDescent="0.3">
      <c r="A477" s="2">
        <v>46175</v>
      </c>
      <c r="B477" t="s">
        <v>15</v>
      </c>
      <c r="C477" s="3">
        <v>1307.7</v>
      </c>
      <c r="D477" s="3">
        <v>1327.8</v>
      </c>
      <c r="E477" s="3">
        <v>1300.3</v>
      </c>
      <c r="F477" s="3">
        <v>1320</v>
      </c>
      <c r="G477" s="3">
        <v>1321</v>
      </c>
      <c r="H477" s="3">
        <v>1314.6</v>
      </c>
      <c r="I477" s="3">
        <v>1313.43</v>
      </c>
      <c r="J477" s="3">
        <v>1611.8</v>
      </c>
      <c r="K477" s="3">
        <v>1290</v>
      </c>
      <c r="L477" s="4">
        <v>23302785</v>
      </c>
      <c r="M477" s="3">
        <v>30606599536</v>
      </c>
      <c r="N477" s="4">
        <v>362323</v>
      </c>
      <c r="O477">
        <f t="shared" si="7"/>
        <v>-4.0909090909091598E-3</v>
      </c>
    </row>
    <row r="478" spans="1:15" ht="14.25" customHeight="1" x14ac:dyDescent="0.3">
      <c r="A478" s="2">
        <v>46176</v>
      </c>
      <c r="B478" t="s">
        <v>15</v>
      </c>
      <c r="C478" s="3">
        <v>1315</v>
      </c>
      <c r="D478" s="3">
        <v>1324</v>
      </c>
      <c r="E478" s="3">
        <v>1301</v>
      </c>
      <c r="F478" s="3">
        <v>1314.6</v>
      </c>
      <c r="G478" s="3">
        <v>1312.6</v>
      </c>
      <c r="H478" s="3">
        <v>1313.2</v>
      </c>
      <c r="I478" s="3">
        <v>1309.6099999999999</v>
      </c>
      <c r="J478" s="3">
        <v>1611.8</v>
      </c>
      <c r="K478" s="3">
        <v>1290</v>
      </c>
      <c r="L478" s="4">
        <v>20012293</v>
      </c>
      <c r="M478" s="3">
        <v>26208226472.799999</v>
      </c>
      <c r="N478" s="4">
        <v>380780</v>
      </c>
      <c r="O478">
        <f t="shared" si="7"/>
        <v>-1.0649627263044756E-3</v>
      </c>
    </row>
    <row r="479" spans="1:15" ht="14.25" customHeight="1" x14ac:dyDescent="0.3">
      <c r="A479" s="2">
        <v>46177</v>
      </c>
      <c r="B479" t="s">
        <v>15</v>
      </c>
      <c r="C479" s="3">
        <v>1301</v>
      </c>
      <c r="D479" s="3">
        <v>1311.2</v>
      </c>
      <c r="E479" s="3">
        <v>1293.0999999999999</v>
      </c>
      <c r="F479" s="3">
        <v>1313.2</v>
      </c>
      <c r="G479" s="3">
        <v>1308</v>
      </c>
      <c r="H479" s="3">
        <v>1303.7</v>
      </c>
      <c r="I479" s="3">
        <v>1303.1600000000001</v>
      </c>
      <c r="J479" s="3">
        <v>1611.8</v>
      </c>
      <c r="K479" s="3">
        <v>1290</v>
      </c>
      <c r="L479" s="4">
        <v>23474327</v>
      </c>
      <c r="M479" s="3">
        <v>30590735365.599998</v>
      </c>
      <c r="N479" s="4">
        <v>318716</v>
      </c>
      <c r="O479">
        <f t="shared" si="7"/>
        <v>-7.2342369783734385E-3</v>
      </c>
    </row>
    <row r="480" spans="1:15" ht="14.25" customHeight="1" x14ac:dyDescent="0.3">
      <c r="A480" s="2">
        <v>46178</v>
      </c>
      <c r="B480" t="s">
        <v>15</v>
      </c>
      <c r="C480" s="3">
        <v>1304.5</v>
      </c>
      <c r="D480" s="3">
        <v>1306</v>
      </c>
      <c r="E480" s="3">
        <v>1288</v>
      </c>
      <c r="F480" s="3">
        <v>1303.7</v>
      </c>
      <c r="G480" s="3">
        <v>1291.4000000000001</v>
      </c>
      <c r="H480" s="3">
        <v>1291</v>
      </c>
      <c r="I480" s="3">
        <v>1294.8</v>
      </c>
      <c r="J480" s="3">
        <v>1611.8</v>
      </c>
      <c r="K480" s="3">
        <v>1288</v>
      </c>
      <c r="L480" s="4">
        <v>17785223</v>
      </c>
      <c r="M480" s="3">
        <v>23028393410</v>
      </c>
      <c r="N480" s="4">
        <v>356802</v>
      </c>
      <c r="O480">
        <f t="shared" si="7"/>
        <v>-9.7415049474572721E-3</v>
      </c>
    </row>
    <row r="481" spans="1:15" ht="14.25" customHeight="1" x14ac:dyDescent="0.3">
      <c r="A481" s="2">
        <v>46181</v>
      </c>
      <c r="B481" t="s">
        <v>15</v>
      </c>
      <c r="C481" s="3">
        <v>1277</v>
      </c>
      <c r="D481" s="3">
        <v>1282.5999999999999</v>
      </c>
      <c r="E481" s="3">
        <v>1259.2</v>
      </c>
      <c r="F481" s="3">
        <v>1291</v>
      </c>
      <c r="G481" s="3">
        <v>1262.8</v>
      </c>
      <c r="H481" s="3">
        <v>1263.3</v>
      </c>
      <c r="I481" s="3">
        <v>1271.9000000000001</v>
      </c>
      <c r="J481" s="3">
        <v>1611.8</v>
      </c>
      <c r="K481" s="3">
        <v>1259.2</v>
      </c>
      <c r="L481" s="4">
        <v>16494759</v>
      </c>
      <c r="M481" s="3">
        <v>20979689703.099998</v>
      </c>
      <c r="N481" s="4">
        <v>303591</v>
      </c>
      <c r="O481">
        <f t="shared" si="7"/>
        <v>-2.145623547637494E-2</v>
      </c>
    </row>
    <row r="482" spans="1:15" ht="14.25" customHeight="1" x14ac:dyDescent="0.3">
      <c r="A482" s="2">
        <v>46182</v>
      </c>
      <c r="B482" t="s">
        <v>15</v>
      </c>
      <c r="C482" s="3">
        <v>1269</v>
      </c>
      <c r="D482" s="3">
        <v>1274.2</v>
      </c>
      <c r="E482" s="3">
        <v>1257.5</v>
      </c>
      <c r="F482" s="3">
        <v>1263.3</v>
      </c>
      <c r="G482" s="3">
        <v>1272.3</v>
      </c>
      <c r="H482" s="3">
        <v>1269.2</v>
      </c>
      <c r="I482" s="3">
        <v>1264.75</v>
      </c>
      <c r="J482" s="3">
        <v>1611.8</v>
      </c>
      <c r="K482" s="3">
        <v>1257.5</v>
      </c>
      <c r="L482" s="4">
        <v>23620214</v>
      </c>
      <c r="M482" s="3">
        <v>29873731086.299999</v>
      </c>
      <c r="N482" s="4">
        <v>273651</v>
      </c>
      <c r="O482">
        <f t="shared" si="7"/>
        <v>4.6703079236919904E-3</v>
      </c>
    </row>
    <row r="483" spans="1:15" ht="14.25" customHeight="1" x14ac:dyDescent="0.3">
      <c r="A483" s="2">
        <v>46183</v>
      </c>
      <c r="B483" t="s">
        <v>15</v>
      </c>
      <c r="C483" s="3">
        <v>1275</v>
      </c>
      <c r="D483" s="3">
        <v>1300.5</v>
      </c>
      <c r="E483" s="3">
        <v>1254.4000000000001</v>
      </c>
      <c r="F483" s="3">
        <v>1269.2</v>
      </c>
      <c r="G483" s="3">
        <v>1258.7</v>
      </c>
      <c r="H483" s="3">
        <v>1258.8</v>
      </c>
      <c r="I483" s="3">
        <v>1274.1500000000001</v>
      </c>
      <c r="J483" s="3">
        <v>1611.8</v>
      </c>
      <c r="K483" s="3">
        <v>1254.4000000000001</v>
      </c>
      <c r="L483" s="4">
        <v>21012796</v>
      </c>
      <c r="M483" s="3">
        <v>26773474717.200001</v>
      </c>
      <c r="N483" s="4">
        <v>307301</v>
      </c>
      <c r="O483">
        <f t="shared" si="7"/>
        <v>-8.1941380397101242E-3</v>
      </c>
    </row>
    <row r="484" spans="1:15" ht="14.25" customHeight="1" x14ac:dyDescent="0.3">
      <c r="A484" s="2">
        <v>46184</v>
      </c>
      <c r="B484" t="s">
        <v>15</v>
      </c>
      <c r="C484" s="3">
        <v>1258</v>
      </c>
      <c r="D484" s="3">
        <v>1276</v>
      </c>
      <c r="E484" s="3">
        <v>1253.2</v>
      </c>
      <c r="F484" s="3">
        <v>1258.8</v>
      </c>
      <c r="G484" s="3">
        <v>1264.5</v>
      </c>
      <c r="H484" s="3">
        <v>1263</v>
      </c>
      <c r="I484" s="3">
        <v>1265.78</v>
      </c>
      <c r="J484" s="3">
        <v>1611.8</v>
      </c>
      <c r="K484" s="3">
        <v>1253.2</v>
      </c>
      <c r="L484" s="4">
        <v>13117486</v>
      </c>
      <c r="M484" s="3">
        <v>16603791532.6</v>
      </c>
      <c r="N484" s="4">
        <v>208052</v>
      </c>
      <c r="O484">
        <f t="shared" si="7"/>
        <v>3.3365109628217711E-3</v>
      </c>
    </row>
    <row r="485" spans="1:15" ht="14.25" customHeight="1" x14ac:dyDescent="0.3">
      <c r="A485" s="2">
        <v>46185</v>
      </c>
      <c r="B485" t="s">
        <v>15</v>
      </c>
      <c r="C485" s="3">
        <v>1277</v>
      </c>
      <c r="D485" s="3">
        <v>1297</v>
      </c>
      <c r="E485" s="3">
        <v>1262.5</v>
      </c>
      <c r="F485" s="3">
        <v>1263</v>
      </c>
      <c r="G485" s="3">
        <v>1296.4000000000001</v>
      </c>
      <c r="H485" s="3">
        <v>1293</v>
      </c>
      <c r="I485" s="3">
        <v>1277.1600000000001</v>
      </c>
      <c r="J485" s="3">
        <v>1611.8</v>
      </c>
      <c r="K485" s="3">
        <v>1253.2</v>
      </c>
      <c r="L485" s="4">
        <v>11988785</v>
      </c>
      <c r="M485" s="3">
        <v>15311601155.200001</v>
      </c>
      <c r="N485" s="4">
        <v>196811</v>
      </c>
      <c r="O485">
        <f t="shared" si="7"/>
        <v>2.3752969121140142E-2</v>
      </c>
    </row>
    <row r="486" spans="1:15" ht="14.25" customHeight="1" x14ac:dyDescent="0.3">
      <c r="A486" s="2">
        <v>46188</v>
      </c>
      <c r="B486" t="s">
        <v>15</v>
      </c>
      <c r="C486" s="3">
        <v>1315.3</v>
      </c>
      <c r="D486" s="3">
        <v>1325</v>
      </c>
      <c r="E486" s="3">
        <v>1303.3</v>
      </c>
      <c r="F486" s="3">
        <v>1293</v>
      </c>
      <c r="G486" s="3">
        <v>1306.5</v>
      </c>
      <c r="H486" s="3">
        <v>1307</v>
      </c>
      <c r="I486" s="3">
        <v>1311.06</v>
      </c>
      <c r="J486" s="3">
        <v>1611.8</v>
      </c>
      <c r="K486" s="3">
        <v>1253.2</v>
      </c>
      <c r="L486" s="4">
        <v>18633321</v>
      </c>
      <c r="M486" s="3">
        <v>24429312588.700001</v>
      </c>
      <c r="N486" s="4">
        <v>220103</v>
      </c>
      <c r="O486">
        <f t="shared" si="7"/>
        <v>1.082753286929621E-2</v>
      </c>
    </row>
    <row r="487" spans="1:15" ht="14.25" customHeight="1" x14ac:dyDescent="0.3">
      <c r="A487" s="2">
        <v>46189</v>
      </c>
      <c r="B487" t="s">
        <v>15</v>
      </c>
      <c r="C487" s="3">
        <v>1313.4</v>
      </c>
      <c r="D487" s="3">
        <v>1333.4</v>
      </c>
      <c r="E487" s="3">
        <v>1306.4000000000001</v>
      </c>
      <c r="F487" s="3">
        <v>1307</v>
      </c>
      <c r="G487" s="3">
        <v>1328.6</v>
      </c>
      <c r="H487" s="3">
        <v>1328.8</v>
      </c>
      <c r="I487" s="3">
        <v>1326.71</v>
      </c>
      <c r="J487" s="3">
        <v>1611.8</v>
      </c>
      <c r="K487" s="3">
        <v>1253.2</v>
      </c>
      <c r="L487" s="4">
        <v>18513223</v>
      </c>
      <c r="M487" s="3">
        <v>24561659086.400002</v>
      </c>
      <c r="N487" s="4">
        <v>268584</v>
      </c>
      <c r="O487">
        <f t="shared" si="7"/>
        <v>1.6679418515684739E-2</v>
      </c>
    </row>
    <row r="488" spans="1:15" ht="14.25" customHeight="1" x14ac:dyDescent="0.3">
      <c r="A488" s="2">
        <v>46190</v>
      </c>
      <c r="B488" t="s">
        <v>15</v>
      </c>
      <c r="C488" s="3">
        <v>1333</v>
      </c>
      <c r="D488" s="3">
        <v>1334</v>
      </c>
      <c r="E488" s="3">
        <v>1317</v>
      </c>
      <c r="F488" s="3">
        <v>1328.8</v>
      </c>
      <c r="G488" s="3">
        <v>1332.1</v>
      </c>
      <c r="H488" s="3">
        <v>1332.7</v>
      </c>
      <c r="I488" s="3">
        <v>1328.97</v>
      </c>
      <c r="J488" s="3">
        <v>1611.8</v>
      </c>
      <c r="K488" s="3">
        <v>1253.2</v>
      </c>
      <c r="L488" s="4">
        <v>10029170</v>
      </c>
      <c r="M488" s="3">
        <v>13328474070.799999</v>
      </c>
      <c r="N488" s="4">
        <v>223240</v>
      </c>
      <c r="O488">
        <f t="shared" si="7"/>
        <v>2.9349789283564802E-3</v>
      </c>
    </row>
    <row r="489" spans="1:15" ht="14.25" customHeight="1" x14ac:dyDescent="0.3">
      <c r="A489" s="2">
        <v>46191</v>
      </c>
      <c r="B489" t="s">
        <v>15</v>
      </c>
      <c r="C489" s="3">
        <v>1330</v>
      </c>
      <c r="D489" s="3">
        <v>1333.9</v>
      </c>
      <c r="E489" s="3">
        <v>1322</v>
      </c>
      <c r="F489" s="3">
        <v>1332.7</v>
      </c>
      <c r="G489" s="3">
        <v>1331</v>
      </c>
      <c r="H489" s="3">
        <v>1328.1</v>
      </c>
      <c r="I489" s="3">
        <v>1327.75</v>
      </c>
      <c r="J489" s="3">
        <v>1611.8</v>
      </c>
      <c r="K489" s="3">
        <v>1253.2</v>
      </c>
      <c r="L489" s="4">
        <v>15494549</v>
      </c>
      <c r="M489" s="3">
        <v>20572897900.799999</v>
      </c>
      <c r="N489" s="4">
        <v>210055</v>
      </c>
      <c r="O489">
        <f t="shared" si="7"/>
        <v>-3.4516395287762709E-3</v>
      </c>
    </row>
    <row r="490" spans="1:15" ht="14.25" customHeight="1" x14ac:dyDescent="0.3">
      <c r="A490" s="2">
        <v>46192</v>
      </c>
      <c r="B490" t="s">
        <v>15</v>
      </c>
      <c r="C490" s="3">
        <v>1328</v>
      </c>
      <c r="D490" s="3">
        <v>1338.2</v>
      </c>
      <c r="E490" s="3">
        <v>1305.3</v>
      </c>
      <c r="F490" s="3">
        <v>1328.1</v>
      </c>
      <c r="G490" s="3">
        <v>1311.5</v>
      </c>
      <c r="H490" s="3">
        <v>1309.5</v>
      </c>
      <c r="I490" s="3">
        <v>1317.76</v>
      </c>
      <c r="J490" s="3">
        <v>1611.8</v>
      </c>
      <c r="K490" s="3">
        <v>1253.2</v>
      </c>
      <c r="L490" s="4">
        <v>24887034</v>
      </c>
      <c r="M490" s="3">
        <v>32795056305.400002</v>
      </c>
      <c r="N490" s="4">
        <v>271929</v>
      </c>
      <c r="O490">
        <f t="shared" si="7"/>
        <v>-1.4004969505308268E-2</v>
      </c>
    </row>
    <row r="491" spans="1:15" ht="14.25" customHeight="1" x14ac:dyDescent="0.3">
      <c r="A491" s="2">
        <v>46195</v>
      </c>
      <c r="B491" t="s">
        <v>15</v>
      </c>
      <c r="C491" s="3">
        <v>1316.7</v>
      </c>
      <c r="D491" s="3">
        <v>1344.9</v>
      </c>
      <c r="E491" s="3">
        <v>1314.1</v>
      </c>
      <c r="F491" s="3">
        <v>1309.5</v>
      </c>
      <c r="G491" s="3">
        <v>1324.7</v>
      </c>
      <c r="H491" s="3">
        <v>1326.5</v>
      </c>
      <c r="I491" s="3">
        <v>1333.48</v>
      </c>
      <c r="J491" s="3">
        <v>1611.8</v>
      </c>
      <c r="K491" s="3">
        <v>1253.2</v>
      </c>
      <c r="L491" s="4">
        <v>12931213</v>
      </c>
      <c r="M491" s="3">
        <v>17243520821.400002</v>
      </c>
      <c r="N491" s="4">
        <v>261143</v>
      </c>
      <c r="O491">
        <f t="shared" si="7"/>
        <v>1.2982054219167621E-2</v>
      </c>
    </row>
    <row r="492" spans="1:15" ht="14.25" customHeight="1" x14ac:dyDescent="0.3">
      <c r="A492" s="2">
        <v>46196</v>
      </c>
      <c r="B492" t="s">
        <v>15</v>
      </c>
      <c r="C492" s="3">
        <v>1328.9</v>
      </c>
      <c r="D492" s="3">
        <v>1333</v>
      </c>
      <c r="E492" s="3">
        <v>1304</v>
      </c>
      <c r="F492" s="3">
        <v>1326.5</v>
      </c>
      <c r="G492" s="3">
        <v>1306</v>
      </c>
      <c r="H492" s="3">
        <v>1309.5</v>
      </c>
      <c r="I492" s="3">
        <v>1318.19</v>
      </c>
      <c r="J492" s="3">
        <v>1611.8</v>
      </c>
      <c r="K492" s="3">
        <v>1253.2</v>
      </c>
      <c r="L492" s="4">
        <v>15400184</v>
      </c>
      <c r="M492" s="3">
        <v>20300411366.400002</v>
      </c>
      <c r="N492" s="4">
        <v>184704</v>
      </c>
      <c r="O492">
        <f t="shared" si="7"/>
        <v>-1.2815680361854504E-2</v>
      </c>
    </row>
    <row r="493" spans="1:15" ht="14.25" customHeight="1" x14ac:dyDescent="0.3">
      <c r="A493" s="2">
        <v>46197</v>
      </c>
      <c r="B493" t="s">
        <v>15</v>
      </c>
      <c r="C493" s="3">
        <v>1305.7</v>
      </c>
      <c r="D493" s="3">
        <v>1322</v>
      </c>
      <c r="E493" s="3">
        <v>1297.5</v>
      </c>
      <c r="F493" s="3">
        <v>1309.5</v>
      </c>
      <c r="G493" s="3">
        <v>1313.4</v>
      </c>
      <c r="H493" s="3">
        <v>1313.6</v>
      </c>
      <c r="I493" s="3">
        <v>1312.24</v>
      </c>
      <c r="J493" s="3">
        <v>1611.8</v>
      </c>
      <c r="K493" s="3">
        <v>1253.2</v>
      </c>
      <c r="L493" s="4">
        <v>11030917</v>
      </c>
      <c r="M493" s="3">
        <v>14475176030.9</v>
      </c>
      <c r="N493" s="4">
        <v>181859</v>
      </c>
      <c r="O493">
        <f t="shared" si="7"/>
        <v>3.1309660175638863E-3</v>
      </c>
    </row>
    <row r="494" spans="1:15" ht="14.25" customHeight="1" x14ac:dyDescent="0.3">
      <c r="A494" s="2">
        <v>46198</v>
      </c>
      <c r="B494" t="s">
        <v>15</v>
      </c>
      <c r="C494" s="3">
        <v>1318</v>
      </c>
      <c r="D494" s="3">
        <v>1328</v>
      </c>
      <c r="E494" s="3">
        <v>1314.6</v>
      </c>
      <c r="F494" s="3">
        <v>1313.6</v>
      </c>
      <c r="G494" s="3">
        <v>1316.5</v>
      </c>
      <c r="H494" s="3">
        <v>1318.1</v>
      </c>
      <c r="I494" s="3">
        <v>1320.81</v>
      </c>
      <c r="J494" s="3">
        <v>1611.8</v>
      </c>
      <c r="K494" s="3">
        <v>1253.2</v>
      </c>
      <c r="L494" s="4">
        <v>12694362</v>
      </c>
      <c r="M494" s="3">
        <v>16766828496.700001</v>
      </c>
      <c r="N494" s="4">
        <v>226862</v>
      </c>
      <c r="O494">
        <f t="shared" si="7"/>
        <v>3.4257003654080392E-3</v>
      </c>
    </row>
    <row r="495" spans="1:15" ht="14.25" customHeight="1" x14ac:dyDescent="0.3">
      <c r="A495" s="2">
        <v>46202</v>
      </c>
      <c r="B495" t="s">
        <v>15</v>
      </c>
      <c r="C495" s="3">
        <v>1308</v>
      </c>
      <c r="D495" s="3">
        <v>1313.7</v>
      </c>
      <c r="E495" s="3">
        <v>1292.5999999999999</v>
      </c>
      <c r="F495" s="3">
        <v>1318.1</v>
      </c>
      <c r="G495" s="3">
        <v>1302.3</v>
      </c>
      <c r="H495" s="3">
        <v>1301</v>
      </c>
      <c r="I495" s="3">
        <v>1302.94</v>
      </c>
      <c r="J495" s="3">
        <v>1611.8</v>
      </c>
      <c r="K495" s="3">
        <v>1253.2</v>
      </c>
      <c r="L495" s="4">
        <v>13757656</v>
      </c>
      <c r="M495" s="3">
        <v>17925371908.099998</v>
      </c>
      <c r="N495" s="4">
        <v>233886</v>
      </c>
      <c r="O495">
        <f t="shared" si="7"/>
        <v>-1.2973219027387838E-2</v>
      </c>
    </row>
    <row r="496" spans="1:15" ht="14.25" customHeight="1" x14ac:dyDescent="0.3">
      <c r="A496" s="2">
        <v>46203</v>
      </c>
      <c r="B496" t="s">
        <v>15</v>
      </c>
      <c r="C496" s="3">
        <v>1306.9000000000001</v>
      </c>
      <c r="D496" s="3">
        <v>1306.9000000000001</v>
      </c>
      <c r="E496" s="3">
        <v>1290</v>
      </c>
      <c r="F496" s="3">
        <v>1301</v>
      </c>
      <c r="G496" s="3">
        <v>1294.5</v>
      </c>
      <c r="H496" s="3">
        <v>1293.9000000000001</v>
      </c>
      <c r="I496" s="3">
        <v>1295.1400000000001</v>
      </c>
      <c r="J496" s="3">
        <v>1611.8</v>
      </c>
      <c r="K496" s="3">
        <v>1253.2</v>
      </c>
      <c r="L496" s="4">
        <v>15695263</v>
      </c>
      <c r="M496" s="3">
        <v>20327586926.900002</v>
      </c>
      <c r="N496" s="4">
        <v>213627</v>
      </c>
      <c r="O496">
        <f t="shared" si="7"/>
        <v>-5.4573405073020057E-3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96"/>
  <sheetViews>
    <sheetView zoomScaleNormal="100" workbookViewId="0">
      <selection sqref="A1:XFD1"/>
    </sheetView>
  </sheetViews>
  <sheetFormatPr defaultColWidth="8.6640625" defaultRowHeight="14.4" x14ac:dyDescent="0.3"/>
  <cols>
    <col min="1" max="1" width="9.88671875" customWidth="1"/>
    <col min="2" max="2" width="6.44140625" customWidth="1"/>
    <col min="3" max="5" width="8" customWidth="1"/>
    <col min="6" max="6" width="11.44140625" customWidth="1"/>
    <col min="7" max="11" width="8" customWidth="1"/>
    <col min="12" max="12" width="10.33203125" customWidth="1"/>
    <col min="13" max="13" width="16.44140625" customWidth="1"/>
    <col min="14" max="14" width="14.21875" customWidth="1"/>
    <col min="15" max="15" width="12.6640625" bestFit="1" customWidth="1"/>
  </cols>
  <sheetData>
    <row r="1" spans="1:15" s="10" customFormat="1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 ht="14.25" customHeight="1" x14ac:dyDescent="0.3">
      <c r="A2" s="2">
        <v>45474</v>
      </c>
      <c r="B2" t="s">
        <v>15</v>
      </c>
      <c r="C2" s="3">
        <v>6430</v>
      </c>
      <c r="D2" s="3">
        <v>6480</v>
      </c>
      <c r="E2" s="3">
        <v>6337.15</v>
      </c>
      <c r="F2" s="3">
        <v>6402.35</v>
      </c>
      <c r="G2" s="3">
        <v>6360</v>
      </c>
      <c r="H2" s="3">
        <v>6353.7</v>
      </c>
      <c r="I2" s="3">
        <v>6389.62</v>
      </c>
      <c r="J2" s="3">
        <v>6505.9</v>
      </c>
      <c r="K2" s="3">
        <v>5076.25</v>
      </c>
      <c r="L2" s="4">
        <v>450385</v>
      </c>
      <c r="M2" s="3">
        <v>2877787619.5</v>
      </c>
      <c r="N2" s="4">
        <v>64101</v>
      </c>
    </row>
    <row r="3" spans="1:15" ht="14.25" customHeight="1" x14ac:dyDescent="0.3">
      <c r="A3" s="2">
        <v>45475</v>
      </c>
      <c r="B3" t="s">
        <v>15</v>
      </c>
      <c r="C3" s="3">
        <v>6345</v>
      </c>
      <c r="D3" s="3">
        <v>6380.95</v>
      </c>
      <c r="E3" s="3">
        <v>6284.25</v>
      </c>
      <c r="F3" s="3">
        <v>6353.7</v>
      </c>
      <c r="G3" s="3">
        <v>6364.85</v>
      </c>
      <c r="H3" s="3">
        <v>6370.25</v>
      </c>
      <c r="I3" s="3">
        <v>6340.54</v>
      </c>
      <c r="J3" s="3">
        <v>6505.9</v>
      </c>
      <c r="K3" s="3">
        <v>5076.25</v>
      </c>
      <c r="L3" s="4">
        <v>363815</v>
      </c>
      <c r="M3" s="3">
        <v>2306783339.9499998</v>
      </c>
      <c r="N3" s="4">
        <v>49459</v>
      </c>
      <c r="O3">
        <f t="shared" ref="O3:O66" si="0">(H3-H2)/H2</f>
        <v>2.6047814659175255E-3</v>
      </c>
    </row>
    <row r="4" spans="1:15" ht="14.25" customHeight="1" x14ac:dyDescent="0.3">
      <c r="A4" s="2">
        <v>45476</v>
      </c>
      <c r="B4" t="s">
        <v>15</v>
      </c>
      <c r="C4" s="3">
        <v>6374</v>
      </c>
      <c r="D4" s="3">
        <v>6525.8</v>
      </c>
      <c r="E4" s="3">
        <v>6365.15</v>
      </c>
      <c r="F4" s="3">
        <v>6370.25</v>
      </c>
      <c r="G4" s="3">
        <v>6416.55</v>
      </c>
      <c r="H4" s="3">
        <v>6425.9</v>
      </c>
      <c r="I4" s="3">
        <v>6462.92</v>
      </c>
      <c r="J4" s="3">
        <v>6525.8</v>
      </c>
      <c r="K4" s="3">
        <v>5076.25</v>
      </c>
      <c r="L4" s="4">
        <v>582640</v>
      </c>
      <c r="M4" s="3">
        <v>3765556555</v>
      </c>
      <c r="N4" s="4">
        <v>59122</v>
      </c>
      <c r="O4">
        <f t="shared" si="0"/>
        <v>8.735920882225915E-3</v>
      </c>
    </row>
    <row r="5" spans="1:15" ht="14.25" customHeight="1" x14ac:dyDescent="0.3">
      <c r="A5" s="2">
        <v>45477</v>
      </c>
      <c r="B5" t="s">
        <v>15</v>
      </c>
      <c r="C5" s="3">
        <v>6430</v>
      </c>
      <c r="D5" s="3">
        <v>6542</v>
      </c>
      <c r="E5" s="3">
        <v>6370.1</v>
      </c>
      <c r="F5" s="3">
        <v>6425.9</v>
      </c>
      <c r="G5" s="3">
        <v>6471.1</v>
      </c>
      <c r="H5" s="3">
        <v>6479.35</v>
      </c>
      <c r="I5" s="3">
        <v>6458.8</v>
      </c>
      <c r="J5" s="3">
        <v>6542</v>
      </c>
      <c r="K5" s="3">
        <v>5076.25</v>
      </c>
      <c r="L5" s="4">
        <v>348849</v>
      </c>
      <c r="M5" s="3">
        <v>2253145054.6500001</v>
      </c>
      <c r="N5" s="4">
        <v>44871</v>
      </c>
      <c r="O5">
        <f t="shared" si="0"/>
        <v>8.3179009944133481E-3</v>
      </c>
    </row>
    <row r="6" spans="1:15" ht="14.25" customHeight="1" x14ac:dyDescent="0.3">
      <c r="A6" s="2">
        <v>45478</v>
      </c>
      <c r="B6" t="s">
        <v>15</v>
      </c>
      <c r="C6" s="3">
        <v>6479.35</v>
      </c>
      <c r="D6" s="3">
        <v>6547.15</v>
      </c>
      <c r="E6" s="3">
        <v>6456.05</v>
      </c>
      <c r="F6" s="3">
        <v>6479.35</v>
      </c>
      <c r="G6" s="3">
        <v>6506.55</v>
      </c>
      <c r="H6" s="3">
        <v>6520</v>
      </c>
      <c r="I6" s="3">
        <v>6509.4</v>
      </c>
      <c r="J6" s="3">
        <v>6547.15</v>
      </c>
      <c r="K6" s="3">
        <v>5076.25</v>
      </c>
      <c r="L6" s="4">
        <v>227835</v>
      </c>
      <c r="M6" s="3">
        <v>1483068449.3</v>
      </c>
      <c r="N6" s="4">
        <v>30599</v>
      </c>
      <c r="O6">
        <f t="shared" si="0"/>
        <v>6.2737774622453847E-3</v>
      </c>
    </row>
    <row r="7" spans="1:15" ht="14.25" customHeight="1" x14ac:dyDescent="0.3">
      <c r="A7" s="2">
        <v>45481</v>
      </c>
      <c r="B7" t="s">
        <v>15</v>
      </c>
      <c r="C7" s="3">
        <v>6520</v>
      </c>
      <c r="D7" s="3">
        <v>6575</v>
      </c>
      <c r="E7" s="3">
        <v>6486</v>
      </c>
      <c r="F7" s="3">
        <v>6520</v>
      </c>
      <c r="G7" s="3">
        <v>6550</v>
      </c>
      <c r="H7" s="3">
        <v>6534.15</v>
      </c>
      <c r="I7" s="3">
        <v>6533.2</v>
      </c>
      <c r="J7" s="3">
        <v>6575</v>
      </c>
      <c r="K7" s="3">
        <v>5076.25</v>
      </c>
      <c r="L7" s="4">
        <v>161476</v>
      </c>
      <c r="M7" s="3">
        <v>1054954887.1</v>
      </c>
      <c r="N7" s="4">
        <v>24915</v>
      </c>
      <c r="O7">
        <f t="shared" si="0"/>
        <v>2.1702453987729503E-3</v>
      </c>
    </row>
    <row r="8" spans="1:15" ht="14.25" customHeight="1" x14ac:dyDescent="0.3">
      <c r="A8" s="2">
        <v>45482</v>
      </c>
      <c r="B8" t="s">
        <v>15</v>
      </c>
      <c r="C8" s="3">
        <v>6540</v>
      </c>
      <c r="D8" s="3">
        <v>6595</v>
      </c>
      <c r="E8" s="3">
        <v>6430.95</v>
      </c>
      <c r="F8" s="3">
        <v>6534.15</v>
      </c>
      <c r="G8" s="3">
        <v>6591</v>
      </c>
      <c r="H8" s="3">
        <v>6582.85</v>
      </c>
      <c r="I8" s="3">
        <v>6527.66</v>
      </c>
      <c r="J8" s="3">
        <v>6595</v>
      </c>
      <c r="K8" s="3">
        <v>5076.25</v>
      </c>
      <c r="L8" s="4">
        <v>346928</v>
      </c>
      <c r="M8" s="3">
        <v>2264629307.5999999</v>
      </c>
      <c r="N8" s="4">
        <v>51152</v>
      </c>
      <c r="O8">
        <f t="shared" si="0"/>
        <v>7.4531499889045599E-3</v>
      </c>
    </row>
    <row r="9" spans="1:15" ht="14.25" customHeight="1" x14ac:dyDescent="0.3">
      <c r="A9" s="2">
        <v>45483</v>
      </c>
      <c r="B9" t="s">
        <v>15</v>
      </c>
      <c r="C9" s="3">
        <v>6574.5</v>
      </c>
      <c r="D9" s="3">
        <v>6604.45</v>
      </c>
      <c r="E9" s="3">
        <v>6483</v>
      </c>
      <c r="F9" s="3">
        <v>6582.85</v>
      </c>
      <c r="G9" s="3">
        <v>6586.95</v>
      </c>
      <c r="H9" s="3">
        <v>6592.55</v>
      </c>
      <c r="I9" s="3">
        <v>6557.28</v>
      </c>
      <c r="J9" s="3">
        <v>6604.45</v>
      </c>
      <c r="K9" s="3">
        <v>5076.25</v>
      </c>
      <c r="L9" s="4">
        <v>257510</v>
      </c>
      <c r="M9" s="3">
        <v>1688564092.4000001</v>
      </c>
      <c r="N9" s="4">
        <v>37049</v>
      </c>
      <c r="O9">
        <f t="shared" si="0"/>
        <v>1.4735259044334624E-3</v>
      </c>
    </row>
    <row r="10" spans="1:15" ht="14.25" customHeight="1" x14ac:dyDescent="0.3">
      <c r="A10" s="2">
        <v>45484</v>
      </c>
      <c r="B10" t="s">
        <v>15</v>
      </c>
      <c r="C10" s="3">
        <v>6593.15</v>
      </c>
      <c r="D10" s="3">
        <v>6621.95</v>
      </c>
      <c r="E10" s="3">
        <v>6534.85</v>
      </c>
      <c r="F10" s="3">
        <v>6592.55</v>
      </c>
      <c r="G10" s="3">
        <v>6597.15</v>
      </c>
      <c r="H10" s="3">
        <v>6594.75</v>
      </c>
      <c r="I10" s="3">
        <v>6588.4</v>
      </c>
      <c r="J10" s="3">
        <v>6621.95</v>
      </c>
      <c r="K10" s="3">
        <v>5076.25</v>
      </c>
      <c r="L10" s="4">
        <v>316268</v>
      </c>
      <c r="M10" s="3">
        <v>2083701297.9000001</v>
      </c>
      <c r="N10" s="4">
        <v>69920</v>
      </c>
      <c r="O10">
        <f t="shared" si="0"/>
        <v>3.3371002116022144E-4</v>
      </c>
    </row>
    <row r="11" spans="1:15" ht="14.25" customHeight="1" x14ac:dyDescent="0.3">
      <c r="A11" s="2">
        <v>45485</v>
      </c>
      <c r="B11" t="s">
        <v>15</v>
      </c>
      <c r="C11" s="3">
        <v>6590.25</v>
      </c>
      <c r="D11" s="3">
        <v>6745</v>
      </c>
      <c r="E11" s="3">
        <v>6564.7</v>
      </c>
      <c r="F11" s="3">
        <v>6594.75</v>
      </c>
      <c r="G11" s="3">
        <v>6729</v>
      </c>
      <c r="H11" s="3">
        <v>6719.45</v>
      </c>
      <c r="I11" s="3">
        <v>6674.98</v>
      </c>
      <c r="J11" s="3">
        <v>6745</v>
      </c>
      <c r="K11" s="3">
        <v>5076.25</v>
      </c>
      <c r="L11" s="4">
        <v>588880</v>
      </c>
      <c r="M11" s="3">
        <v>3930761526.6999998</v>
      </c>
      <c r="N11" s="4">
        <v>46918</v>
      </c>
      <c r="O11">
        <f t="shared" si="0"/>
        <v>1.8908980628530244E-2</v>
      </c>
    </row>
    <row r="12" spans="1:15" ht="14.25" customHeight="1" x14ac:dyDescent="0.3">
      <c r="A12" s="2">
        <v>45488</v>
      </c>
      <c r="B12" t="s">
        <v>15</v>
      </c>
      <c r="C12" s="3">
        <v>6750</v>
      </c>
      <c r="D12" s="3">
        <v>6884.95</v>
      </c>
      <c r="E12" s="3">
        <v>6702.55</v>
      </c>
      <c r="F12" s="3">
        <v>6719.45</v>
      </c>
      <c r="G12" s="3">
        <v>6775</v>
      </c>
      <c r="H12" s="3">
        <v>6794.75</v>
      </c>
      <c r="I12" s="3">
        <v>6803.98</v>
      </c>
      <c r="J12" s="3">
        <v>6884.95</v>
      </c>
      <c r="K12" s="3">
        <v>5093</v>
      </c>
      <c r="L12" s="4">
        <v>604795</v>
      </c>
      <c r="M12" s="3">
        <v>4115010347.9499998</v>
      </c>
      <c r="N12" s="4">
        <v>65074</v>
      </c>
      <c r="O12">
        <f t="shared" si="0"/>
        <v>1.1206274323047301E-2</v>
      </c>
    </row>
    <row r="13" spans="1:15" ht="14.25" customHeight="1" x14ac:dyDescent="0.3">
      <c r="A13" s="2">
        <v>45489</v>
      </c>
      <c r="B13" t="s">
        <v>15</v>
      </c>
      <c r="C13" s="3">
        <v>6759.95</v>
      </c>
      <c r="D13" s="3">
        <v>6782.95</v>
      </c>
      <c r="E13" s="3">
        <v>6636.65</v>
      </c>
      <c r="F13" s="3">
        <v>6794.75</v>
      </c>
      <c r="G13" s="3">
        <v>6650</v>
      </c>
      <c r="H13" s="3">
        <v>6646.05</v>
      </c>
      <c r="I13" s="3">
        <v>6689.2</v>
      </c>
      <c r="J13" s="3">
        <v>6884.95</v>
      </c>
      <c r="K13" s="3">
        <v>5093</v>
      </c>
      <c r="L13" s="4">
        <v>311284</v>
      </c>
      <c r="M13" s="3">
        <v>2082241560.4000001</v>
      </c>
      <c r="N13" s="4">
        <v>34439</v>
      </c>
      <c r="O13">
        <f t="shared" si="0"/>
        <v>-2.1884543213510403E-2</v>
      </c>
    </row>
    <row r="14" spans="1:15" ht="14.25" customHeight="1" x14ac:dyDescent="0.3">
      <c r="A14" s="2">
        <v>45491</v>
      </c>
      <c r="B14" t="s">
        <v>15</v>
      </c>
      <c r="C14" s="3">
        <v>6646</v>
      </c>
      <c r="D14" s="3">
        <v>6708.85</v>
      </c>
      <c r="E14" s="3">
        <v>6590.4</v>
      </c>
      <c r="F14" s="3">
        <v>6646.05</v>
      </c>
      <c r="G14" s="3">
        <v>6655.15</v>
      </c>
      <c r="H14" s="3">
        <v>6667.5</v>
      </c>
      <c r="I14" s="3">
        <v>6649.4</v>
      </c>
      <c r="J14" s="3">
        <v>6884.95</v>
      </c>
      <c r="K14" s="3">
        <v>5093</v>
      </c>
      <c r="L14" s="4">
        <v>385707</v>
      </c>
      <c r="M14" s="3">
        <v>2564721443.4000001</v>
      </c>
      <c r="N14" s="4">
        <v>57358</v>
      </c>
      <c r="O14">
        <f t="shared" si="0"/>
        <v>3.2274809849459178E-3</v>
      </c>
    </row>
    <row r="15" spans="1:15" ht="14.25" customHeight="1" x14ac:dyDescent="0.3">
      <c r="A15" s="2">
        <v>45492</v>
      </c>
      <c r="B15" t="s">
        <v>15</v>
      </c>
      <c r="C15" s="3">
        <v>6660</v>
      </c>
      <c r="D15" s="3">
        <v>6718.4</v>
      </c>
      <c r="E15" s="3">
        <v>6626.3</v>
      </c>
      <c r="F15" s="3">
        <v>6667.5</v>
      </c>
      <c r="G15" s="3">
        <v>6648.85</v>
      </c>
      <c r="H15" s="3">
        <v>6636</v>
      </c>
      <c r="I15" s="3">
        <v>6664.04</v>
      </c>
      <c r="J15" s="3">
        <v>6884.95</v>
      </c>
      <c r="K15" s="3">
        <v>5093</v>
      </c>
      <c r="L15" s="4">
        <v>180068</v>
      </c>
      <c r="M15" s="3">
        <v>1199980867.7</v>
      </c>
      <c r="N15" s="4">
        <v>27888</v>
      </c>
      <c r="O15">
        <f t="shared" si="0"/>
        <v>-4.7244094488188976E-3</v>
      </c>
    </row>
    <row r="16" spans="1:15" ht="14.25" customHeight="1" x14ac:dyDescent="0.3">
      <c r="A16" s="2">
        <v>45495</v>
      </c>
      <c r="B16" t="s">
        <v>15</v>
      </c>
      <c r="C16" s="3">
        <v>6580</v>
      </c>
      <c r="D16" s="3">
        <v>6780</v>
      </c>
      <c r="E16" s="3">
        <v>6580</v>
      </c>
      <c r="F16" s="3">
        <v>6636</v>
      </c>
      <c r="G16" s="3">
        <v>6750.1</v>
      </c>
      <c r="H16" s="3">
        <v>6770.9</v>
      </c>
      <c r="I16" s="3">
        <v>6740.39</v>
      </c>
      <c r="J16" s="3">
        <v>6884.95</v>
      </c>
      <c r="K16" s="3">
        <v>5205.55</v>
      </c>
      <c r="L16" s="4">
        <v>412291</v>
      </c>
      <c r="M16" s="3">
        <v>2779001908.25</v>
      </c>
      <c r="N16" s="4">
        <v>43985</v>
      </c>
      <c r="O16">
        <f t="shared" si="0"/>
        <v>2.0328511151295907E-2</v>
      </c>
    </row>
    <row r="17" spans="1:15" ht="14.25" customHeight="1" x14ac:dyDescent="0.3">
      <c r="A17" s="2">
        <v>45496</v>
      </c>
      <c r="B17" t="s">
        <v>15</v>
      </c>
      <c r="C17" s="3">
        <v>6770</v>
      </c>
      <c r="D17" s="3">
        <v>6884</v>
      </c>
      <c r="E17" s="3">
        <v>6717</v>
      </c>
      <c r="F17" s="3">
        <v>6770.9</v>
      </c>
      <c r="G17" s="3">
        <v>6868</v>
      </c>
      <c r="H17" s="3">
        <v>6865</v>
      </c>
      <c r="I17" s="3">
        <v>6790.54</v>
      </c>
      <c r="J17" s="3">
        <v>6884.95</v>
      </c>
      <c r="K17" s="3">
        <v>5205.55</v>
      </c>
      <c r="L17" s="4">
        <v>866091</v>
      </c>
      <c r="M17" s="3">
        <v>5881223729</v>
      </c>
      <c r="N17" s="4">
        <v>54959</v>
      </c>
      <c r="O17">
        <f t="shared" si="0"/>
        <v>1.3897709314862184E-2</v>
      </c>
    </row>
    <row r="18" spans="1:15" ht="14.25" customHeight="1" x14ac:dyDescent="0.3">
      <c r="A18" s="2">
        <v>45497</v>
      </c>
      <c r="B18" t="s">
        <v>15</v>
      </c>
      <c r="C18" s="3">
        <v>6938.9</v>
      </c>
      <c r="D18" s="3">
        <v>6938.9</v>
      </c>
      <c r="E18" s="3">
        <v>6793.25</v>
      </c>
      <c r="F18" s="3">
        <v>6865</v>
      </c>
      <c r="G18" s="3">
        <v>6811</v>
      </c>
      <c r="H18" s="3">
        <v>6820.15</v>
      </c>
      <c r="I18" s="3">
        <v>6843.05</v>
      </c>
      <c r="J18" s="3">
        <v>6938.9</v>
      </c>
      <c r="K18" s="3">
        <v>5205.55</v>
      </c>
      <c r="L18" s="4">
        <v>603877</v>
      </c>
      <c r="M18" s="3">
        <v>4132357761.4499998</v>
      </c>
      <c r="N18" s="4">
        <v>55360</v>
      </c>
      <c r="O18">
        <f t="shared" si="0"/>
        <v>-6.5331391114348668E-3</v>
      </c>
    </row>
    <row r="19" spans="1:15" ht="14.25" customHeight="1" x14ac:dyDescent="0.3">
      <c r="A19" s="2">
        <v>45498</v>
      </c>
      <c r="B19" t="s">
        <v>15</v>
      </c>
      <c r="C19" s="3">
        <v>6795</v>
      </c>
      <c r="D19" s="3">
        <v>6874.95</v>
      </c>
      <c r="E19" s="3">
        <v>6757.05</v>
      </c>
      <c r="F19" s="3">
        <v>6820.15</v>
      </c>
      <c r="G19" s="3">
        <v>6858</v>
      </c>
      <c r="H19" s="3">
        <v>6853.2</v>
      </c>
      <c r="I19" s="3">
        <v>6823.02</v>
      </c>
      <c r="J19" s="3">
        <v>6938.9</v>
      </c>
      <c r="K19" s="3">
        <v>5205.55</v>
      </c>
      <c r="L19" s="4">
        <v>263105</v>
      </c>
      <c r="M19" s="3">
        <v>1795170443.6500001</v>
      </c>
      <c r="N19" s="4">
        <v>35291</v>
      </c>
      <c r="O19">
        <f t="shared" si="0"/>
        <v>4.8459344735819867E-3</v>
      </c>
    </row>
    <row r="20" spans="1:15" ht="14.25" customHeight="1" x14ac:dyDescent="0.3">
      <c r="A20" s="2">
        <v>45499</v>
      </c>
      <c r="B20" t="s">
        <v>15</v>
      </c>
      <c r="C20" s="3">
        <v>6888.95</v>
      </c>
      <c r="D20" s="3">
        <v>6966</v>
      </c>
      <c r="E20" s="3">
        <v>6791.6</v>
      </c>
      <c r="F20" s="3">
        <v>6853.2</v>
      </c>
      <c r="G20" s="3">
        <v>6960</v>
      </c>
      <c r="H20" s="3">
        <v>6878.65</v>
      </c>
      <c r="I20" s="3">
        <v>6849.52</v>
      </c>
      <c r="J20" s="3">
        <v>6966</v>
      </c>
      <c r="K20" s="3">
        <v>5205.55</v>
      </c>
      <c r="L20" s="4">
        <v>410391</v>
      </c>
      <c r="M20" s="3">
        <v>2810983355.8000002</v>
      </c>
      <c r="N20" s="4">
        <v>46021</v>
      </c>
      <c r="O20">
        <f t="shared" si="0"/>
        <v>3.7135936496818741E-3</v>
      </c>
    </row>
    <row r="21" spans="1:15" ht="14.25" customHeight="1" x14ac:dyDescent="0.3">
      <c r="A21" s="2">
        <v>45502</v>
      </c>
      <c r="B21" t="s">
        <v>15</v>
      </c>
      <c r="C21" s="3">
        <v>6920</v>
      </c>
      <c r="D21" s="3">
        <v>6948.1</v>
      </c>
      <c r="E21" s="3">
        <v>6735</v>
      </c>
      <c r="F21" s="3">
        <v>6878.65</v>
      </c>
      <c r="G21" s="3">
        <v>6835</v>
      </c>
      <c r="H21" s="3">
        <v>6840.05</v>
      </c>
      <c r="I21" s="3">
        <v>6828.36</v>
      </c>
      <c r="J21" s="3">
        <v>6966</v>
      </c>
      <c r="K21" s="3">
        <v>5205.55</v>
      </c>
      <c r="L21" s="4">
        <v>654389</v>
      </c>
      <c r="M21" s="3">
        <v>4468404049.5</v>
      </c>
      <c r="N21" s="4">
        <v>70423</v>
      </c>
      <c r="O21">
        <f t="shared" si="0"/>
        <v>-5.6115662230233343E-3</v>
      </c>
    </row>
    <row r="22" spans="1:15" ht="14.25" customHeight="1" x14ac:dyDescent="0.3">
      <c r="A22" s="2">
        <v>45503</v>
      </c>
      <c r="B22" t="s">
        <v>15</v>
      </c>
      <c r="C22" s="3">
        <v>6845.05</v>
      </c>
      <c r="D22" s="3">
        <v>6891</v>
      </c>
      <c r="E22" s="3">
        <v>6792.9</v>
      </c>
      <c r="F22" s="3">
        <v>6840.05</v>
      </c>
      <c r="G22" s="3">
        <v>6798</v>
      </c>
      <c r="H22" s="3">
        <v>6804.15</v>
      </c>
      <c r="I22" s="3">
        <v>6822.26</v>
      </c>
      <c r="J22" s="3">
        <v>6966</v>
      </c>
      <c r="K22" s="3">
        <v>5205.55</v>
      </c>
      <c r="L22" s="4">
        <v>291695</v>
      </c>
      <c r="M22" s="3">
        <v>1990019883.8499999</v>
      </c>
      <c r="N22" s="4">
        <v>32395</v>
      </c>
      <c r="O22">
        <f t="shared" si="0"/>
        <v>-5.2484996454705071E-3</v>
      </c>
    </row>
    <row r="23" spans="1:15" ht="14.25" customHeight="1" x14ac:dyDescent="0.3">
      <c r="A23" s="2">
        <v>45504</v>
      </c>
      <c r="B23" t="s">
        <v>15</v>
      </c>
      <c r="C23" s="3">
        <v>6803.9</v>
      </c>
      <c r="D23" s="3">
        <v>6829.5</v>
      </c>
      <c r="E23" s="3">
        <v>6735</v>
      </c>
      <c r="F23" s="3">
        <v>6804.15</v>
      </c>
      <c r="G23" s="3">
        <v>6755.9</v>
      </c>
      <c r="H23" s="3">
        <v>6750.5</v>
      </c>
      <c r="I23" s="3">
        <v>6771.85</v>
      </c>
      <c r="J23" s="3">
        <v>6966</v>
      </c>
      <c r="K23" s="3">
        <v>5205.55</v>
      </c>
      <c r="L23" s="4">
        <v>346174</v>
      </c>
      <c r="M23" s="3">
        <v>2344237485.5</v>
      </c>
      <c r="N23" s="4">
        <v>34204</v>
      </c>
      <c r="O23">
        <f t="shared" si="0"/>
        <v>-7.8848937780618654E-3</v>
      </c>
    </row>
    <row r="24" spans="1:15" ht="14.25" customHeight="1" x14ac:dyDescent="0.3">
      <c r="A24" s="2">
        <v>45505</v>
      </c>
      <c r="B24" t="s">
        <v>15</v>
      </c>
      <c r="C24" s="3">
        <v>6795.5</v>
      </c>
      <c r="D24" s="3">
        <v>6900.5</v>
      </c>
      <c r="E24" s="3">
        <v>6786.65</v>
      </c>
      <c r="F24" s="3">
        <v>6750.5</v>
      </c>
      <c r="G24" s="3">
        <v>6882.85</v>
      </c>
      <c r="H24" s="3">
        <v>6887.95</v>
      </c>
      <c r="I24" s="3">
        <v>6864.18</v>
      </c>
      <c r="J24" s="3">
        <v>6966</v>
      </c>
      <c r="K24" s="3">
        <v>5205.55</v>
      </c>
      <c r="L24" s="4">
        <v>464096</v>
      </c>
      <c r="M24" s="3">
        <v>3185639408.1500001</v>
      </c>
      <c r="N24" s="4">
        <v>57381</v>
      </c>
      <c r="O24">
        <f t="shared" si="0"/>
        <v>2.0361454707058708E-2</v>
      </c>
    </row>
    <row r="25" spans="1:15" ht="14.25" customHeight="1" x14ac:dyDescent="0.3">
      <c r="A25" s="2">
        <v>45506</v>
      </c>
      <c r="B25" t="s">
        <v>15</v>
      </c>
      <c r="C25" s="3">
        <v>6881</v>
      </c>
      <c r="D25" s="3">
        <v>6981</v>
      </c>
      <c r="E25" s="3">
        <v>6874.45</v>
      </c>
      <c r="F25" s="3">
        <v>6887.95</v>
      </c>
      <c r="G25" s="3">
        <v>6945.7</v>
      </c>
      <c r="H25" s="3">
        <v>6964.15</v>
      </c>
      <c r="I25" s="3">
        <v>6942.85</v>
      </c>
      <c r="J25" s="3">
        <v>6981</v>
      </c>
      <c r="K25" s="3">
        <v>5205.55</v>
      </c>
      <c r="L25" s="4">
        <v>441989</v>
      </c>
      <c r="M25" s="3">
        <v>3068664488.3000002</v>
      </c>
      <c r="N25" s="4">
        <v>44351</v>
      </c>
      <c r="O25">
        <f t="shared" si="0"/>
        <v>1.1062798074898891E-2</v>
      </c>
    </row>
    <row r="26" spans="1:15" ht="14.25" customHeight="1" x14ac:dyDescent="0.3">
      <c r="A26" s="2">
        <v>45509</v>
      </c>
      <c r="B26" t="s">
        <v>15</v>
      </c>
      <c r="C26" s="3">
        <v>6930.1</v>
      </c>
      <c r="D26" s="3">
        <v>6961</v>
      </c>
      <c r="E26" s="3">
        <v>6794</v>
      </c>
      <c r="F26" s="3">
        <v>6964.15</v>
      </c>
      <c r="G26" s="3">
        <v>6819.9</v>
      </c>
      <c r="H26" s="3">
        <v>6812.05</v>
      </c>
      <c r="I26" s="3">
        <v>6880.03</v>
      </c>
      <c r="J26" s="3">
        <v>6981</v>
      </c>
      <c r="K26" s="3">
        <v>5205.55</v>
      </c>
      <c r="L26" s="4">
        <v>437389</v>
      </c>
      <c r="M26" s="3">
        <v>3009248898.8499999</v>
      </c>
      <c r="N26" s="4">
        <v>58555</v>
      </c>
      <c r="O26">
        <f t="shared" si="0"/>
        <v>-2.1840425608293829E-2</v>
      </c>
    </row>
    <row r="27" spans="1:15" ht="14.25" customHeight="1" x14ac:dyDescent="0.3">
      <c r="A27" s="2">
        <v>45510</v>
      </c>
      <c r="B27" t="s">
        <v>15</v>
      </c>
      <c r="C27" s="3">
        <v>6838.9</v>
      </c>
      <c r="D27" s="3">
        <v>6915.3</v>
      </c>
      <c r="E27" s="3">
        <v>6795.3</v>
      </c>
      <c r="F27" s="3">
        <v>6812.05</v>
      </c>
      <c r="G27" s="3">
        <v>6800.1</v>
      </c>
      <c r="H27" s="3">
        <v>6807.4</v>
      </c>
      <c r="I27" s="3">
        <v>6852.55</v>
      </c>
      <c r="J27" s="3">
        <v>6981</v>
      </c>
      <c r="K27" s="3">
        <v>5205.55</v>
      </c>
      <c r="L27" s="4">
        <v>245427</v>
      </c>
      <c r="M27" s="3">
        <v>1681800792.5</v>
      </c>
      <c r="N27" s="4">
        <v>48507</v>
      </c>
      <c r="O27">
        <f t="shared" si="0"/>
        <v>-6.8261389743183706E-4</v>
      </c>
    </row>
    <row r="28" spans="1:15" ht="14.25" customHeight="1" x14ac:dyDescent="0.3">
      <c r="A28" s="2">
        <v>45511</v>
      </c>
      <c r="B28" t="s">
        <v>15</v>
      </c>
      <c r="C28" s="3">
        <v>6880</v>
      </c>
      <c r="D28" s="3">
        <v>6935</v>
      </c>
      <c r="E28" s="3">
        <v>6840</v>
      </c>
      <c r="F28" s="3">
        <v>6807.4</v>
      </c>
      <c r="G28" s="3">
        <v>6927</v>
      </c>
      <c r="H28" s="3">
        <v>6926.35</v>
      </c>
      <c r="I28" s="3">
        <v>6910.93</v>
      </c>
      <c r="J28" s="3">
        <v>6981</v>
      </c>
      <c r="K28" s="3">
        <v>5205.55</v>
      </c>
      <c r="L28" s="4">
        <v>193773</v>
      </c>
      <c r="M28" s="3">
        <v>1339151017.4000001</v>
      </c>
      <c r="N28" s="4">
        <v>32295</v>
      </c>
      <c r="O28">
        <f t="shared" si="0"/>
        <v>1.7473631636160756E-2</v>
      </c>
    </row>
    <row r="29" spans="1:15" ht="14.25" customHeight="1" x14ac:dyDescent="0.3">
      <c r="A29" s="2">
        <v>45512</v>
      </c>
      <c r="B29" t="s">
        <v>15</v>
      </c>
      <c r="C29" s="3">
        <v>6925</v>
      </c>
      <c r="D29" s="3">
        <v>7035</v>
      </c>
      <c r="E29" s="3">
        <v>6914.45</v>
      </c>
      <c r="F29" s="3">
        <v>6926.35</v>
      </c>
      <c r="G29" s="3">
        <v>6935</v>
      </c>
      <c r="H29" s="3">
        <v>6938.3</v>
      </c>
      <c r="I29" s="3">
        <v>6975.19</v>
      </c>
      <c r="J29" s="3">
        <v>7035</v>
      </c>
      <c r="K29" s="3">
        <v>5205.55</v>
      </c>
      <c r="L29" s="4">
        <v>541168</v>
      </c>
      <c r="M29" s="3">
        <v>3774748294.6999998</v>
      </c>
      <c r="N29" s="4">
        <v>64838</v>
      </c>
      <c r="O29">
        <f t="shared" si="0"/>
        <v>1.7252954297717871E-3</v>
      </c>
    </row>
    <row r="30" spans="1:15" ht="14.25" customHeight="1" x14ac:dyDescent="0.3">
      <c r="A30" s="2">
        <v>45513</v>
      </c>
      <c r="B30" t="s">
        <v>15</v>
      </c>
      <c r="C30" s="3">
        <v>6980</v>
      </c>
      <c r="D30" s="3">
        <v>7025</v>
      </c>
      <c r="E30" s="3">
        <v>6963.35</v>
      </c>
      <c r="F30" s="3">
        <v>6938.3</v>
      </c>
      <c r="G30" s="3">
        <v>7021</v>
      </c>
      <c r="H30" s="3">
        <v>7013.5</v>
      </c>
      <c r="I30" s="3">
        <v>7002.29</v>
      </c>
      <c r="J30" s="3">
        <v>7035</v>
      </c>
      <c r="K30" s="3">
        <v>5205.55</v>
      </c>
      <c r="L30" s="4">
        <v>131251</v>
      </c>
      <c r="M30" s="3">
        <v>919056991.54999995</v>
      </c>
      <c r="N30" s="4">
        <v>19028</v>
      </c>
      <c r="O30">
        <f t="shared" si="0"/>
        <v>1.0838389807301474E-2</v>
      </c>
    </row>
    <row r="31" spans="1:15" ht="14.25" customHeight="1" x14ac:dyDescent="0.3">
      <c r="A31" s="2">
        <v>45516</v>
      </c>
      <c r="B31" t="s">
        <v>15</v>
      </c>
      <c r="C31" s="3">
        <v>7013.95</v>
      </c>
      <c r="D31" s="3">
        <v>7030</v>
      </c>
      <c r="E31" s="3">
        <v>6873.3</v>
      </c>
      <c r="F31" s="3">
        <v>7013.5</v>
      </c>
      <c r="G31" s="3">
        <v>6890</v>
      </c>
      <c r="H31" s="3">
        <v>6886.55</v>
      </c>
      <c r="I31" s="3">
        <v>6917.78</v>
      </c>
      <c r="J31" s="3">
        <v>7035</v>
      </c>
      <c r="K31" s="3">
        <v>5205.55</v>
      </c>
      <c r="L31" s="4">
        <v>370655</v>
      </c>
      <c r="M31" s="3">
        <v>2564108258.4000001</v>
      </c>
      <c r="N31" s="4">
        <v>40774</v>
      </c>
      <c r="O31">
        <f t="shared" si="0"/>
        <v>-1.8100805589220764E-2</v>
      </c>
    </row>
    <row r="32" spans="1:15" ht="14.25" customHeight="1" x14ac:dyDescent="0.3">
      <c r="A32" s="2">
        <v>45517</v>
      </c>
      <c r="B32" t="s">
        <v>15</v>
      </c>
      <c r="C32" s="3">
        <v>6902</v>
      </c>
      <c r="D32" s="3">
        <v>6962.25</v>
      </c>
      <c r="E32" s="3">
        <v>6851.25</v>
      </c>
      <c r="F32" s="3">
        <v>6886.55</v>
      </c>
      <c r="G32" s="3">
        <v>6940.05</v>
      </c>
      <c r="H32" s="3">
        <v>6948.4</v>
      </c>
      <c r="I32" s="3">
        <v>6930.38</v>
      </c>
      <c r="J32" s="3">
        <v>7035</v>
      </c>
      <c r="K32" s="3">
        <v>5205.55</v>
      </c>
      <c r="L32" s="4">
        <v>243465</v>
      </c>
      <c r="M32" s="3">
        <v>1687304900.5</v>
      </c>
      <c r="N32" s="4">
        <v>36556</v>
      </c>
      <c r="O32">
        <f t="shared" si="0"/>
        <v>8.9812750942052915E-3</v>
      </c>
    </row>
    <row r="33" spans="1:15" ht="14.25" customHeight="1" x14ac:dyDescent="0.3">
      <c r="A33" s="2">
        <v>45518</v>
      </c>
      <c r="B33" t="s">
        <v>15</v>
      </c>
      <c r="C33" s="3">
        <v>6955</v>
      </c>
      <c r="D33" s="3">
        <v>6962</v>
      </c>
      <c r="E33" s="3">
        <v>6792.5</v>
      </c>
      <c r="F33" s="3">
        <v>6948.4</v>
      </c>
      <c r="G33" s="3">
        <v>6800</v>
      </c>
      <c r="H33" s="3">
        <v>6801.05</v>
      </c>
      <c r="I33" s="3">
        <v>6836.55</v>
      </c>
      <c r="J33" s="3">
        <v>7035</v>
      </c>
      <c r="K33" s="3">
        <v>5205.55</v>
      </c>
      <c r="L33" s="4">
        <v>345593</v>
      </c>
      <c r="M33" s="3">
        <v>2362663978.6500001</v>
      </c>
      <c r="N33" s="4">
        <v>44213</v>
      </c>
      <c r="O33">
        <f t="shared" si="0"/>
        <v>-2.1206320879626886E-2</v>
      </c>
    </row>
    <row r="34" spans="1:15" ht="14.25" customHeight="1" x14ac:dyDescent="0.3">
      <c r="A34" s="2">
        <v>45520</v>
      </c>
      <c r="B34" t="s">
        <v>15</v>
      </c>
      <c r="C34" s="3">
        <v>6831.05</v>
      </c>
      <c r="D34" s="3">
        <v>6848.95</v>
      </c>
      <c r="E34" s="3">
        <v>6758.15</v>
      </c>
      <c r="F34" s="3">
        <v>6801.05</v>
      </c>
      <c r="G34" s="3">
        <v>6800</v>
      </c>
      <c r="H34" s="3">
        <v>6793.6</v>
      </c>
      <c r="I34" s="3">
        <v>6796.02</v>
      </c>
      <c r="J34" s="3">
        <v>7035</v>
      </c>
      <c r="K34" s="3">
        <v>5205.55</v>
      </c>
      <c r="L34" s="4">
        <v>513132</v>
      </c>
      <c r="M34" s="3">
        <v>3487255506.1999998</v>
      </c>
      <c r="N34" s="4">
        <v>51139</v>
      </c>
      <c r="O34">
        <f t="shared" si="0"/>
        <v>-1.0954190896993578E-3</v>
      </c>
    </row>
    <row r="35" spans="1:15" ht="14.25" customHeight="1" x14ac:dyDescent="0.3">
      <c r="A35" s="2">
        <v>45523</v>
      </c>
      <c r="B35" t="s">
        <v>15</v>
      </c>
      <c r="C35" s="3">
        <v>6837.95</v>
      </c>
      <c r="D35" s="3">
        <v>6924</v>
      </c>
      <c r="E35" s="3">
        <v>6817.6</v>
      </c>
      <c r="F35" s="3">
        <v>6793.6</v>
      </c>
      <c r="G35" s="3">
        <v>6914.6</v>
      </c>
      <c r="H35" s="3">
        <v>6911.35</v>
      </c>
      <c r="I35" s="3">
        <v>6892.93</v>
      </c>
      <c r="J35" s="3">
        <v>7035</v>
      </c>
      <c r="K35" s="3">
        <v>5205.55</v>
      </c>
      <c r="L35" s="4">
        <v>161847</v>
      </c>
      <c r="M35" s="3">
        <v>1115599816.7</v>
      </c>
      <c r="N35" s="4">
        <v>21484</v>
      </c>
      <c r="O35">
        <f t="shared" si="0"/>
        <v>1.733248940178992E-2</v>
      </c>
    </row>
    <row r="36" spans="1:15" ht="14.25" customHeight="1" x14ac:dyDescent="0.3">
      <c r="A36" s="2">
        <v>45524</v>
      </c>
      <c r="B36" t="s">
        <v>15</v>
      </c>
      <c r="C36" s="3">
        <v>6930</v>
      </c>
      <c r="D36" s="3">
        <v>6974.2</v>
      </c>
      <c r="E36" s="3">
        <v>6900</v>
      </c>
      <c r="F36" s="3">
        <v>6911.35</v>
      </c>
      <c r="G36" s="3">
        <v>6964.6</v>
      </c>
      <c r="H36" s="3">
        <v>6965.35</v>
      </c>
      <c r="I36" s="3">
        <v>6946.3</v>
      </c>
      <c r="J36" s="3">
        <v>7035</v>
      </c>
      <c r="K36" s="3">
        <v>5205.55</v>
      </c>
      <c r="L36" s="4">
        <v>149594</v>
      </c>
      <c r="M36" s="3">
        <v>1039124634.3</v>
      </c>
      <c r="N36" s="4">
        <v>19700</v>
      </c>
      <c r="O36">
        <f t="shared" si="0"/>
        <v>7.8132347515318997E-3</v>
      </c>
    </row>
    <row r="37" spans="1:15" ht="14.25" customHeight="1" x14ac:dyDescent="0.3">
      <c r="A37" s="2">
        <v>45525</v>
      </c>
      <c r="B37" t="s">
        <v>15</v>
      </c>
      <c r="C37" s="3">
        <v>6999.9</v>
      </c>
      <c r="D37" s="3">
        <v>7107.45</v>
      </c>
      <c r="E37" s="3">
        <v>6965.35</v>
      </c>
      <c r="F37" s="3">
        <v>6965.35</v>
      </c>
      <c r="G37" s="3">
        <v>7058</v>
      </c>
      <c r="H37" s="3">
        <v>7062.45</v>
      </c>
      <c r="I37" s="3">
        <v>7060.55</v>
      </c>
      <c r="J37" s="3">
        <v>7107.45</v>
      </c>
      <c r="K37" s="3">
        <v>5205.55</v>
      </c>
      <c r="L37" s="4">
        <v>381117</v>
      </c>
      <c r="M37" s="3">
        <v>2690895996</v>
      </c>
      <c r="N37" s="4">
        <v>47069</v>
      </c>
      <c r="O37">
        <f t="shared" si="0"/>
        <v>1.3940433718334247E-2</v>
      </c>
    </row>
    <row r="38" spans="1:15" ht="14.25" customHeight="1" x14ac:dyDescent="0.3">
      <c r="A38" s="2">
        <v>45526</v>
      </c>
      <c r="B38" t="s">
        <v>15</v>
      </c>
      <c r="C38" s="3">
        <v>7062.35</v>
      </c>
      <c r="D38" s="3">
        <v>7062.35</v>
      </c>
      <c r="E38" s="3">
        <v>6923.2</v>
      </c>
      <c r="F38" s="3">
        <v>7062.45</v>
      </c>
      <c r="G38" s="3">
        <v>6979.9</v>
      </c>
      <c r="H38" s="3">
        <v>6969.05</v>
      </c>
      <c r="I38" s="3">
        <v>6966.8</v>
      </c>
      <c r="J38" s="3">
        <v>7107.45</v>
      </c>
      <c r="K38" s="3">
        <v>5205.55</v>
      </c>
      <c r="L38" s="4">
        <v>336682</v>
      </c>
      <c r="M38" s="3">
        <v>2345596857.9000001</v>
      </c>
      <c r="N38" s="4">
        <v>41568</v>
      </c>
      <c r="O38">
        <f t="shared" si="0"/>
        <v>-1.3224872388477036E-2</v>
      </c>
    </row>
    <row r="39" spans="1:15" ht="14.25" customHeight="1" x14ac:dyDescent="0.3">
      <c r="A39" s="2">
        <v>45527</v>
      </c>
      <c r="B39" t="s">
        <v>15</v>
      </c>
      <c r="C39" s="3">
        <v>6979.85</v>
      </c>
      <c r="D39" s="3">
        <v>6990</v>
      </c>
      <c r="E39" s="3">
        <v>6930.05</v>
      </c>
      <c r="F39" s="3">
        <v>6969.05</v>
      </c>
      <c r="G39" s="3">
        <v>6941</v>
      </c>
      <c r="H39" s="3">
        <v>6954.5</v>
      </c>
      <c r="I39" s="3">
        <v>6962.08</v>
      </c>
      <c r="J39" s="3">
        <v>7107.45</v>
      </c>
      <c r="K39" s="3">
        <v>5205.55</v>
      </c>
      <c r="L39" s="4">
        <v>142288</v>
      </c>
      <c r="M39" s="3">
        <v>990620906.35000002</v>
      </c>
      <c r="N39" s="4">
        <v>16560</v>
      </c>
      <c r="O39">
        <f t="shared" si="0"/>
        <v>-2.0878024981884446E-3</v>
      </c>
    </row>
    <row r="40" spans="1:15" ht="14.25" customHeight="1" x14ac:dyDescent="0.3">
      <c r="A40" s="2">
        <v>45530</v>
      </c>
      <c r="B40" t="s">
        <v>15</v>
      </c>
      <c r="C40" s="3">
        <v>6924.95</v>
      </c>
      <c r="D40" s="3">
        <v>6959.95</v>
      </c>
      <c r="E40" s="3">
        <v>6899.2</v>
      </c>
      <c r="F40" s="3">
        <v>6954.5</v>
      </c>
      <c r="G40" s="3">
        <v>6942.45</v>
      </c>
      <c r="H40" s="3">
        <v>6943.3</v>
      </c>
      <c r="I40" s="3">
        <v>6938.38</v>
      </c>
      <c r="J40" s="3">
        <v>7107.45</v>
      </c>
      <c r="K40" s="3">
        <v>5205.55</v>
      </c>
      <c r="L40" s="4">
        <v>203783</v>
      </c>
      <c r="M40" s="3">
        <v>1413923632.3</v>
      </c>
      <c r="N40" s="4">
        <v>25317</v>
      </c>
      <c r="O40">
        <f t="shared" si="0"/>
        <v>-1.61046804227476E-3</v>
      </c>
    </row>
    <row r="41" spans="1:15" ht="14.25" customHeight="1" x14ac:dyDescent="0.3">
      <c r="A41" s="2">
        <v>45531</v>
      </c>
      <c r="B41" t="s">
        <v>15</v>
      </c>
      <c r="C41" s="3">
        <v>6945</v>
      </c>
      <c r="D41" s="3">
        <v>7006.55</v>
      </c>
      <c r="E41" s="3">
        <v>6902.05</v>
      </c>
      <c r="F41" s="3">
        <v>6943.3</v>
      </c>
      <c r="G41" s="3">
        <v>6969</v>
      </c>
      <c r="H41" s="3">
        <v>6962.95</v>
      </c>
      <c r="I41" s="3">
        <v>6967.32</v>
      </c>
      <c r="J41" s="3">
        <v>7107.45</v>
      </c>
      <c r="K41" s="3">
        <v>5205.55</v>
      </c>
      <c r="L41" s="4">
        <v>455417</v>
      </c>
      <c r="M41" s="3">
        <v>3173034909.8000002</v>
      </c>
      <c r="N41" s="4">
        <v>22121</v>
      </c>
      <c r="O41">
        <f t="shared" si="0"/>
        <v>2.830066394941834E-3</v>
      </c>
    </row>
    <row r="42" spans="1:15" ht="14.25" customHeight="1" x14ac:dyDescent="0.3">
      <c r="A42" s="2">
        <v>45532</v>
      </c>
      <c r="B42" t="s">
        <v>15</v>
      </c>
      <c r="C42" s="3">
        <v>6962.95</v>
      </c>
      <c r="D42" s="3">
        <v>7048.25</v>
      </c>
      <c r="E42" s="3">
        <v>6923</v>
      </c>
      <c r="F42" s="3">
        <v>6962.95</v>
      </c>
      <c r="G42" s="3">
        <v>6998.6</v>
      </c>
      <c r="H42" s="3">
        <v>6999.3</v>
      </c>
      <c r="I42" s="3">
        <v>6963.52</v>
      </c>
      <c r="J42" s="3">
        <v>7107.45</v>
      </c>
      <c r="K42" s="3">
        <v>5205.55</v>
      </c>
      <c r="L42" s="4">
        <v>326517</v>
      </c>
      <c r="M42" s="3">
        <v>2273708146.75</v>
      </c>
      <c r="N42" s="4">
        <v>31834</v>
      </c>
      <c r="O42">
        <f t="shared" si="0"/>
        <v>5.2204884423987484E-3</v>
      </c>
    </row>
    <row r="43" spans="1:15" ht="14.25" customHeight="1" x14ac:dyDescent="0.3">
      <c r="A43" s="2">
        <v>45533</v>
      </c>
      <c r="B43" t="s">
        <v>15</v>
      </c>
      <c r="C43" s="3">
        <v>6898.3</v>
      </c>
      <c r="D43" s="3">
        <v>7019.95</v>
      </c>
      <c r="E43" s="3">
        <v>6889.1</v>
      </c>
      <c r="F43" s="3">
        <v>6999.3</v>
      </c>
      <c r="G43" s="3">
        <v>6955</v>
      </c>
      <c r="H43" s="3">
        <v>6931.15</v>
      </c>
      <c r="I43" s="3">
        <v>6929.37</v>
      </c>
      <c r="J43" s="3">
        <v>7107.45</v>
      </c>
      <c r="K43" s="3">
        <v>5205.55</v>
      </c>
      <c r="L43" s="4">
        <v>356832</v>
      </c>
      <c r="M43" s="3">
        <v>2472619276.5500002</v>
      </c>
      <c r="N43" s="4">
        <v>50590</v>
      </c>
      <c r="O43">
        <f t="shared" si="0"/>
        <v>-9.736687954509814E-3</v>
      </c>
    </row>
    <row r="44" spans="1:15" ht="14.25" customHeight="1" x14ac:dyDescent="0.3">
      <c r="A44" s="2">
        <v>45534</v>
      </c>
      <c r="B44" t="s">
        <v>15</v>
      </c>
      <c r="C44" s="3">
        <v>6938</v>
      </c>
      <c r="D44" s="3">
        <v>7045</v>
      </c>
      <c r="E44" s="3">
        <v>6938</v>
      </c>
      <c r="F44" s="3">
        <v>6931.15</v>
      </c>
      <c r="G44" s="3">
        <v>6990</v>
      </c>
      <c r="H44" s="3">
        <v>7031.35</v>
      </c>
      <c r="I44" s="3">
        <v>7017.91</v>
      </c>
      <c r="J44" s="3">
        <v>7107.45</v>
      </c>
      <c r="K44" s="3">
        <v>5205.55</v>
      </c>
      <c r="L44" s="4">
        <v>683042</v>
      </c>
      <c r="M44" s="3">
        <v>4793530673.8500004</v>
      </c>
      <c r="N44" s="4">
        <v>43215</v>
      </c>
      <c r="O44">
        <f t="shared" si="0"/>
        <v>1.445647547665261E-2</v>
      </c>
    </row>
    <row r="45" spans="1:15" ht="14.25" customHeight="1" x14ac:dyDescent="0.3">
      <c r="A45" s="2">
        <v>45537</v>
      </c>
      <c r="B45" t="s">
        <v>15</v>
      </c>
      <c r="C45" s="3">
        <v>7049.7</v>
      </c>
      <c r="D45" s="3">
        <v>7074.95</v>
      </c>
      <c r="E45" s="3">
        <v>6830</v>
      </c>
      <c r="F45" s="3">
        <v>7031.35</v>
      </c>
      <c r="G45" s="3">
        <v>6868</v>
      </c>
      <c r="H45" s="3">
        <v>6872.15</v>
      </c>
      <c r="I45" s="3">
        <v>6896.94</v>
      </c>
      <c r="J45" s="3">
        <v>7107.45</v>
      </c>
      <c r="K45" s="3">
        <v>5205.55</v>
      </c>
      <c r="L45" s="4">
        <v>470857</v>
      </c>
      <c r="M45" s="3">
        <v>3247470377.4499998</v>
      </c>
      <c r="N45" s="4">
        <v>77187</v>
      </c>
      <c r="O45">
        <f t="shared" si="0"/>
        <v>-2.2641455765962541E-2</v>
      </c>
    </row>
    <row r="46" spans="1:15" ht="14.25" customHeight="1" x14ac:dyDescent="0.3">
      <c r="A46" s="2">
        <v>45538</v>
      </c>
      <c r="B46" t="s">
        <v>15</v>
      </c>
      <c r="C46" s="3">
        <v>6900</v>
      </c>
      <c r="D46" s="3">
        <v>6914</v>
      </c>
      <c r="E46" s="3">
        <v>6848</v>
      </c>
      <c r="F46" s="3">
        <v>6872.15</v>
      </c>
      <c r="G46" s="3">
        <v>6850</v>
      </c>
      <c r="H46" s="3">
        <v>6853.85</v>
      </c>
      <c r="I46" s="3">
        <v>6875.31</v>
      </c>
      <c r="J46" s="3">
        <v>7107.45</v>
      </c>
      <c r="K46" s="3">
        <v>5205.55</v>
      </c>
      <c r="L46" s="4">
        <v>249361</v>
      </c>
      <c r="M46" s="3">
        <v>1714434633.7</v>
      </c>
      <c r="N46" s="4">
        <v>43772</v>
      </c>
      <c r="O46">
        <f t="shared" si="0"/>
        <v>-2.6629220840638334E-3</v>
      </c>
    </row>
    <row r="47" spans="1:15" ht="14.25" customHeight="1" x14ac:dyDescent="0.3">
      <c r="A47" s="2">
        <v>45539</v>
      </c>
      <c r="B47" t="s">
        <v>15</v>
      </c>
      <c r="C47" s="3">
        <v>6847.8</v>
      </c>
      <c r="D47" s="3">
        <v>6847.8</v>
      </c>
      <c r="E47" s="3">
        <v>6767</v>
      </c>
      <c r="F47" s="3">
        <v>6853.85</v>
      </c>
      <c r="G47" s="3">
        <v>6785</v>
      </c>
      <c r="H47" s="3">
        <v>6787.2</v>
      </c>
      <c r="I47" s="3">
        <v>6793.61</v>
      </c>
      <c r="J47" s="3">
        <v>7107.45</v>
      </c>
      <c r="K47" s="3">
        <v>5205.55</v>
      </c>
      <c r="L47" s="4">
        <v>435494</v>
      </c>
      <c r="M47" s="3">
        <v>2958576267.6500001</v>
      </c>
      <c r="N47" s="4">
        <v>59480</v>
      </c>
      <c r="O47">
        <f t="shared" si="0"/>
        <v>-9.7244614340845723E-3</v>
      </c>
    </row>
    <row r="48" spans="1:15" ht="14.25" customHeight="1" x14ac:dyDescent="0.3">
      <c r="A48" s="2">
        <v>45540</v>
      </c>
      <c r="B48" t="s">
        <v>15</v>
      </c>
      <c r="C48" s="3">
        <v>6797.5</v>
      </c>
      <c r="D48" s="3">
        <v>6848.8</v>
      </c>
      <c r="E48" s="3">
        <v>6686</v>
      </c>
      <c r="F48" s="3">
        <v>6787.2</v>
      </c>
      <c r="G48" s="3">
        <v>6700</v>
      </c>
      <c r="H48" s="3">
        <v>6695.75</v>
      </c>
      <c r="I48" s="3">
        <v>6753.89</v>
      </c>
      <c r="J48" s="3">
        <v>7107.45</v>
      </c>
      <c r="K48" s="3">
        <v>5205.55</v>
      </c>
      <c r="L48" s="4">
        <v>400253</v>
      </c>
      <c r="M48" s="3">
        <v>2703265195.1500001</v>
      </c>
      <c r="N48" s="4">
        <v>56689</v>
      </c>
      <c r="O48">
        <f t="shared" si="0"/>
        <v>-1.3473892032060323E-2</v>
      </c>
    </row>
    <row r="49" spans="1:15" ht="14.25" customHeight="1" x14ac:dyDescent="0.3">
      <c r="A49" s="2">
        <v>45541</v>
      </c>
      <c r="B49" t="s">
        <v>15</v>
      </c>
      <c r="C49" s="3">
        <v>6698.9</v>
      </c>
      <c r="D49" s="3">
        <v>6720.1</v>
      </c>
      <c r="E49" s="3">
        <v>6653</v>
      </c>
      <c r="F49" s="3">
        <v>6695.75</v>
      </c>
      <c r="G49" s="3">
        <v>6670</v>
      </c>
      <c r="H49" s="3">
        <v>6667.15</v>
      </c>
      <c r="I49" s="3">
        <v>6672.28</v>
      </c>
      <c r="J49" s="3">
        <v>7107.45</v>
      </c>
      <c r="K49" s="3">
        <v>5205.55</v>
      </c>
      <c r="L49" s="4">
        <v>414857</v>
      </c>
      <c r="M49" s="3">
        <v>2768044054.6500001</v>
      </c>
      <c r="N49" s="4">
        <v>39734</v>
      </c>
      <c r="O49">
        <f t="shared" si="0"/>
        <v>-4.2713661651047853E-3</v>
      </c>
    </row>
    <row r="50" spans="1:15" ht="14.25" customHeight="1" x14ac:dyDescent="0.3">
      <c r="A50" s="2">
        <v>45544</v>
      </c>
      <c r="B50" t="s">
        <v>15</v>
      </c>
      <c r="C50" s="3">
        <v>6679.95</v>
      </c>
      <c r="D50" s="3">
        <v>6715.95</v>
      </c>
      <c r="E50" s="3">
        <v>6602.7</v>
      </c>
      <c r="F50" s="3">
        <v>6667.15</v>
      </c>
      <c r="G50" s="3">
        <v>6652</v>
      </c>
      <c r="H50" s="3">
        <v>6655.9</v>
      </c>
      <c r="I50" s="3">
        <v>6655.4</v>
      </c>
      <c r="J50" s="3">
        <v>7107.45</v>
      </c>
      <c r="K50" s="3">
        <v>5205.55</v>
      </c>
      <c r="L50" s="4">
        <v>293376</v>
      </c>
      <c r="M50" s="3">
        <v>1952533193.5999999</v>
      </c>
      <c r="N50" s="4">
        <v>36705</v>
      </c>
      <c r="O50">
        <f t="shared" si="0"/>
        <v>-1.687377665119279E-3</v>
      </c>
    </row>
    <row r="51" spans="1:15" ht="14.25" customHeight="1" x14ac:dyDescent="0.3">
      <c r="A51" s="2">
        <v>45545</v>
      </c>
      <c r="B51" t="s">
        <v>15</v>
      </c>
      <c r="C51" s="3">
        <v>6694</v>
      </c>
      <c r="D51" s="3">
        <v>6697.8</v>
      </c>
      <c r="E51" s="3">
        <v>6613.15</v>
      </c>
      <c r="F51" s="3">
        <v>6655.9</v>
      </c>
      <c r="G51" s="3">
        <v>6661.5</v>
      </c>
      <c r="H51" s="3">
        <v>6650.4</v>
      </c>
      <c r="I51" s="3">
        <v>6651.61</v>
      </c>
      <c r="J51" s="3">
        <v>7107.45</v>
      </c>
      <c r="K51" s="3">
        <v>5205.55</v>
      </c>
      <c r="L51" s="4">
        <v>465624</v>
      </c>
      <c r="M51" s="3">
        <v>3097150039.1999998</v>
      </c>
      <c r="N51" s="4">
        <v>53221</v>
      </c>
      <c r="O51">
        <f t="shared" si="0"/>
        <v>-8.2633453026638025E-4</v>
      </c>
    </row>
    <row r="52" spans="1:15" ht="14.25" customHeight="1" x14ac:dyDescent="0.3">
      <c r="A52" s="2">
        <v>45546</v>
      </c>
      <c r="B52" t="s">
        <v>15</v>
      </c>
      <c r="C52" s="3">
        <v>6660.9</v>
      </c>
      <c r="D52" s="3">
        <v>6749.35</v>
      </c>
      <c r="E52" s="3">
        <v>6595.9</v>
      </c>
      <c r="F52" s="3">
        <v>6650.4</v>
      </c>
      <c r="G52" s="3">
        <v>6630</v>
      </c>
      <c r="H52" s="3">
        <v>6612.5</v>
      </c>
      <c r="I52" s="3">
        <v>6661.13</v>
      </c>
      <c r="J52" s="3">
        <v>7107.45</v>
      </c>
      <c r="K52" s="3">
        <v>5205.55</v>
      </c>
      <c r="L52" s="4">
        <v>366744</v>
      </c>
      <c r="M52" s="3">
        <v>2442929842.1999998</v>
      </c>
      <c r="N52" s="4">
        <v>54936</v>
      </c>
      <c r="O52">
        <f t="shared" si="0"/>
        <v>-5.698905329002712E-3</v>
      </c>
    </row>
    <row r="53" spans="1:15" ht="14.25" customHeight="1" x14ac:dyDescent="0.3">
      <c r="A53" s="2">
        <v>45547</v>
      </c>
      <c r="B53" t="s">
        <v>15</v>
      </c>
      <c r="C53" s="3">
        <v>6700</v>
      </c>
      <c r="D53" s="3">
        <v>6712.2</v>
      </c>
      <c r="E53" s="3">
        <v>6580.3</v>
      </c>
      <c r="F53" s="3">
        <v>6612.5</v>
      </c>
      <c r="G53" s="3">
        <v>6663.7</v>
      </c>
      <c r="H53" s="3">
        <v>6683.85</v>
      </c>
      <c r="I53" s="3">
        <v>6648.31</v>
      </c>
      <c r="J53" s="3">
        <v>7107.45</v>
      </c>
      <c r="K53" s="3">
        <v>5205.55</v>
      </c>
      <c r="L53" s="4">
        <v>532671</v>
      </c>
      <c r="M53" s="3">
        <v>3541359435.5500002</v>
      </c>
      <c r="N53" s="4">
        <v>90088</v>
      </c>
      <c r="O53">
        <f t="shared" si="0"/>
        <v>1.0790170132325198E-2</v>
      </c>
    </row>
    <row r="54" spans="1:15" ht="14.25" customHeight="1" x14ac:dyDescent="0.3">
      <c r="A54" s="2">
        <v>45548</v>
      </c>
      <c r="B54" t="s">
        <v>15</v>
      </c>
      <c r="C54" s="3">
        <v>6686.4</v>
      </c>
      <c r="D54" s="3">
        <v>6699.05</v>
      </c>
      <c r="E54" s="3">
        <v>6647</v>
      </c>
      <c r="F54" s="3">
        <v>6683.85</v>
      </c>
      <c r="G54" s="3">
        <v>6663.6</v>
      </c>
      <c r="H54" s="3">
        <v>6660.7</v>
      </c>
      <c r="I54" s="3">
        <v>6663.5</v>
      </c>
      <c r="J54" s="3">
        <v>7107.45</v>
      </c>
      <c r="K54" s="3">
        <v>5205.55</v>
      </c>
      <c r="L54" s="4">
        <v>239515</v>
      </c>
      <c r="M54" s="3">
        <v>1596009074.4000001</v>
      </c>
      <c r="N54" s="4">
        <v>41138</v>
      </c>
      <c r="O54">
        <f t="shared" si="0"/>
        <v>-3.4635726415165728E-3</v>
      </c>
    </row>
    <row r="55" spans="1:15" ht="14.25" customHeight="1" x14ac:dyDescent="0.3">
      <c r="A55" s="2">
        <v>45551</v>
      </c>
      <c r="B55" t="s">
        <v>15</v>
      </c>
      <c r="C55" s="3">
        <v>6689.9</v>
      </c>
      <c r="D55" s="3">
        <v>6689.9</v>
      </c>
      <c r="E55" s="3">
        <v>6631.5</v>
      </c>
      <c r="F55" s="3">
        <v>6660.7</v>
      </c>
      <c r="G55" s="3">
        <v>6652</v>
      </c>
      <c r="H55" s="3">
        <v>6647.1</v>
      </c>
      <c r="I55" s="3">
        <v>6655.12</v>
      </c>
      <c r="J55" s="3">
        <v>7107.45</v>
      </c>
      <c r="K55" s="3">
        <v>5205.55</v>
      </c>
      <c r="L55" s="4">
        <v>138325</v>
      </c>
      <c r="M55" s="3">
        <v>920569916.64999998</v>
      </c>
      <c r="N55" s="4">
        <v>19393</v>
      </c>
      <c r="O55">
        <f t="shared" si="0"/>
        <v>-2.0418274355547398E-3</v>
      </c>
    </row>
    <row r="56" spans="1:15" ht="14.25" customHeight="1" x14ac:dyDescent="0.3">
      <c r="A56" s="2">
        <v>45552</v>
      </c>
      <c r="B56" t="s">
        <v>15</v>
      </c>
      <c r="C56" s="3">
        <v>6640.1</v>
      </c>
      <c r="D56" s="3">
        <v>6665.75</v>
      </c>
      <c r="E56" s="3">
        <v>6603</v>
      </c>
      <c r="F56" s="3">
        <v>6647.1</v>
      </c>
      <c r="G56" s="3">
        <v>6639.75</v>
      </c>
      <c r="H56" s="3">
        <v>6631.65</v>
      </c>
      <c r="I56" s="3">
        <v>6624.32</v>
      </c>
      <c r="J56" s="3">
        <v>7107.45</v>
      </c>
      <c r="K56" s="3">
        <v>5205.55</v>
      </c>
      <c r="L56" s="4">
        <v>182347</v>
      </c>
      <c r="M56" s="3">
        <v>1207924446.5999999</v>
      </c>
      <c r="N56" s="4">
        <v>28026</v>
      </c>
      <c r="O56">
        <f t="shared" si="0"/>
        <v>-2.3243218847317968E-3</v>
      </c>
    </row>
    <row r="57" spans="1:15" ht="14.25" customHeight="1" x14ac:dyDescent="0.3">
      <c r="A57" s="2">
        <v>45553</v>
      </c>
      <c r="B57" t="s">
        <v>15</v>
      </c>
      <c r="C57" s="3">
        <v>6647</v>
      </c>
      <c r="D57" s="3">
        <v>6648</v>
      </c>
      <c r="E57" s="3">
        <v>6531</v>
      </c>
      <c r="F57" s="3">
        <v>6631.65</v>
      </c>
      <c r="G57" s="3">
        <v>6574</v>
      </c>
      <c r="H57" s="3">
        <v>6567.8</v>
      </c>
      <c r="I57" s="3">
        <v>6572.94</v>
      </c>
      <c r="J57" s="3">
        <v>7107.45</v>
      </c>
      <c r="K57" s="3">
        <v>5205.55</v>
      </c>
      <c r="L57" s="4">
        <v>247883</v>
      </c>
      <c r="M57" s="3">
        <v>1629320487.5999999</v>
      </c>
      <c r="N57" s="4">
        <v>48027</v>
      </c>
      <c r="O57">
        <f t="shared" si="0"/>
        <v>-9.62807144526618E-3</v>
      </c>
    </row>
    <row r="58" spans="1:15" ht="14.25" customHeight="1" x14ac:dyDescent="0.3">
      <c r="A58" s="2">
        <v>45554</v>
      </c>
      <c r="B58" t="s">
        <v>15</v>
      </c>
      <c r="C58" s="3">
        <v>6584</v>
      </c>
      <c r="D58" s="3">
        <v>6612.5</v>
      </c>
      <c r="E58" s="3">
        <v>6482.5</v>
      </c>
      <c r="F58" s="3">
        <v>6567.8</v>
      </c>
      <c r="G58" s="3">
        <v>6514.9</v>
      </c>
      <c r="H58" s="3">
        <v>6502.55</v>
      </c>
      <c r="I58" s="3">
        <v>6517.48</v>
      </c>
      <c r="J58" s="3">
        <v>7107.45</v>
      </c>
      <c r="K58" s="3">
        <v>5205.55</v>
      </c>
      <c r="L58" s="4">
        <v>932356</v>
      </c>
      <c r="M58" s="3">
        <v>6076612409.4499998</v>
      </c>
      <c r="N58" s="4">
        <v>65433</v>
      </c>
      <c r="O58">
        <f t="shared" si="0"/>
        <v>-9.9348335820213761E-3</v>
      </c>
    </row>
    <row r="59" spans="1:15" ht="14.25" customHeight="1" x14ac:dyDescent="0.3">
      <c r="A59" s="2">
        <v>45555</v>
      </c>
      <c r="B59" t="s">
        <v>15</v>
      </c>
      <c r="C59" s="3">
        <v>6534.8</v>
      </c>
      <c r="D59" s="3">
        <v>6597.95</v>
      </c>
      <c r="E59" s="3">
        <v>6485.7</v>
      </c>
      <c r="F59" s="3">
        <v>6502.55</v>
      </c>
      <c r="G59" s="3">
        <v>6558</v>
      </c>
      <c r="H59" s="3">
        <v>6551.15</v>
      </c>
      <c r="I59" s="3">
        <v>6546.25</v>
      </c>
      <c r="J59" s="3">
        <v>7107.45</v>
      </c>
      <c r="K59" s="3">
        <v>5205.55</v>
      </c>
      <c r="L59" s="4">
        <v>564730</v>
      </c>
      <c r="M59" s="3">
        <v>3696866175.6500001</v>
      </c>
      <c r="N59" s="4">
        <v>70763</v>
      </c>
      <c r="O59">
        <f t="shared" si="0"/>
        <v>7.4739909727721361E-3</v>
      </c>
    </row>
    <row r="60" spans="1:15" ht="14.25" customHeight="1" x14ac:dyDescent="0.3">
      <c r="A60" s="2">
        <v>45558</v>
      </c>
      <c r="B60" t="s">
        <v>15</v>
      </c>
      <c r="C60" s="3">
        <v>6600</v>
      </c>
      <c r="D60" s="3">
        <v>6662</v>
      </c>
      <c r="E60" s="3">
        <v>6580</v>
      </c>
      <c r="F60" s="3">
        <v>6551.15</v>
      </c>
      <c r="G60" s="3">
        <v>6646</v>
      </c>
      <c r="H60" s="3">
        <v>6654.45</v>
      </c>
      <c r="I60" s="3">
        <v>6631.56</v>
      </c>
      <c r="J60" s="3">
        <v>7107.45</v>
      </c>
      <c r="K60" s="3">
        <v>5205.55</v>
      </c>
      <c r="L60" s="4">
        <v>265324</v>
      </c>
      <c r="M60" s="3">
        <v>1759511823.1500001</v>
      </c>
      <c r="N60" s="4">
        <v>27902</v>
      </c>
      <c r="O60">
        <f t="shared" si="0"/>
        <v>1.5768223899620706E-2</v>
      </c>
    </row>
    <row r="61" spans="1:15" ht="14.25" customHeight="1" x14ac:dyDescent="0.3">
      <c r="A61" s="2">
        <v>45559</v>
      </c>
      <c r="B61" t="s">
        <v>15</v>
      </c>
      <c r="C61" s="3">
        <v>6654.45</v>
      </c>
      <c r="D61" s="3">
        <v>6689.9</v>
      </c>
      <c r="E61" s="3">
        <v>6580.2</v>
      </c>
      <c r="F61" s="3">
        <v>6654.45</v>
      </c>
      <c r="G61" s="3">
        <v>6658.25</v>
      </c>
      <c r="H61" s="3">
        <v>6650.35</v>
      </c>
      <c r="I61" s="3">
        <v>6637.03</v>
      </c>
      <c r="J61" s="3">
        <v>7107.45</v>
      </c>
      <c r="K61" s="3">
        <v>5205.55</v>
      </c>
      <c r="L61" s="4">
        <v>392420</v>
      </c>
      <c r="M61" s="3">
        <v>2604501378.5500002</v>
      </c>
      <c r="N61" s="4">
        <v>33478</v>
      </c>
      <c r="O61">
        <f t="shared" si="0"/>
        <v>-6.1612905649594701E-4</v>
      </c>
    </row>
    <row r="62" spans="1:15" ht="14.25" customHeight="1" x14ac:dyDescent="0.3">
      <c r="A62" s="2">
        <v>45560</v>
      </c>
      <c r="B62" t="s">
        <v>15</v>
      </c>
      <c r="C62" s="3">
        <v>6656.25</v>
      </c>
      <c r="D62" s="3">
        <v>6707.6</v>
      </c>
      <c r="E62" s="3">
        <v>6595.55</v>
      </c>
      <c r="F62" s="3">
        <v>6650.35</v>
      </c>
      <c r="G62" s="3">
        <v>6700</v>
      </c>
      <c r="H62" s="3">
        <v>6691.45</v>
      </c>
      <c r="I62" s="3">
        <v>6645.1</v>
      </c>
      <c r="J62" s="3">
        <v>7107.45</v>
      </c>
      <c r="K62" s="3">
        <v>5205.55</v>
      </c>
      <c r="L62" s="4">
        <v>477656</v>
      </c>
      <c r="M62" s="3">
        <v>3174071949.25</v>
      </c>
      <c r="N62" s="4">
        <v>34570</v>
      </c>
      <c r="O62">
        <f t="shared" si="0"/>
        <v>6.1801258580374647E-3</v>
      </c>
    </row>
    <row r="63" spans="1:15" ht="14.25" customHeight="1" x14ac:dyDescent="0.3">
      <c r="A63" s="2">
        <v>45561</v>
      </c>
      <c r="B63" t="s">
        <v>15</v>
      </c>
      <c r="C63" s="3">
        <v>6714.8</v>
      </c>
      <c r="D63" s="3">
        <v>6757</v>
      </c>
      <c r="E63" s="3">
        <v>6664.3</v>
      </c>
      <c r="F63" s="3">
        <v>6691.45</v>
      </c>
      <c r="G63" s="3">
        <v>6737</v>
      </c>
      <c r="H63" s="3">
        <v>6744.4</v>
      </c>
      <c r="I63" s="3">
        <v>6722.91</v>
      </c>
      <c r="J63" s="3">
        <v>7107.45</v>
      </c>
      <c r="K63" s="3">
        <v>5205.55</v>
      </c>
      <c r="L63" s="4">
        <v>568426</v>
      </c>
      <c r="M63" s="3">
        <v>3821475313.8499999</v>
      </c>
      <c r="N63" s="4">
        <v>65536</v>
      </c>
      <c r="O63">
        <f t="shared" si="0"/>
        <v>7.9130831135254421E-3</v>
      </c>
    </row>
    <row r="64" spans="1:15" ht="14.25" customHeight="1" x14ac:dyDescent="0.3">
      <c r="A64" s="2">
        <v>45562</v>
      </c>
      <c r="B64" t="s">
        <v>15</v>
      </c>
      <c r="C64" s="3">
        <v>6711</v>
      </c>
      <c r="D64" s="3">
        <v>6772.4</v>
      </c>
      <c r="E64" s="3">
        <v>6666.5</v>
      </c>
      <c r="F64" s="3">
        <v>6744.4</v>
      </c>
      <c r="G64" s="3">
        <v>6745</v>
      </c>
      <c r="H64" s="3">
        <v>6749.9</v>
      </c>
      <c r="I64" s="3">
        <v>6731.07</v>
      </c>
      <c r="J64" s="3">
        <v>7107.45</v>
      </c>
      <c r="K64" s="3">
        <v>5205.55</v>
      </c>
      <c r="L64" s="4">
        <v>558911</v>
      </c>
      <c r="M64" s="3">
        <v>3762071635.4000001</v>
      </c>
      <c r="N64" s="4">
        <v>55664</v>
      </c>
      <c r="O64">
        <f t="shared" si="0"/>
        <v>8.1549137061858736E-4</v>
      </c>
    </row>
    <row r="65" spans="1:15" ht="14.25" customHeight="1" x14ac:dyDescent="0.3">
      <c r="A65" s="2">
        <v>45565</v>
      </c>
      <c r="B65" t="s">
        <v>15</v>
      </c>
      <c r="C65" s="3">
        <v>6755</v>
      </c>
      <c r="D65" s="3">
        <v>6791</v>
      </c>
      <c r="E65" s="3">
        <v>6710</v>
      </c>
      <c r="F65" s="3">
        <v>6749.9</v>
      </c>
      <c r="G65" s="3">
        <v>6750</v>
      </c>
      <c r="H65" s="3">
        <v>6751.6</v>
      </c>
      <c r="I65" s="3">
        <v>6750.11</v>
      </c>
      <c r="J65" s="3">
        <v>7107.45</v>
      </c>
      <c r="K65" s="3">
        <v>5205.55</v>
      </c>
      <c r="L65" s="4">
        <v>365494</v>
      </c>
      <c r="M65" s="3">
        <v>2467124925.6500001</v>
      </c>
      <c r="N65" s="4">
        <v>39611</v>
      </c>
      <c r="O65">
        <f t="shared" si="0"/>
        <v>2.5185558304578255E-4</v>
      </c>
    </row>
    <row r="66" spans="1:15" ht="14.25" customHeight="1" x14ac:dyDescent="0.3">
      <c r="A66" s="2">
        <v>45566</v>
      </c>
      <c r="B66" t="s">
        <v>15</v>
      </c>
      <c r="C66" s="3">
        <v>6751.6</v>
      </c>
      <c r="D66" s="3">
        <v>6785.4</v>
      </c>
      <c r="E66" s="3">
        <v>6678.05</v>
      </c>
      <c r="F66" s="3">
        <v>6751.6</v>
      </c>
      <c r="G66" s="3">
        <v>6750.85</v>
      </c>
      <c r="H66" s="3">
        <v>6749.1</v>
      </c>
      <c r="I66" s="3">
        <v>6722.76</v>
      </c>
      <c r="J66" s="3">
        <v>7107.45</v>
      </c>
      <c r="K66" s="3">
        <v>5205.55</v>
      </c>
      <c r="L66" s="4">
        <v>347618</v>
      </c>
      <c r="M66" s="3">
        <v>2336953422.4000001</v>
      </c>
      <c r="N66" s="4">
        <v>32070</v>
      </c>
      <c r="O66">
        <f t="shared" si="0"/>
        <v>-3.7028259968007582E-4</v>
      </c>
    </row>
    <row r="67" spans="1:15" ht="14.25" customHeight="1" x14ac:dyDescent="0.3">
      <c r="A67" s="2">
        <v>45568</v>
      </c>
      <c r="B67" t="s">
        <v>15</v>
      </c>
      <c r="C67" s="3">
        <v>6780</v>
      </c>
      <c r="D67" s="3">
        <v>6795</v>
      </c>
      <c r="E67" s="3">
        <v>6692.1</v>
      </c>
      <c r="F67" s="3">
        <v>6749.1</v>
      </c>
      <c r="G67" s="3">
        <v>6729.95</v>
      </c>
      <c r="H67" s="3">
        <v>6735.65</v>
      </c>
      <c r="I67" s="3">
        <v>6753.67</v>
      </c>
      <c r="J67" s="3">
        <v>7107.45</v>
      </c>
      <c r="K67" s="3">
        <v>5205.55</v>
      </c>
      <c r="L67" s="4">
        <v>455418</v>
      </c>
      <c r="M67" s="3">
        <v>3075742375.1999998</v>
      </c>
      <c r="N67" s="4">
        <v>48686</v>
      </c>
      <c r="O67">
        <f t="shared" ref="O67:O130" si="1">(H67-H66)/H66</f>
        <v>-1.9928583070336382E-3</v>
      </c>
    </row>
    <row r="68" spans="1:15" ht="14.25" customHeight="1" x14ac:dyDescent="0.3">
      <c r="A68" s="2">
        <v>45569</v>
      </c>
      <c r="B68" t="s">
        <v>15</v>
      </c>
      <c r="C68" s="3">
        <v>6713</v>
      </c>
      <c r="D68" s="3">
        <v>6732.9</v>
      </c>
      <c r="E68" s="3">
        <v>6611</v>
      </c>
      <c r="F68" s="3">
        <v>6735.65</v>
      </c>
      <c r="G68" s="3">
        <v>6642</v>
      </c>
      <c r="H68" s="3">
        <v>6633.25</v>
      </c>
      <c r="I68" s="3">
        <v>6668.38</v>
      </c>
      <c r="J68" s="3">
        <v>7107.45</v>
      </c>
      <c r="K68" s="3">
        <v>5205.55</v>
      </c>
      <c r="L68" s="4">
        <v>348467</v>
      </c>
      <c r="M68" s="3">
        <v>2323709750.8499999</v>
      </c>
      <c r="N68" s="4">
        <v>45119</v>
      </c>
      <c r="O68">
        <f t="shared" si="1"/>
        <v>-1.5202690163532791E-2</v>
      </c>
    </row>
    <row r="69" spans="1:15" ht="14.25" customHeight="1" x14ac:dyDescent="0.3">
      <c r="A69" s="2">
        <v>45572</v>
      </c>
      <c r="B69" t="s">
        <v>15</v>
      </c>
      <c r="C69" s="3">
        <v>6683.55</v>
      </c>
      <c r="D69" s="3">
        <v>6712.05</v>
      </c>
      <c r="E69" s="3">
        <v>6581.1</v>
      </c>
      <c r="F69" s="3">
        <v>6633.25</v>
      </c>
      <c r="G69" s="3">
        <v>6629</v>
      </c>
      <c r="H69" s="3">
        <v>6609.9</v>
      </c>
      <c r="I69" s="3">
        <v>6640.53</v>
      </c>
      <c r="J69" s="3">
        <v>7107.45</v>
      </c>
      <c r="K69" s="3">
        <v>5205.55</v>
      </c>
      <c r="L69" s="4">
        <v>444838</v>
      </c>
      <c r="M69" s="3">
        <v>2953959780.5</v>
      </c>
      <c r="N69" s="4">
        <v>48175</v>
      </c>
      <c r="O69">
        <f t="shared" si="1"/>
        <v>-3.5201447254363041E-3</v>
      </c>
    </row>
    <row r="70" spans="1:15" ht="14.25" customHeight="1" x14ac:dyDescent="0.3">
      <c r="A70" s="2">
        <v>45573</v>
      </c>
      <c r="B70" t="s">
        <v>15</v>
      </c>
      <c r="C70" s="3">
        <v>6609.95</v>
      </c>
      <c r="D70" s="3">
        <v>6668</v>
      </c>
      <c r="E70" s="3">
        <v>6575</v>
      </c>
      <c r="F70" s="3">
        <v>6609.9</v>
      </c>
      <c r="G70" s="3">
        <v>6650</v>
      </c>
      <c r="H70" s="3">
        <v>6656.05</v>
      </c>
      <c r="I70" s="3">
        <v>6628.85</v>
      </c>
      <c r="J70" s="3">
        <v>7107.45</v>
      </c>
      <c r="K70" s="3">
        <v>5205.55</v>
      </c>
      <c r="L70" s="4">
        <v>279110</v>
      </c>
      <c r="M70" s="3">
        <v>1850179424.5999999</v>
      </c>
      <c r="N70" s="4">
        <v>37949</v>
      </c>
      <c r="O70">
        <f t="shared" si="1"/>
        <v>6.9819513154511488E-3</v>
      </c>
    </row>
    <row r="71" spans="1:15" ht="14.25" customHeight="1" x14ac:dyDescent="0.3">
      <c r="A71" s="2">
        <v>45574</v>
      </c>
      <c r="B71" t="s">
        <v>15</v>
      </c>
      <c r="C71" s="3">
        <v>6696</v>
      </c>
      <c r="D71" s="3">
        <v>6754.9</v>
      </c>
      <c r="E71" s="3">
        <v>6647.1</v>
      </c>
      <c r="F71" s="3">
        <v>6656.05</v>
      </c>
      <c r="G71" s="3">
        <v>6660</v>
      </c>
      <c r="H71" s="3">
        <v>6664.85</v>
      </c>
      <c r="I71" s="3">
        <v>6692.27</v>
      </c>
      <c r="J71" s="3">
        <v>7107.45</v>
      </c>
      <c r="K71" s="3">
        <v>5205.55</v>
      </c>
      <c r="L71" s="4">
        <v>336073</v>
      </c>
      <c r="M71" s="3">
        <v>2249090418.4000001</v>
      </c>
      <c r="N71" s="4">
        <v>37888</v>
      </c>
      <c r="O71">
        <f t="shared" si="1"/>
        <v>1.3221054529338244E-3</v>
      </c>
    </row>
    <row r="72" spans="1:15" ht="14.25" customHeight="1" x14ac:dyDescent="0.3">
      <c r="A72" s="2">
        <v>45575</v>
      </c>
      <c r="B72" t="s">
        <v>15</v>
      </c>
      <c r="C72" s="3">
        <v>6698</v>
      </c>
      <c r="D72" s="3">
        <v>6698</v>
      </c>
      <c r="E72" s="3">
        <v>6553.7</v>
      </c>
      <c r="F72" s="3">
        <v>6664.85</v>
      </c>
      <c r="G72" s="3">
        <v>6581</v>
      </c>
      <c r="H72" s="3">
        <v>6583.1</v>
      </c>
      <c r="I72" s="3">
        <v>6599.96</v>
      </c>
      <c r="J72" s="3">
        <v>7107.45</v>
      </c>
      <c r="K72" s="3">
        <v>5205.55</v>
      </c>
      <c r="L72" s="4">
        <v>316547</v>
      </c>
      <c r="M72" s="3">
        <v>2089198150.45</v>
      </c>
      <c r="N72" s="4">
        <v>57918</v>
      </c>
      <c r="O72">
        <f t="shared" si="1"/>
        <v>-1.2265842442065461E-2</v>
      </c>
    </row>
    <row r="73" spans="1:15" ht="14.25" customHeight="1" x14ac:dyDescent="0.3">
      <c r="A73" s="2">
        <v>45576</v>
      </c>
      <c r="B73" t="s">
        <v>15</v>
      </c>
      <c r="C73" s="3">
        <v>6585</v>
      </c>
      <c r="D73" s="3">
        <v>6624.7</v>
      </c>
      <c r="E73" s="3">
        <v>6545.05</v>
      </c>
      <c r="F73" s="3">
        <v>6583.1</v>
      </c>
      <c r="G73" s="3">
        <v>6600</v>
      </c>
      <c r="H73" s="3">
        <v>6599.2</v>
      </c>
      <c r="I73" s="3">
        <v>6591.59</v>
      </c>
      <c r="J73" s="3">
        <v>7107.45</v>
      </c>
      <c r="K73" s="3">
        <v>5205.55</v>
      </c>
      <c r="L73" s="4">
        <v>226045</v>
      </c>
      <c r="M73" s="3">
        <v>1489995063.5999999</v>
      </c>
      <c r="N73" s="4">
        <v>31901</v>
      </c>
      <c r="O73">
        <f t="shared" si="1"/>
        <v>2.4456563017422571E-3</v>
      </c>
    </row>
    <row r="74" spans="1:15" ht="14.25" customHeight="1" x14ac:dyDescent="0.3">
      <c r="A74" s="2">
        <v>45579</v>
      </c>
      <c r="B74" t="s">
        <v>15</v>
      </c>
      <c r="C74" s="3">
        <v>6636</v>
      </c>
      <c r="D74" s="3">
        <v>6690.95</v>
      </c>
      <c r="E74" s="3">
        <v>6600</v>
      </c>
      <c r="F74" s="3">
        <v>6599.2</v>
      </c>
      <c r="G74" s="3">
        <v>6660</v>
      </c>
      <c r="H74" s="3">
        <v>6659.9</v>
      </c>
      <c r="I74" s="3">
        <v>6652.49</v>
      </c>
      <c r="J74" s="3">
        <v>7107.45</v>
      </c>
      <c r="K74" s="3">
        <v>5205.55</v>
      </c>
      <c r="L74" s="4">
        <v>223519</v>
      </c>
      <c r="M74" s="3">
        <v>1486957835.45</v>
      </c>
      <c r="N74" s="4">
        <v>31518</v>
      </c>
      <c r="O74">
        <f t="shared" si="1"/>
        <v>9.198084616317102E-3</v>
      </c>
    </row>
    <row r="75" spans="1:15" ht="14.25" customHeight="1" x14ac:dyDescent="0.3">
      <c r="A75" s="2">
        <v>45580</v>
      </c>
      <c r="B75" t="s">
        <v>15</v>
      </c>
      <c r="C75" s="3">
        <v>6684</v>
      </c>
      <c r="D75" s="3">
        <v>6699.9</v>
      </c>
      <c r="E75" s="3">
        <v>6605.2</v>
      </c>
      <c r="F75" s="3">
        <v>6659.9</v>
      </c>
      <c r="G75" s="3">
        <v>6620</v>
      </c>
      <c r="H75" s="3">
        <v>6611.65</v>
      </c>
      <c r="I75" s="3">
        <v>6627.66</v>
      </c>
      <c r="J75" s="3">
        <v>7107.45</v>
      </c>
      <c r="K75" s="3">
        <v>5205.55</v>
      </c>
      <c r="L75" s="4">
        <v>284653</v>
      </c>
      <c r="M75" s="3">
        <v>1886583809.55</v>
      </c>
      <c r="N75" s="4">
        <v>40124</v>
      </c>
      <c r="O75">
        <f t="shared" si="1"/>
        <v>-7.2448535263292249E-3</v>
      </c>
    </row>
    <row r="76" spans="1:15" ht="14.25" customHeight="1" x14ac:dyDescent="0.3">
      <c r="A76" s="2">
        <v>45581</v>
      </c>
      <c r="B76" t="s">
        <v>15</v>
      </c>
      <c r="C76" s="3">
        <v>6640</v>
      </c>
      <c r="D76" s="3">
        <v>6745.95</v>
      </c>
      <c r="E76" s="3">
        <v>6629.05</v>
      </c>
      <c r="F76" s="3">
        <v>6611.65</v>
      </c>
      <c r="G76" s="3">
        <v>6700</v>
      </c>
      <c r="H76" s="3">
        <v>6710.9</v>
      </c>
      <c r="I76" s="3">
        <v>6706.42</v>
      </c>
      <c r="J76" s="3">
        <v>7107.45</v>
      </c>
      <c r="K76" s="3">
        <v>5205.55</v>
      </c>
      <c r="L76" s="4">
        <v>369924</v>
      </c>
      <c r="M76" s="3">
        <v>2480864139.6500001</v>
      </c>
      <c r="N76" s="4">
        <v>39721</v>
      </c>
      <c r="O76">
        <f t="shared" si="1"/>
        <v>1.5011381425211559E-2</v>
      </c>
    </row>
    <row r="77" spans="1:15" ht="14.25" customHeight="1" x14ac:dyDescent="0.3">
      <c r="A77" s="2">
        <v>45582</v>
      </c>
      <c r="B77" t="s">
        <v>15</v>
      </c>
      <c r="C77" s="3">
        <v>6744.8</v>
      </c>
      <c r="D77" s="3">
        <v>6775</v>
      </c>
      <c r="E77" s="3">
        <v>6650.45</v>
      </c>
      <c r="F77" s="3">
        <v>6710.9</v>
      </c>
      <c r="G77" s="3">
        <v>6700</v>
      </c>
      <c r="H77" s="3">
        <v>6704.05</v>
      </c>
      <c r="I77" s="3">
        <v>6710.16</v>
      </c>
      <c r="J77" s="3">
        <v>7107.45</v>
      </c>
      <c r="K77" s="3">
        <v>5205.55</v>
      </c>
      <c r="L77" s="4">
        <v>363823</v>
      </c>
      <c r="M77" s="3">
        <v>2441311477.5500002</v>
      </c>
      <c r="N77" s="4">
        <v>42107</v>
      </c>
      <c r="O77">
        <f t="shared" si="1"/>
        <v>-1.0207274732151358E-3</v>
      </c>
    </row>
    <row r="78" spans="1:15" ht="14.25" customHeight="1" x14ac:dyDescent="0.3">
      <c r="A78" s="2">
        <v>45583</v>
      </c>
      <c r="B78" t="s">
        <v>15</v>
      </c>
      <c r="C78" s="3">
        <v>6704.05</v>
      </c>
      <c r="D78" s="3">
        <v>6774</v>
      </c>
      <c r="E78" s="3">
        <v>6662.4</v>
      </c>
      <c r="F78" s="3">
        <v>6704.05</v>
      </c>
      <c r="G78" s="3">
        <v>6736.5</v>
      </c>
      <c r="H78" s="3">
        <v>6741.1</v>
      </c>
      <c r="I78" s="3">
        <v>6743.38</v>
      </c>
      <c r="J78" s="3">
        <v>7107.45</v>
      </c>
      <c r="K78" s="3">
        <v>5205.55</v>
      </c>
      <c r="L78" s="4">
        <v>228623</v>
      </c>
      <c r="M78" s="3">
        <v>1541691345.5</v>
      </c>
      <c r="N78" s="4">
        <v>28743</v>
      </c>
      <c r="O78">
        <f t="shared" si="1"/>
        <v>5.526510094644309E-3</v>
      </c>
    </row>
    <row r="79" spans="1:15" ht="14.25" customHeight="1" x14ac:dyDescent="0.3">
      <c r="A79" s="2">
        <v>45586</v>
      </c>
      <c r="B79" t="s">
        <v>15</v>
      </c>
      <c r="C79" s="3">
        <v>6770</v>
      </c>
      <c r="D79" s="3">
        <v>6770</v>
      </c>
      <c r="E79" s="3">
        <v>6686.05</v>
      </c>
      <c r="F79" s="3">
        <v>6741.1</v>
      </c>
      <c r="G79" s="3">
        <v>6694.05</v>
      </c>
      <c r="H79" s="3">
        <v>6697.4</v>
      </c>
      <c r="I79" s="3">
        <v>6713.31</v>
      </c>
      <c r="J79" s="3">
        <v>7107.45</v>
      </c>
      <c r="K79" s="3">
        <v>5205.55</v>
      </c>
      <c r="L79" s="4">
        <v>235055</v>
      </c>
      <c r="M79" s="3">
        <v>1577996886.2</v>
      </c>
      <c r="N79" s="4">
        <v>31388</v>
      </c>
      <c r="O79">
        <f t="shared" si="1"/>
        <v>-6.4826215306108392E-3</v>
      </c>
    </row>
    <row r="80" spans="1:15" ht="14.25" customHeight="1" x14ac:dyDescent="0.3">
      <c r="A80" s="2">
        <v>45587</v>
      </c>
      <c r="B80" t="s">
        <v>15</v>
      </c>
      <c r="C80" s="3">
        <v>6727</v>
      </c>
      <c r="D80" s="3">
        <v>6755</v>
      </c>
      <c r="E80" s="3">
        <v>6632.3</v>
      </c>
      <c r="F80" s="3">
        <v>6697.4</v>
      </c>
      <c r="G80" s="3">
        <v>6654</v>
      </c>
      <c r="H80" s="3">
        <v>6662.4</v>
      </c>
      <c r="I80" s="3">
        <v>6695.64</v>
      </c>
      <c r="J80" s="3">
        <v>7107.45</v>
      </c>
      <c r="K80" s="3">
        <v>5205.55</v>
      </c>
      <c r="L80" s="4">
        <v>380997</v>
      </c>
      <c r="M80" s="3">
        <v>2551019719.75</v>
      </c>
      <c r="N80" s="4">
        <v>41721</v>
      </c>
      <c r="O80">
        <f t="shared" si="1"/>
        <v>-5.225908561531341E-3</v>
      </c>
    </row>
    <row r="81" spans="1:15" ht="14.25" customHeight="1" x14ac:dyDescent="0.3">
      <c r="A81" s="2">
        <v>45588</v>
      </c>
      <c r="B81" t="s">
        <v>15</v>
      </c>
      <c r="C81" s="3">
        <v>6659.35</v>
      </c>
      <c r="D81" s="3">
        <v>6688.1</v>
      </c>
      <c r="E81" s="3">
        <v>6590</v>
      </c>
      <c r="F81" s="3">
        <v>6662.4</v>
      </c>
      <c r="G81" s="3">
        <v>6618</v>
      </c>
      <c r="H81" s="3">
        <v>6607.9</v>
      </c>
      <c r="I81" s="3">
        <v>6636.26</v>
      </c>
      <c r="J81" s="3">
        <v>7107.45</v>
      </c>
      <c r="K81" s="3">
        <v>5205.55</v>
      </c>
      <c r="L81" s="4">
        <v>309772</v>
      </c>
      <c r="M81" s="3">
        <v>2055726247.45</v>
      </c>
      <c r="N81" s="4">
        <v>36284</v>
      </c>
      <c r="O81">
        <f t="shared" si="1"/>
        <v>-8.1802353506244003E-3</v>
      </c>
    </row>
    <row r="82" spans="1:15" ht="14.25" customHeight="1" x14ac:dyDescent="0.3">
      <c r="A82" s="2">
        <v>45589</v>
      </c>
      <c r="B82" t="s">
        <v>15</v>
      </c>
      <c r="C82" s="3">
        <v>6644</v>
      </c>
      <c r="D82" s="3">
        <v>6644</v>
      </c>
      <c r="E82" s="3">
        <v>6569.2</v>
      </c>
      <c r="F82" s="3">
        <v>6607.9</v>
      </c>
      <c r="G82" s="3">
        <v>6585.4</v>
      </c>
      <c r="H82" s="3">
        <v>6582.7</v>
      </c>
      <c r="I82" s="3">
        <v>6595.39</v>
      </c>
      <c r="J82" s="3">
        <v>7107.45</v>
      </c>
      <c r="K82" s="3">
        <v>5205.55</v>
      </c>
      <c r="L82" s="4">
        <v>317461</v>
      </c>
      <c r="M82" s="3">
        <v>2093778959</v>
      </c>
      <c r="N82" s="4">
        <v>44382</v>
      </c>
      <c r="O82">
        <f t="shared" si="1"/>
        <v>-3.8136170341560587E-3</v>
      </c>
    </row>
    <row r="83" spans="1:15" ht="14.25" customHeight="1" x14ac:dyDescent="0.3">
      <c r="A83" s="2">
        <v>45590</v>
      </c>
      <c r="B83" t="s">
        <v>15</v>
      </c>
      <c r="C83" s="3">
        <v>6570</v>
      </c>
      <c r="D83" s="3">
        <v>6582</v>
      </c>
      <c r="E83" s="3">
        <v>6450.1</v>
      </c>
      <c r="F83" s="3">
        <v>6582.7</v>
      </c>
      <c r="G83" s="3">
        <v>6510</v>
      </c>
      <c r="H83" s="3">
        <v>6514.7</v>
      </c>
      <c r="I83" s="3">
        <v>6506.2</v>
      </c>
      <c r="J83" s="3">
        <v>7107.45</v>
      </c>
      <c r="K83" s="3">
        <v>5205.55</v>
      </c>
      <c r="L83" s="4">
        <v>257166</v>
      </c>
      <c r="M83" s="3">
        <v>1673174189.75</v>
      </c>
      <c r="N83" s="4">
        <v>42997</v>
      </c>
      <c r="O83">
        <f t="shared" si="1"/>
        <v>-1.0330107706564177E-2</v>
      </c>
    </row>
    <row r="84" spans="1:15" ht="14.25" customHeight="1" x14ac:dyDescent="0.3">
      <c r="A84" s="2">
        <v>45593</v>
      </c>
      <c r="B84" t="s">
        <v>15</v>
      </c>
      <c r="C84" s="3">
        <v>1320</v>
      </c>
      <c r="D84" s="3">
        <v>1325.9</v>
      </c>
      <c r="E84" s="3">
        <v>1290.25</v>
      </c>
      <c r="F84" s="3">
        <v>6514.7</v>
      </c>
      <c r="G84" s="3">
        <v>1318</v>
      </c>
      <c r="H84" s="3">
        <v>1311.5</v>
      </c>
      <c r="I84" s="3">
        <v>1310.7</v>
      </c>
      <c r="J84" s="3">
        <v>7107.45</v>
      </c>
      <c r="K84" s="3">
        <v>1290.25</v>
      </c>
      <c r="L84" s="4">
        <v>829374</v>
      </c>
      <c r="M84" s="3">
        <v>1087062728.75</v>
      </c>
      <c r="N84" s="4">
        <v>78189</v>
      </c>
      <c r="O84">
        <f t="shared" si="1"/>
        <v>-0.79868604847498736</v>
      </c>
    </row>
    <row r="85" spans="1:15" ht="14.25" customHeight="1" x14ac:dyDescent="0.3">
      <c r="A85" s="2">
        <v>45594</v>
      </c>
      <c r="B85" t="s">
        <v>15</v>
      </c>
      <c r="C85" s="3">
        <v>1327</v>
      </c>
      <c r="D85" s="3">
        <v>1335.4</v>
      </c>
      <c r="E85" s="3">
        <v>1263.5</v>
      </c>
      <c r="F85" s="3">
        <v>1311.5</v>
      </c>
      <c r="G85" s="3">
        <v>1278.5</v>
      </c>
      <c r="H85" s="3">
        <v>1274.7</v>
      </c>
      <c r="I85" s="3">
        <v>1281.8</v>
      </c>
      <c r="J85" s="3">
        <v>7107.45</v>
      </c>
      <c r="K85" s="3">
        <v>1263.5</v>
      </c>
      <c r="L85" s="4">
        <v>1443741</v>
      </c>
      <c r="M85" s="3">
        <v>1850585542</v>
      </c>
      <c r="N85" s="4">
        <v>96911</v>
      </c>
      <c r="O85">
        <f t="shared" si="1"/>
        <v>-2.8059473884864624E-2</v>
      </c>
    </row>
    <row r="86" spans="1:15" ht="14.25" customHeight="1" x14ac:dyDescent="0.3">
      <c r="A86" s="2">
        <v>45595</v>
      </c>
      <c r="B86" t="s">
        <v>15</v>
      </c>
      <c r="C86" s="3">
        <v>1273</v>
      </c>
      <c r="D86" s="3">
        <v>1273</v>
      </c>
      <c r="E86" s="3">
        <v>1228.8</v>
      </c>
      <c r="F86" s="3">
        <v>1274.7</v>
      </c>
      <c r="G86" s="3">
        <v>1251</v>
      </c>
      <c r="H86" s="3">
        <v>1249.8499999999999</v>
      </c>
      <c r="I86" s="3">
        <v>1246.83</v>
      </c>
      <c r="J86" s="3">
        <v>7107.45</v>
      </c>
      <c r="K86" s="3">
        <v>1228.8</v>
      </c>
      <c r="L86" s="4">
        <v>2065575</v>
      </c>
      <c r="M86" s="3">
        <v>2575426220.5</v>
      </c>
      <c r="N86" s="4">
        <v>113568</v>
      </c>
      <c r="O86">
        <f t="shared" si="1"/>
        <v>-1.949478308621647E-2</v>
      </c>
    </row>
    <row r="87" spans="1:15" ht="14.25" customHeight="1" x14ac:dyDescent="0.3">
      <c r="A87" s="2">
        <v>45596</v>
      </c>
      <c r="B87" t="s">
        <v>15</v>
      </c>
      <c r="C87" s="3">
        <v>1258.5999999999999</v>
      </c>
      <c r="D87" s="3">
        <v>1283.6500000000001</v>
      </c>
      <c r="E87" s="3">
        <v>1248</v>
      </c>
      <c r="F87" s="3">
        <v>1249.8499999999999</v>
      </c>
      <c r="G87" s="3">
        <v>1274</v>
      </c>
      <c r="H87" s="3">
        <v>1274.2</v>
      </c>
      <c r="I87" s="3">
        <v>1268.3900000000001</v>
      </c>
      <c r="J87" s="3">
        <v>7107.45</v>
      </c>
      <c r="K87" s="3">
        <v>1228.8</v>
      </c>
      <c r="L87" s="4">
        <v>1902206</v>
      </c>
      <c r="M87" s="3">
        <v>2412743357.5</v>
      </c>
      <c r="N87" s="4">
        <v>123913</v>
      </c>
      <c r="O87">
        <f t="shared" si="1"/>
        <v>1.9482337880545778E-2</v>
      </c>
    </row>
    <row r="88" spans="1:15" ht="14.25" customHeight="1" x14ac:dyDescent="0.3">
      <c r="A88" s="2">
        <v>45597</v>
      </c>
      <c r="B88" t="s">
        <v>15</v>
      </c>
      <c r="C88" s="3">
        <v>1280</v>
      </c>
      <c r="D88" s="3">
        <v>1289</v>
      </c>
      <c r="E88" s="3">
        <v>1201.8</v>
      </c>
      <c r="F88" s="3">
        <v>1274.2</v>
      </c>
      <c r="G88" s="3">
        <v>1262</v>
      </c>
      <c r="H88" s="3">
        <v>1259.5999999999999</v>
      </c>
      <c r="I88" s="3">
        <v>1261.3399999999999</v>
      </c>
      <c r="J88" s="3">
        <v>7107.45</v>
      </c>
      <c r="K88" s="3">
        <v>1201.8</v>
      </c>
      <c r="L88" s="4">
        <v>540201</v>
      </c>
      <c r="M88" s="3">
        <v>681375559.04999995</v>
      </c>
      <c r="N88" s="4">
        <v>42555</v>
      </c>
      <c r="O88">
        <f t="shared" si="1"/>
        <v>-1.145816983205159E-2</v>
      </c>
    </row>
    <row r="89" spans="1:15" ht="14.25" customHeight="1" x14ac:dyDescent="0.3">
      <c r="A89" s="2">
        <v>45600</v>
      </c>
      <c r="B89" t="s">
        <v>15</v>
      </c>
      <c r="C89" s="3">
        <v>1259.5999999999999</v>
      </c>
      <c r="D89" s="3">
        <v>1276.9000000000001</v>
      </c>
      <c r="E89" s="3">
        <v>1250.55</v>
      </c>
      <c r="F89" s="3">
        <v>1259.5999999999999</v>
      </c>
      <c r="G89" s="3">
        <v>1269.95</v>
      </c>
      <c r="H89" s="3">
        <v>1268.3</v>
      </c>
      <c r="I89" s="3">
        <v>1265.23</v>
      </c>
      <c r="J89" s="3">
        <v>7107.45</v>
      </c>
      <c r="K89" s="3">
        <v>1201.8</v>
      </c>
      <c r="L89" s="4">
        <v>1771490</v>
      </c>
      <c r="M89" s="3">
        <v>2241342595.5999999</v>
      </c>
      <c r="N89" s="4">
        <v>90756</v>
      </c>
      <c r="O89">
        <f t="shared" si="1"/>
        <v>6.9069545887583727E-3</v>
      </c>
    </row>
    <row r="90" spans="1:15" ht="14.25" customHeight="1" x14ac:dyDescent="0.3">
      <c r="A90" s="2">
        <v>45601</v>
      </c>
      <c r="B90" t="s">
        <v>15</v>
      </c>
      <c r="C90" s="3">
        <v>1265.0999999999999</v>
      </c>
      <c r="D90" s="3">
        <v>1279</v>
      </c>
      <c r="E90" s="3">
        <v>1241.25</v>
      </c>
      <c r="F90" s="3">
        <v>1268.3</v>
      </c>
      <c r="G90" s="3">
        <v>1276.9000000000001</v>
      </c>
      <c r="H90" s="3">
        <v>1272.2</v>
      </c>
      <c r="I90" s="3">
        <v>1263.06</v>
      </c>
      <c r="J90" s="3">
        <v>7107.45</v>
      </c>
      <c r="K90" s="3">
        <v>1201.8</v>
      </c>
      <c r="L90" s="4">
        <v>1603920</v>
      </c>
      <c r="M90" s="3">
        <v>2025841909.7</v>
      </c>
      <c r="N90" s="4">
        <v>79480</v>
      </c>
      <c r="O90">
        <f t="shared" si="1"/>
        <v>3.0749822597178041E-3</v>
      </c>
    </row>
    <row r="91" spans="1:15" ht="14.25" customHeight="1" x14ac:dyDescent="0.3">
      <c r="A91" s="2">
        <v>45602</v>
      </c>
      <c r="B91" t="s">
        <v>15</v>
      </c>
      <c r="C91" s="3">
        <v>1274</v>
      </c>
      <c r="D91" s="3">
        <v>1321.9</v>
      </c>
      <c r="E91" s="3">
        <v>1251.5999999999999</v>
      </c>
      <c r="F91" s="3">
        <v>1272.2</v>
      </c>
      <c r="G91" s="3">
        <v>1300.45</v>
      </c>
      <c r="H91" s="3">
        <v>1302.0999999999999</v>
      </c>
      <c r="I91" s="3">
        <v>1300.52</v>
      </c>
      <c r="J91" s="3">
        <v>7107.45</v>
      </c>
      <c r="K91" s="3">
        <v>1201.8</v>
      </c>
      <c r="L91" s="4">
        <v>3908554</v>
      </c>
      <c r="M91" s="3">
        <v>5083153704.6999998</v>
      </c>
      <c r="N91" s="4">
        <v>137019</v>
      </c>
      <c r="O91">
        <f t="shared" si="1"/>
        <v>2.3502593931771627E-2</v>
      </c>
    </row>
    <row r="92" spans="1:15" ht="14.25" customHeight="1" x14ac:dyDescent="0.3">
      <c r="A92" s="2">
        <v>45603</v>
      </c>
      <c r="B92" t="s">
        <v>15</v>
      </c>
      <c r="C92" s="3">
        <v>1304.95</v>
      </c>
      <c r="D92" s="3">
        <v>1309</v>
      </c>
      <c r="E92" s="3">
        <v>1280.55</v>
      </c>
      <c r="F92" s="3">
        <v>1302.0999999999999</v>
      </c>
      <c r="G92" s="3">
        <v>1288</v>
      </c>
      <c r="H92" s="3">
        <v>1287.3499999999999</v>
      </c>
      <c r="I92" s="3">
        <v>1291.1099999999999</v>
      </c>
      <c r="J92" s="3">
        <v>7107.45</v>
      </c>
      <c r="K92" s="3">
        <v>1201.8</v>
      </c>
      <c r="L92" s="4">
        <v>1479152</v>
      </c>
      <c r="M92" s="3">
        <v>1909746399.25</v>
      </c>
      <c r="N92" s="4">
        <v>105639</v>
      </c>
      <c r="O92">
        <f t="shared" si="1"/>
        <v>-1.1327855003455957E-2</v>
      </c>
    </row>
    <row r="93" spans="1:15" ht="14.25" customHeight="1" x14ac:dyDescent="0.3">
      <c r="A93" s="2">
        <v>45604</v>
      </c>
      <c r="B93" t="s">
        <v>15</v>
      </c>
      <c r="C93" s="3">
        <v>1292.8</v>
      </c>
      <c r="D93" s="3">
        <v>1293</v>
      </c>
      <c r="E93" s="3">
        <v>1259.1500000000001</v>
      </c>
      <c r="F93" s="3">
        <v>1287.3499999999999</v>
      </c>
      <c r="G93" s="3">
        <v>1280</v>
      </c>
      <c r="H93" s="3">
        <v>1283.6500000000001</v>
      </c>
      <c r="I93" s="3">
        <v>1275.4000000000001</v>
      </c>
      <c r="J93" s="3">
        <v>7107.45</v>
      </c>
      <c r="K93" s="3">
        <v>1201.8</v>
      </c>
      <c r="L93" s="4">
        <v>1328199</v>
      </c>
      <c r="M93" s="3">
        <v>1693989267.55</v>
      </c>
      <c r="N93" s="4">
        <v>72617</v>
      </c>
      <c r="O93">
        <f t="shared" si="1"/>
        <v>-2.8741212568453166E-3</v>
      </c>
    </row>
    <row r="94" spans="1:15" ht="14.25" customHeight="1" x14ac:dyDescent="0.3">
      <c r="A94" s="2">
        <v>45607</v>
      </c>
      <c r="B94" t="s">
        <v>15</v>
      </c>
      <c r="C94" s="3">
        <v>1284</v>
      </c>
      <c r="D94" s="3">
        <v>1295.25</v>
      </c>
      <c r="E94" s="3">
        <v>1262.1500000000001</v>
      </c>
      <c r="F94" s="3">
        <v>1283.6500000000001</v>
      </c>
      <c r="G94" s="3">
        <v>1286.2</v>
      </c>
      <c r="H94" s="3">
        <v>1287.9000000000001</v>
      </c>
      <c r="I94" s="3">
        <v>1286.25</v>
      </c>
      <c r="J94" s="3">
        <v>7107.45</v>
      </c>
      <c r="K94" s="3">
        <v>1201.8</v>
      </c>
      <c r="L94" s="4">
        <v>1175591</v>
      </c>
      <c r="M94" s="3">
        <v>1512109270.5999999</v>
      </c>
      <c r="N94" s="4">
        <v>96347</v>
      </c>
      <c r="O94">
        <f t="shared" si="1"/>
        <v>3.3108713434347368E-3</v>
      </c>
    </row>
    <row r="95" spans="1:15" ht="14.25" customHeight="1" x14ac:dyDescent="0.3">
      <c r="A95" s="2">
        <v>45608</v>
      </c>
      <c r="B95" t="s">
        <v>15</v>
      </c>
      <c r="C95" s="3">
        <v>1287.8499999999999</v>
      </c>
      <c r="D95" s="3">
        <v>1288.4000000000001</v>
      </c>
      <c r="E95" s="3">
        <v>1258.3</v>
      </c>
      <c r="F95" s="3">
        <v>1287.9000000000001</v>
      </c>
      <c r="G95" s="3">
        <v>1258.3499999999999</v>
      </c>
      <c r="H95" s="3">
        <v>1263.9000000000001</v>
      </c>
      <c r="I95" s="3">
        <v>1273.26</v>
      </c>
      <c r="J95" s="3">
        <v>7107.45</v>
      </c>
      <c r="K95" s="3">
        <v>1201.8</v>
      </c>
      <c r="L95" s="4">
        <v>1110785</v>
      </c>
      <c r="M95" s="3">
        <v>1414314928.75</v>
      </c>
      <c r="N95" s="4">
        <v>92808</v>
      </c>
      <c r="O95">
        <f t="shared" si="1"/>
        <v>-1.8634987188446306E-2</v>
      </c>
    </row>
    <row r="96" spans="1:15" ht="14.25" customHeight="1" x14ac:dyDescent="0.3">
      <c r="A96" s="2">
        <v>45609</v>
      </c>
      <c r="B96" t="s">
        <v>15</v>
      </c>
      <c r="C96" s="3">
        <v>1258</v>
      </c>
      <c r="D96" s="3">
        <v>1265.05</v>
      </c>
      <c r="E96" s="3">
        <v>1238.3</v>
      </c>
      <c r="F96" s="3">
        <v>1263.9000000000001</v>
      </c>
      <c r="G96" s="3">
        <v>1245.8</v>
      </c>
      <c r="H96" s="3">
        <v>1245</v>
      </c>
      <c r="I96" s="3">
        <v>1247.33</v>
      </c>
      <c r="J96" s="3">
        <v>7107.45</v>
      </c>
      <c r="K96" s="3">
        <v>1201.8</v>
      </c>
      <c r="L96" s="4">
        <v>995217</v>
      </c>
      <c r="M96" s="3">
        <v>1241360858.2</v>
      </c>
      <c r="N96" s="4">
        <v>80657</v>
      </c>
      <c r="O96">
        <f t="shared" si="1"/>
        <v>-1.4953714692618157E-2</v>
      </c>
    </row>
    <row r="97" spans="1:15" ht="14.25" customHeight="1" x14ac:dyDescent="0.3">
      <c r="A97" s="2">
        <v>45610</v>
      </c>
      <c r="B97" t="s">
        <v>15</v>
      </c>
      <c r="C97" s="3">
        <v>1249.9000000000001</v>
      </c>
      <c r="D97" s="3">
        <v>1253</v>
      </c>
      <c r="E97" s="3">
        <v>1222.2</v>
      </c>
      <c r="F97" s="3">
        <v>1245</v>
      </c>
      <c r="G97" s="3">
        <v>1228.8</v>
      </c>
      <c r="H97" s="3">
        <v>1226.7</v>
      </c>
      <c r="I97" s="3">
        <v>1231.53</v>
      </c>
      <c r="J97" s="3">
        <v>7107.45</v>
      </c>
      <c r="K97" s="3">
        <v>1201.8</v>
      </c>
      <c r="L97" s="4">
        <v>1346891</v>
      </c>
      <c r="M97" s="3">
        <v>1658739660.5</v>
      </c>
      <c r="N97" s="4">
        <v>102788</v>
      </c>
      <c r="O97">
        <f t="shared" si="1"/>
        <v>-1.4698795180722856E-2</v>
      </c>
    </row>
    <row r="98" spans="1:15" ht="14.25" customHeight="1" x14ac:dyDescent="0.3">
      <c r="A98" s="2">
        <v>45614</v>
      </c>
      <c r="B98" t="s">
        <v>15</v>
      </c>
      <c r="C98" s="3">
        <v>1206.0999999999999</v>
      </c>
      <c r="D98" s="3">
        <v>1219.8</v>
      </c>
      <c r="E98" s="3">
        <v>1170.2</v>
      </c>
      <c r="F98" s="3">
        <v>1226.7</v>
      </c>
      <c r="G98" s="3">
        <v>1193</v>
      </c>
      <c r="H98" s="3">
        <v>1193.55</v>
      </c>
      <c r="I98" s="3">
        <v>1194.01</v>
      </c>
      <c r="J98" s="3">
        <v>7107.45</v>
      </c>
      <c r="K98" s="3">
        <v>1170.2</v>
      </c>
      <c r="L98" s="4">
        <v>3367815</v>
      </c>
      <c r="M98" s="3">
        <v>4021215420.6999998</v>
      </c>
      <c r="N98" s="4">
        <v>216575</v>
      </c>
      <c r="O98">
        <f t="shared" si="1"/>
        <v>-2.7023722181462533E-2</v>
      </c>
    </row>
    <row r="99" spans="1:15" ht="14.25" customHeight="1" x14ac:dyDescent="0.3">
      <c r="A99" s="2">
        <v>45615</v>
      </c>
      <c r="B99" t="s">
        <v>15</v>
      </c>
      <c r="C99" s="3">
        <v>1193</v>
      </c>
      <c r="D99" s="3">
        <v>1232</v>
      </c>
      <c r="E99" s="3">
        <v>1186.25</v>
      </c>
      <c r="F99" s="3">
        <v>1193.55</v>
      </c>
      <c r="G99" s="3">
        <v>1213.4000000000001</v>
      </c>
      <c r="H99" s="3">
        <v>1213.45</v>
      </c>
      <c r="I99" s="3">
        <v>1215.75</v>
      </c>
      <c r="J99" s="3">
        <v>7107.45</v>
      </c>
      <c r="K99" s="3">
        <v>1170.2</v>
      </c>
      <c r="L99" s="4">
        <v>1509716</v>
      </c>
      <c r="M99" s="3">
        <v>1835444446.9000001</v>
      </c>
      <c r="N99" s="4">
        <v>96924</v>
      </c>
      <c r="O99">
        <f t="shared" si="1"/>
        <v>1.6672950441958941E-2</v>
      </c>
    </row>
    <row r="100" spans="1:15" ht="14.25" customHeight="1" x14ac:dyDescent="0.3">
      <c r="A100" s="2">
        <v>45617</v>
      </c>
      <c r="B100" t="s">
        <v>15</v>
      </c>
      <c r="C100" s="3">
        <v>1174.9000000000001</v>
      </c>
      <c r="D100" s="3">
        <v>1206.7</v>
      </c>
      <c r="E100" s="3">
        <v>1172.5</v>
      </c>
      <c r="F100" s="3">
        <v>1213.45</v>
      </c>
      <c r="G100" s="3">
        <v>1192.8</v>
      </c>
      <c r="H100" s="3">
        <v>1195.3499999999999</v>
      </c>
      <c r="I100" s="3">
        <v>1191.08</v>
      </c>
      <c r="J100" s="3">
        <v>7107.45</v>
      </c>
      <c r="K100" s="3">
        <v>1170.2</v>
      </c>
      <c r="L100" s="4">
        <v>2121476</v>
      </c>
      <c r="M100" s="3">
        <v>2526843581.0999999</v>
      </c>
      <c r="N100" s="4">
        <v>111315</v>
      </c>
      <c r="O100">
        <f t="shared" si="1"/>
        <v>-1.4916148172565936E-2</v>
      </c>
    </row>
    <row r="101" spans="1:15" ht="14.25" customHeight="1" x14ac:dyDescent="0.3">
      <c r="A101" s="2">
        <v>45618</v>
      </c>
      <c r="B101" t="s">
        <v>15</v>
      </c>
      <c r="C101" s="3">
        <v>1199</v>
      </c>
      <c r="D101" s="3">
        <v>1223.2</v>
      </c>
      <c r="E101" s="3">
        <v>1193.5999999999999</v>
      </c>
      <c r="F101" s="3">
        <v>1195.3499999999999</v>
      </c>
      <c r="G101" s="3">
        <v>1214</v>
      </c>
      <c r="H101" s="3">
        <v>1214.45</v>
      </c>
      <c r="I101" s="3">
        <v>1210.3499999999999</v>
      </c>
      <c r="J101" s="3">
        <v>7107.45</v>
      </c>
      <c r="K101" s="3">
        <v>1170.2</v>
      </c>
      <c r="L101" s="4">
        <v>763755</v>
      </c>
      <c r="M101" s="3">
        <v>924407210.39999998</v>
      </c>
      <c r="N101" s="4">
        <v>68079</v>
      </c>
      <c r="O101">
        <f t="shared" si="1"/>
        <v>1.5978583678420661E-2</v>
      </c>
    </row>
    <row r="102" spans="1:15" ht="14.25" customHeight="1" x14ac:dyDescent="0.3">
      <c r="A102" s="2">
        <v>45621</v>
      </c>
      <c r="B102" t="s">
        <v>15</v>
      </c>
      <c r="C102" s="3">
        <v>1233.95</v>
      </c>
      <c r="D102" s="3">
        <v>1247</v>
      </c>
      <c r="E102" s="3">
        <v>1205.75</v>
      </c>
      <c r="F102" s="3">
        <v>1214.45</v>
      </c>
      <c r="G102" s="3">
        <v>1215</v>
      </c>
      <c r="H102" s="3">
        <v>1209.3</v>
      </c>
      <c r="I102" s="3">
        <v>1211.96</v>
      </c>
      <c r="J102" s="3">
        <v>7107.45</v>
      </c>
      <c r="K102" s="3">
        <v>1170.2</v>
      </c>
      <c r="L102" s="4">
        <v>3280431</v>
      </c>
      <c r="M102" s="3">
        <v>3975763642.9000001</v>
      </c>
      <c r="N102" s="4">
        <v>85074</v>
      </c>
      <c r="O102">
        <f t="shared" si="1"/>
        <v>-4.2406027419820422E-3</v>
      </c>
    </row>
    <row r="103" spans="1:15" ht="14.25" customHeight="1" x14ac:dyDescent="0.3">
      <c r="A103" s="2">
        <v>45622</v>
      </c>
      <c r="B103" t="s">
        <v>15</v>
      </c>
      <c r="C103" s="3">
        <v>1209</v>
      </c>
      <c r="D103" s="3">
        <v>1218.3499999999999</v>
      </c>
      <c r="E103" s="3">
        <v>1203.2</v>
      </c>
      <c r="F103" s="3">
        <v>1209.3</v>
      </c>
      <c r="G103" s="3">
        <v>1212</v>
      </c>
      <c r="H103" s="3">
        <v>1208.6500000000001</v>
      </c>
      <c r="I103" s="3">
        <v>1211.05</v>
      </c>
      <c r="J103" s="3">
        <v>7107.45</v>
      </c>
      <c r="K103" s="3">
        <v>1170.2</v>
      </c>
      <c r="L103" s="4">
        <v>1190121</v>
      </c>
      <c r="M103" s="3">
        <v>1441300858.55</v>
      </c>
      <c r="N103" s="4">
        <v>52990</v>
      </c>
      <c r="O103">
        <f t="shared" si="1"/>
        <v>-5.3750103365572113E-4</v>
      </c>
    </row>
    <row r="104" spans="1:15" ht="14.25" customHeight="1" x14ac:dyDescent="0.3">
      <c r="A104" s="2">
        <v>45623</v>
      </c>
      <c r="B104" t="s">
        <v>15</v>
      </c>
      <c r="C104" s="3">
        <v>1212</v>
      </c>
      <c r="D104" s="3">
        <v>1215.5999999999999</v>
      </c>
      <c r="E104" s="3">
        <v>1198.05</v>
      </c>
      <c r="F104" s="3">
        <v>1208.6500000000001</v>
      </c>
      <c r="G104" s="3">
        <v>1201.95</v>
      </c>
      <c r="H104" s="3">
        <v>1199.9000000000001</v>
      </c>
      <c r="I104" s="3">
        <v>1201.92</v>
      </c>
      <c r="J104" s="3">
        <v>7107.45</v>
      </c>
      <c r="K104" s="3">
        <v>1170.2</v>
      </c>
      <c r="L104" s="4">
        <v>1402977</v>
      </c>
      <c r="M104" s="3">
        <v>1686259328.3</v>
      </c>
      <c r="N104" s="4">
        <v>69751</v>
      </c>
      <c r="O104">
        <f t="shared" si="1"/>
        <v>-7.239482066768708E-3</v>
      </c>
    </row>
    <row r="105" spans="1:15" ht="14.25" customHeight="1" x14ac:dyDescent="0.3">
      <c r="A105" s="2">
        <v>45624</v>
      </c>
      <c r="B105" t="s">
        <v>15</v>
      </c>
      <c r="C105" s="3">
        <v>1209.05</v>
      </c>
      <c r="D105" s="3">
        <v>1209.9000000000001</v>
      </c>
      <c r="E105" s="3">
        <v>1188.45</v>
      </c>
      <c r="F105" s="3">
        <v>1199.9000000000001</v>
      </c>
      <c r="G105" s="3">
        <v>1197.8499999999999</v>
      </c>
      <c r="H105" s="3">
        <v>1191.95</v>
      </c>
      <c r="I105" s="3">
        <v>1193.31</v>
      </c>
      <c r="J105" s="3">
        <v>7107.45</v>
      </c>
      <c r="K105" s="3">
        <v>1170.2</v>
      </c>
      <c r="L105" s="4">
        <v>2819269</v>
      </c>
      <c r="M105" s="3">
        <v>3364263186.9499998</v>
      </c>
      <c r="N105" s="4">
        <v>111234</v>
      </c>
      <c r="O105">
        <f t="shared" si="1"/>
        <v>-6.6255521293441498E-3</v>
      </c>
    </row>
    <row r="106" spans="1:15" ht="14.25" customHeight="1" x14ac:dyDescent="0.3">
      <c r="A106" s="2">
        <v>45625</v>
      </c>
      <c r="B106" t="s">
        <v>15</v>
      </c>
      <c r="C106" s="3">
        <v>1206</v>
      </c>
      <c r="D106" s="3">
        <v>1219.3499999999999</v>
      </c>
      <c r="E106" s="3">
        <v>1198.6500000000001</v>
      </c>
      <c r="F106" s="3">
        <v>1191.95</v>
      </c>
      <c r="G106" s="3">
        <v>1202.45</v>
      </c>
      <c r="H106" s="3">
        <v>1202.3</v>
      </c>
      <c r="I106" s="3">
        <v>1204.8599999999999</v>
      </c>
      <c r="J106" s="3">
        <v>7107.45</v>
      </c>
      <c r="K106" s="3">
        <v>1170.2</v>
      </c>
      <c r="L106" s="4">
        <v>2535820</v>
      </c>
      <c r="M106" s="3">
        <v>3055297284.0500002</v>
      </c>
      <c r="N106" s="4">
        <v>88559</v>
      </c>
      <c r="O106">
        <f t="shared" si="1"/>
        <v>8.683250136331146E-3</v>
      </c>
    </row>
    <row r="107" spans="1:15" ht="14.25" customHeight="1" x14ac:dyDescent="0.3">
      <c r="A107" s="2">
        <v>45628</v>
      </c>
      <c r="B107" t="s">
        <v>15</v>
      </c>
      <c r="C107" s="3">
        <v>1214.25</v>
      </c>
      <c r="D107" s="3">
        <v>1225.25</v>
      </c>
      <c r="E107" s="3">
        <v>1202.3</v>
      </c>
      <c r="F107" s="3">
        <v>1202.3</v>
      </c>
      <c r="G107" s="3">
        <v>1221</v>
      </c>
      <c r="H107" s="3">
        <v>1221.75</v>
      </c>
      <c r="I107" s="3">
        <v>1219.45</v>
      </c>
      <c r="J107" s="3">
        <v>7107.45</v>
      </c>
      <c r="K107" s="3">
        <v>1170.2</v>
      </c>
      <c r="L107" s="4">
        <v>1826479</v>
      </c>
      <c r="M107" s="3">
        <v>2227294129.5</v>
      </c>
      <c r="N107" s="4">
        <v>91338</v>
      </c>
      <c r="O107">
        <f t="shared" si="1"/>
        <v>1.6177326790318594E-2</v>
      </c>
    </row>
    <row r="108" spans="1:15" ht="14.25" customHeight="1" x14ac:dyDescent="0.3">
      <c r="A108" s="2">
        <v>45629</v>
      </c>
      <c r="B108" t="s">
        <v>15</v>
      </c>
      <c r="C108" s="3">
        <v>1229</v>
      </c>
      <c r="D108" s="3">
        <v>1229</v>
      </c>
      <c r="E108" s="3">
        <v>1217.55</v>
      </c>
      <c r="F108" s="3">
        <v>1221.75</v>
      </c>
      <c r="G108" s="3">
        <v>1224</v>
      </c>
      <c r="H108" s="3">
        <v>1224.5</v>
      </c>
      <c r="I108" s="3">
        <v>1223.43</v>
      </c>
      <c r="J108" s="3">
        <v>7107.45</v>
      </c>
      <c r="K108" s="3">
        <v>1170.2</v>
      </c>
      <c r="L108" s="4">
        <v>2237453</v>
      </c>
      <c r="M108" s="3">
        <v>2737371065.75</v>
      </c>
      <c r="N108" s="4">
        <v>94324</v>
      </c>
      <c r="O108">
        <f t="shared" si="1"/>
        <v>2.2508696541845715E-3</v>
      </c>
    </row>
    <row r="109" spans="1:15" ht="14.25" customHeight="1" x14ac:dyDescent="0.3">
      <c r="A109" s="2">
        <v>45630</v>
      </c>
      <c r="B109" t="s">
        <v>15</v>
      </c>
      <c r="C109" s="3">
        <v>1224.5</v>
      </c>
      <c r="D109" s="3">
        <v>1229.0999999999999</v>
      </c>
      <c r="E109" s="3">
        <v>1209.5999999999999</v>
      </c>
      <c r="F109" s="3">
        <v>1224.5</v>
      </c>
      <c r="G109" s="3">
        <v>1216.5</v>
      </c>
      <c r="H109" s="3">
        <v>1215.55</v>
      </c>
      <c r="I109" s="3">
        <v>1216.2</v>
      </c>
      <c r="J109" s="3">
        <v>7107.45</v>
      </c>
      <c r="K109" s="3">
        <v>1170.2</v>
      </c>
      <c r="L109" s="4">
        <v>1435443</v>
      </c>
      <c r="M109" s="3">
        <v>1745787836.25</v>
      </c>
      <c r="N109" s="4">
        <v>64137</v>
      </c>
      <c r="O109">
        <f t="shared" si="1"/>
        <v>-7.3091057574520583E-3</v>
      </c>
    </row>
    <row r="110" spans="1:15" ht="14.25" customHeight="1" x14ac:dyDescent="0.3">
      <c r="A110" s="2">
        <v>45631</v>
      </c>
      <c r="B110" t="s">
        <v>15</v>
      </c>
      <c r="C110" s="3">
        <v>1216.55</v>
      </c>
      <c r="D110" s="3">
        <v>1249.5</v>
      </c>
      <c r="E110" s="3">
        <v>1210.0999999999999</v>
      </c>
      <c r="F110" s="3">
        <v>1215.55</v>
      </c>
      <c r="G110" s="3">
        <v>1242</v>
      </c>
      <c r="H110" s="3">
        <v>1239.8499999999999</v>
      </c>
      <c r="I110" s="3">
        <v>1229.8900000000001</v>
      </c>
      <c r="J110" s="3">
        <v>7107.45</v>
      </c>
      <c r="K110" s="3">
        <v>1170.2</v>
      </c>
      <c r="L110" s="4">
        <v>3324867</v>
      </c>
      <c r="M110" s="3">
        <v>4089208864.9499998</v>
      </c>
      <c r="N110" s="4">
        <v>134192</v>
      </c>
      <c r="O110">
        <f t="shared" si="1"/>
        <v>1.9990950598494473E-2</v>
      </c>
    </row>
    <row r="111" spans="1:15" ht="14.25" customHeight="1" x14ac:dyDescent="0.3">
      <c r="A111" s="2">
        <v>45632</v>
      </c>
      <c r="B111" t="s">
        <v>15</v>
      </c>
      <c r="C111" s="3">
        <v>1246</v>
      </c>
      <c r="D111" s="3">
        <v>1255.1500000000001</v>
      </c>
      <c r="E111" s="3">
        <v>1236.3499999999999</v>
      </c>
      <c r="F111" s="3">
        <v>1239.8499999999999</v>
      </c>
      <c r="G111" s="3">
        <v>1253.55</v>
      </c>
      <c r="H111" s="3">
        <v>1253.7</v>
      </c>
      <c r="I111" s="3">
        <v>1247.49</v>
      </c>
      <c r="J111" s="3">
        <v>7107.45</v>
      </c>
      <c r="K111" s="3">
        <v>1170.2</v>
      </c>
      <c r="L111" s="4">
        <v>1717216</v>
      </c>
      <c r="M111" s="3">
        <v>2142206468.25</v>
      </c>
      <c r="N111" s="4">
        <v>70386</v>
      </c>
      <c r="O111">
        <f t="shared" si="1"/>
        <v>1.1170706133806619E-2</v>
      </c>
    </row>
    <row r="112" spans="1:15" ht="14.25" customHeight="1" x14ac:dyDescent="0.3">
      <c r="A112" s="2">
        <v>45635</v>
      </c>
      <c r="B112" t="s">
        <v>15</v>
      </c>
      <c r="C112" s="3">
        <v>1254.6500000000001</v>
      </c>
      <c r="D112" s="3">
        <v>1261.8</v>
      </c>
      <c r="E112" s="3">
        <v>1243.25</v>
      </c>
      <c r="F112" s="3">
        <v>1253.7</v>
      </c>
      <c r="G112" s="3">
        <v>1255.5</v>
      </c>
      <c r="H112" s="3">
        <v>1255.1500000000001</v>
      </c>
      <c r="I112" s="3">
        <v>1254.47</v>
      </c>
      <c r="J112" s="3">
        <v>7107.45</v>
      </c>
      <c r="K112" s="3">
        <v>1170.2</v>
      </c>
      <c r="L112" s="4">
        <v>1269332</v>
      </c>
      <c r="M112" s="3">
        <v>1592337465.95</v>
      </c>
      <c r="N112" s="4">
        <v>65338</v>
      </c>
      <c r="O112">
        <f t="shared" si="1"/>
        <v>1.1565765334609918E-3</v>
      </c>
    </row>
    <row r="113" spans="1:15" ht="14.25" customHeight="1" x14ac:dyDescent="0.3">
      <c r="A113" s="2">
        <v>45636</v>
      </c>
      <c r="B113" t="s">
        <v>15</v>
      </c>
      <c r="C113" s="3">
        <v>1250</v>
      </c>
      <c r="D113" s="3">
        <v>1253.5999999999999</v>
      </c>
      <c r="E113" s="3">
        <v>1233</v>
      </c>
      <c r="F113" s="3">
        <v>1255.1500000000001</v>
      </c>
      <c r="G113" s="3">
        <v>1238.4000000000001</v>
      </c>
      <c r="H113" s="3">
        <v>1240.3499999999999</v>
      </c>
      <c r="I113" s="3">
        <v>1240.3599999999999</v>
      </c>
      <c r="J113" s="3">
        <v>7107.45</v>
      </c>
      <c r="K113" s="3">
        <v>1170.2</v>
      </c>
      <c r="L113" s="4">
        <v>2025890</v>
      </c>
      <c r="M113" s="3">
        <v>2512827509.9000001</v>
      </c>
      <c r="N113" s="4">
        <v>63249</v>
      </c>
      <c r="O113">
        <f t="shared" si="1"/>
        <v>-1.1791419352268797E-2</v>
      </c>
    </row>
    <row r="114" spans="1:15" ht="14.25" customHeight="1" x14ac:dyDescent="0.3">
      <c r="A114" s="2">
        <v>45637</v>
      </c>
      <c r="B114" t="s">
        <v>15</v>
      </c>
      <c r="C114" s="3">
        <v>1240.3</v>
      </c>
      <c r="D114" s="3">
        <v>1243.4000000000001</v>
      </c>
      <c r="E114" s="3">
        <v>1226.7</v>
      </c>
      <c r="F114" s="3">
        <v>1240.3499999999999</v>
      </c>
      <c r="G114" s="3">
        <v>1238</v>
      </c>
      <c r="H114" s="3">
        <v>1238.55</v>
      </c>
      <c r="I114" s="3">
        <v>1237.8599999999999</v>
      </c>
      <c r="J114" s="3">
        <v>7107.45</v>
      </c>
      <c r="K114" s="3">
        <v>1170.2</v>
      </c>
      <c r="L114" s="4">
        <v>1178864</v>
      </c>
      <c r="M114" s="3">
        <v>1459264579.95</v>
      </c>
      <c r="N114" s="4">
        <v>62843</v>
      </c>
      <c r="O114">
        <f t="shared" si="1"/>
        <v>-1.451203289394086E-3</v>
      </c>
    </row>
    <row r="115" spans="1:15" ht="14.25" customHeight="1" x14ac:dyDescent="0.3">
      <c r="A115" s="2">
        <v>45638</v>
      </c>
      <c r="B115" t="s">
        <v>15</v>
      </c>
      <c r="C115" s="3">
        <v>1244.8</v>
      </c>
      <c r="D115" s="3">
        <v>1250.2</v>
      </c>
      <c r="E115" s="3">
        <v>1226.3499999999999</v>
      </c>
      <c r="F115" s="3">
        <v>1238.55</v>
      </c>
      <c r="G115" s="3">
        <v>1240.4000000000001</v>
      </c>
      <c r="H115" s="3">
        <v>1245.4000000000001</v>
      </c>
      <c r="I115" s="3">
        <v>1239.49</v>
      </c>
      <c r="J115" s="3">
        <v>7107.45</v>
      </c>
      <c r="K115" s="3">
        <v>1170.2</v>
      </c>
      <c r="L115" s="4">
        <v>1648944</v>
      </c>
      <c r="M115" s="3">
        <v>2043848890.7</v>
      </c>
      <c r="N115" s="4">
        <v>71315</v>
      </c>
      <c r="O115">
        <f t="shared" si="1"/>
        <v>5.5306608534174129E-3</v>
      </c>
    </row>
    <row r="116" spans="1:15" ht="14.25" customHeight="1" x14ac:dyDescent="0.3">
      <c r="A116" s="2">
        <v>45639</v>
      </c>
      <c r="B116" t="s">
        <v>15</v>
      </c>
      <c r="C116" s="3">
        <v>1240.3</v>
      </c>
      <c r="D116" s="3">
        <v>1250.2</v>
      </c>
      <c r="E116" s="3">
        <v>1226.45</v>
      </c>
      <c r="F116" s="3">
        <v>1245.4000000000001</v>
      </c>
      <c r="G116" s="3">
        <v>1248.9000000000001</v>
      </c>
      <c r="H116" s="3">
        <v>1246.3499999999999</v>
      </c>
      <c r="I116" s="3">
        <v>1240.9000000000001</v>
      </c>
      <c r="J116" s="3">
        <v>7107.45</v>
      </c>
      <c r="K116" s="3">
        <v>1170.2</v>
      </c>
      <c r="L116" s="4">
        <v>1258819</v>
      </c>
      <c r="M116" s="3">
        <v>1562073763.5999999</v>
      </c>
      <c r="N116" s="4">
        <v>87045</v>
      </c>
      <c r="O116">
        <f t="shared" si="1"/>
        <v>7.6280713023913448E-4</v>
      </c>
    </row>
    <row r="117" spans="1:15" ht="14.25" customHeight="1" x14ac:dyDescent="0.3">
      <c r="A117" s="2">
        <v>45642</v>
      </c>
      <c r="B117" t="s">
        <v>15</v>
      </c>
      <c r="C117" s="3">
        <v>1246.3499999999999</v>
      </c>
      <c r="D117" s="3">
        <v>1274.1500000000001</v>
      </c>
      <c r="E117" s="3">
        <v>1245.2</v>
      </c>
      <c r="F117" s="3">
        <v>1246.3499999999999</v>
      </c>
      <c r="G117" s="3">
        <v>1268</v>
      </c>
      <c r="H117" s="3">
        <v>1269.95</v>
      </c>
      <c r="I117" s="3">
        <v>1262.04</v>
      </c>
      <c r="J117" s="3">
        <v>7107.45</v>
      </c>
      <c r="K117" s="3">
        <v>1170.2</v>
      </c>
      <c r="L117" s="4">
        <v>1920945</v>
      </c>
      <c r="M117" s="3">
        <v>2424300130.4000001</v>
      </c>
      <c r="N117" s="4">
        <v>70076</v>
      </c>
      <c r="O117">
        <f t="shared" si="1"/>
        <v>1.8935291049865719E-2</v>
      </c>
    </row>
    <row r="118" spans="1:15" ht="14.25" customHeight="1" x14ac:dyDescent="0.3">
      <c r="A118" s="2">
        <v>45643</v>
      </c>
      <c r="B118" t="s">
        <v>15</v>
      </c>
      <c r="C118" s="3">
        <v>1269</v>
      </c>
      <c r="D118" s="3">
        <v>1270.95</v>
      </c>
      <c r="E118" s="3">
        <v>1243.25</v>
      </c>
      <c r="F118" s="3">
        <v>1269.95</v>
      </c>
      <c r="G118" s="3">
        <v>1251.8</v>
      </c>
      <c r="H118" s="3">
        <v>1247.6500000000001</v>
      </c>
      <c r="I118" s="3">
        <v>1255.94</v>
      </c>
      <c r="J118" s="3">
        <v>7107.45</v>
      </c>
      <c r="K118" s="3">
        <v>1170.2</v>
      </c>
      <c r="L118" s="4">
        <v>2706166</v>
      </c>
      <c r="M118" s="3">
        <v>3398785133.1999998</v>
      </c>
      <c r="N118" s="4">
        <v>88759</v>
      </c>
      <c r="O118">
        <f t="shared" si="1"/>
        <v>-1.7559746446710465E-2</v>
      </c>
    </row>
    <row r="119" spans="1:15" ht="14.25" customHeight="1" x14ac:dyDescent="0.3">
      <c r="A119" s="2">
        <v>45644</v>
      </c>
      <c r="B119" t="s">
        <v>15</v>
      </c>
      <c r="C119" s="3">
        <v>1251.9000000000001</v>
      </c>
      <c r="D119" s="3">
        <v>1281</v>
      </c>
      <c r="E119" s="3">
        <v>1249.55</v>
      </c>
      <c r="F119" s="3">
        <v>1247.6500000000001</v>
      </c>
      <c r="G119" s="3">
        <v>1276.9000000000001</v>
      </c>
      <c r="H119" s="3">
        <v>1275.4000000000001</v>
      </c>
      <c r="I119" s="3">
        <v>1274.48</v>
      </c>
      <c r="J119" s="3">
        <v>7107.45</v>
      </c>
      <c r="K119" s="3">
        <v>1170.2</v>
      </c>
      <c r="L119" s="4">
        <v>2823838</v>
      </c>
      <c r="M119" s="3">
        <v>3598917271.1999998</v>
      </c>
      <c r="N119" s="4">
        <v>98913</v>
      </c>
      <c r="O119">
        <f t="shared" si="1"/>
        <v>2.2241814611469561E-2</v>
      </c>
    </row>
    <row r="120" spans="1:15" ht="14.25" customHeight="1" x14ac:dyDescent="0.3">
      <c r="A120" s="2">
        <v>45645</v>
      </c>
      <c r="B120" t="s">
        <v>15</v>
      </c>
      <c r="C120" s="3">
        <v>1275</v>
      </c>
      <c r="D120" s="3">
        <v>1331.35</v>
      </c>
      <c r="E120" s="3">
        <v>1271.6500000000001</v>
      </c>
      <c r="F120" s="3">
        <v>1275.4000000000001</v>
      </c>
      <c r="G120" s="3">
        <v>1326.9</v>
      </c>
      <c r="H120" s="3">
        <v>1325.6</v>
      </c>
      <c r="I120" s="3">
        <v>1313.14</v>
      </c>
      <c r="J120" s="3">
        <v>7107.45</v>
      </c>
      <c r="K120" s="3">
        <v>1170.2</v>
      </c>
      <c r="L120" s="4">
        <v>7185903</v>
      </c>
      <c r="M120" s="3">
        <v>9436093395.9500008</v>
      </c>
      <c r="N120" s="4">
        <v>200143</v>
      </c>
      <c r="O120">
        <f t="shared" si="1"/>
        <v>3.9360200721342178E-2</v>
      </c>
    </row>
    <row r="121" spans="1:15" ht="14.25" customHeight="1" x14ac:dyDescent="0.3">
      <c r="A121" s="2">
        <v>45646</v>
      </c>
      <c r="B121" t="s">
        <v>15</v>
      </c>
      <c r="C121" s="3">
        <v>1326</v>
      </c>
      <c r="D121" s="3">
        <v>1368.7</v>
      </c>
      <c r="E121" s="3">
        <v>1317.4</v>
      </c>
      <c r="F121" s="3">
        <v>1325.6</v>
      </c>
      <c r="G121" s="3">
        <v>1345.3</v>
      </c>
      <c r="H121" s="3">
        <v>1343.65</v>
      </c>
      <c r="I121" s="3">
        <v>1352.68</v>
      </c>
      <c r="J121" s="3">
        <v>7107.45</v>
      </c>
      <c r="K121" s="3">
        <v>1170.2</v>
      </c>
      <c r="L121" s="4">
        <v>7499087</v>
      </c>
      <c r="M121" s="3">
        <v>10143828011.700001</v>
      </c>
      <c r="N121" s="4">
        <v>213521</v>
      </c>
      <c r="O121">
        <f t="shared" si="1"/>
        <v>1.3616475558237917E-2</v>
      </c>
    </row>
    <row r="122" spans="1:15" ht="14.25" customHeight="1" x14ac:dyDescent="0.3">
      <c r="A122" s="2">
        <v>45649</v>
      </c>
      <c r="B122" t="s">
        <v>15</v>
      </c>
      <c r="C122" s="3">
        <v>1362</v>
      </c>
      <c r="D122" s="3">
        <v>1367</v>
      </c>
      <c r="E122" s="3">
        <v>1330.3</v>
      </c>
      <c r="F122" s="3">
        <v>1343.65</v>
      </c>
      <c r="G122" s="3">
        <v>1340.5</v>
      </c>
      <c r="H122" s="3">
        <v>1341.35</v>
      </c>
      <c r="I122" s="3">
        <v>1345.99</v>
      </c>
      <c r="J122" s="3">
        <v>7107.45</v>
      </c>
      <c r="K122" s="3">
        <v>1170.2</v>
      </c>
      <c r="L122" s="4">
        <v>3740109</v>
      </c>
      <c r="M122" s="3">
        <v>5034152379.25</v>
      </c>
      <c r="N122" s="4">
        <v>110693</v>
      </c>
      <c r="O122">
        <f t="shared" si="1"/>
        <v>-1.7117552934173199E-3</v>
      </c>
    </row>
    <row r="123" spans="1:15" ht="14.25" customHeight="1" x14ac:dyDescent="0.3">
      <c r="A123" s="2">
        <v>45650</v>
      </c>
      <c r="B123" t="s">
        <v>15</v>
      </c>
      <c r="C123" s="3">
        <v>1347</v>
      </c>
      <c r="D123" s="3">
        <v>1365</v>
      </c>
      <c r="E123" s="3">
        <v>1336.2</v>
      </c>
      <c r="F123" s="3">
        <v>1341.35</v>
      </c>
      <c r="G123" s="3">
        <v>1351.9</v>
      </c>
      <c r="H123" s="3">
        <v>1350.9</v>
      </c>
      <c r="I123" s="3">
        <v>1353.39</v>
      </c>
      <c r="J123" s="3">
        <v>7107.45</v>
      </c>
      <c r="K123" s="3">
        <v>1170.2</v>
      </c>
      <c r="L123" s="4">
        <v>2587142</v>
      </c>
      <c r="M123" s="3">
        <v>3501419738.6500001</v>
      </c>
      <c r="N123" s="4">
        <v>87435</v>
      </c>
      <c r="O123">
        <f t="shared" si="1"/>
        <v>7.1196928467589984E-3</v>
      </c>
    </row>
    <row r="124" spans="1:15" ht="14.25" customHeight="1" x14ac:dyDescent="0.3">
      <c r="A124" s="2">
        <v>45652</v>
      </c>
      <c r="B124" t="s">
        <v>15</v>
      </c>
      <c r="C124" s="3">
        <v>1350.9</v>
      </c>
      <c r="D124" s="3">
        <v>1360.2</v>
      </c>
      <c r="E124" s="3">
        <v>1342.75</v>
      </c>
      <c r="F124" s="3">
        <v>1350.9</v>
      </c>
      <c r="G124" s="3">
        <v>1359</v>
      </c>
      <c r="H124" s="3">
        <v>1355.15</v>
      </c>
      <c r="I124" s="3">
        <v>1353.55</v>
      </c>
      <c r="J124" s="3">
        <v>7107.45</v>
      </c>
      <c r="K124" s="3">
        <v>1170.2</v>
      </c>
      <c r="L124" s="4">
        <v>1531359</v>
      </c>
      <c r="M124" s="3">
        <v>2072766484</v>
      </c>
      <c r="N124" s="4">
        <v>79477</v>
      </c>
      <c r="O124">
        <f t="shared" si="1"/>
        <v>3.1460507809608408E-3</v>
      </c>
    </row>
    <row r="125" spans="1:15" ht="14.25" customHeight="1" x14ac:dyDescent="0.3">
      <c r="A125" s="2">
        <v>45653</v>
      </c>
      <c r="B125" t="s">
        <v>15</v>
      </c>
      <c r="C125" s="3">
        <v>1363.05</v>
      </c>
      <c r="D125" s="3">
        <v>1398.25</v>
      </c>
      <c r="E125" s="3">
        <v>1345.5</v>
      </c>
      <c r="F125" s="3">
        <v>1355.15</v>
      </c>
      <c r="G125" s="3">
        <v>1392</v>
      </c>
      <c r="H125" s="3">
        <v>1389.45</v>
      </c>
      <c r="I125" s="3">
        <v>1383.27</v>
      </c>
      <c r="J125" s="3">
        <v>7107.45</v>
      </c>
      <c r="K125" s="3">
        <v>1170.2</v>
      </c>
      <c r="L125" s="4">
        <v>3656253</v>
      </c>
      <c r="M125" s="3">
        <v>5057570133.4499998</v>
      </c>
      <c r="N125" s="4">
        <v>168732</v>
      </c>
      <c r="O125">
        <f t="shared" si="1"/>
        <v>2.5310851197284399E-2</v>
      </c>
    </row>
    <row r="126" spans="1:15" ht="14.25" customHeight="1" x14ac:dyDescent="0.3">
      <c r="A126" s="2">
        <v>45656</v>
      </c>
      <c r="B126" t="s">
        <v>15</v>
      </c>
      <c r="C126" s="3">
        <v>1389.6</v>
      </c>
      <c r="D126" s="3">
        <v>1392</v>
      </c>
      <c r="E126" s="3">
        <v>1372.1</v>
      </c>
      <c r="F126" s="3">
        <v>1389.45</v>
      </c>
      <c r="G126" s="3">
        <v>1379</v>
      </c>
      <c r="H126" s="3">
        <v>1376.9</v>
      </c>
      <c r="I126" s="3">
        <v>1380.26</v>
      </c>
      <c r="J126" s="3">
        <v>7107.45</v>
      </c>
      <c r="K126" s="3">
        <v>1170.2</v>
      </c>
      <c r="L126" s="4">
        <v>2462657</v>
      </c>
      <c r="M126" s="3">
        <v>3399109718.9000001</v>
      </c>
      <c r="N126" s="4">
        <v>98580</v>
      </c>
      <c r="O126">
        <f t="shared" si="1"/>
        <v>-9.0323509302241561E-3</v>
      </c>
    </row>
    <row r="127" spans="1:15" ht="14.25" customHeight="1" x14ac:dyDescent="0.3">
      <c r="A127" s="2">
        <v>45657</v>
      </c>
      <c r="B127" t="s">
        <v>15</v>
      </c>
      <c r="C127" s="3">
        <v>1370.3</v>
      </c>
      <c r="D127" s="3">
        <v>1395</v>
      </c>
      <c r="E127" s="3">
        <v>1366.55</v>
      </c>
      <c r="F127" s="3">
        <v>1376.9</v>
      </c>
      <c r="G127" s="3">
        <v>1386.9</v>
      </c>
      <c r="H127" s="3">
        <v>1388.5</v>
      </c>
      <c r="I127" s="3">
        <v>1387.04</v>
      </c>
      <c r="J127" s="3">
        <v>7107.45</v>
      </c>
      <c r="K127" s="3">
        <v>1170.2</v>
      </c>
      <c r="L127" s="4">
        <v>1892083</v>
      </c>
      <c r="M127" s="3">
        <v>2624392241.9499998</v>
      </c>
      <c r="N127" s="4">
        <v>91224</v>
      </c>
      <c r="O127">
        <f t="shared" si="1"/>
        <v>8.4247222020480128E-3</v>
      </c>
    </row>
    <row r="128" spans="1:15" ht="14.25" customHeight="1" x14ac:dyDescent="0.3">
      <c r="A128" s="2">
        <v>45658</v>
      </c>
      <c r="B128" t="s">
        <v>15</v>
      </c>
      <c r="C128" s="3">
        <v>1388.45</v>
      </c>
      <c r="D128" s="3">
        <v>1389.05</v>
      </c>
      <c r="E128" s="3">
        <v>1355.35</v>
      </c>
      <c r="F128" s="3">
        <v>1388.5</v>
      </c>
      <c r="G128" s="3">
        <v>1372.95</v>
      </c>
      <c r="H128" s="3">
        <v>1369</v>
      </c>
      <c r="I128" s="3">
        <v>1366.88</v>
      </c>
      <c r="J128" s="3">
        <v>7107.45</v>
      </c>
      <c r="K128" s="3">
        <v>1170.2</v>
      </c>
      <c r="L128" s="4">
        <v>1658723</v>
      </c>
      <c r="M128" s="3">
        <v>2267272378.1999998</v>
      </c>
      <c r="N128" s="4">
        <v>68396</v>
      </c>
      <c r="O128">
        <f t="shared" si="1"/>
        <v>-1.4043932301044292E-2</v>
      </c>
    </row>
    <row r="129" spans="1:15" ht="14.25" customHeight="1" x14ac:dyDescent="0.3">
      <c r="A129" s="2">
        <v>45659</v>
      </c>
      <c r="B129" t="s">
        <v>15</v>
      </c>
      <c r="C129" s="3">
        <v>1371.45</v>
      </c>
      <c r="D129" s="3">
        <v>1387.95</v>
      </c>
      <c r="E129" s="3">
        <v>1370.05</v>
      </c>
      <c r="F129" s="3">
        <v>1369</v>
      </c>
      <c r="G129" s="3">
        <v>1373</v>
      </c>
      <c r="H129" s="3">
        <v>1375.05</v>
      </c>
      <c r="I129" s="3">
        <v>1376.67</v>
      </c>
      <c r="J129" s="3">
        <v>7107.45</v>
      </c>
      <c r="K129" s="3">
        <v>1170.2</v>
      </c>
      <c r="L129" s="4">
        <v>1726305</v>
      </c>
      <c r="M129" s="3">
        <v>2376551618.4000001</v>
      </c>
      <c r="N129" s="4">
        <v>77008</v>
      </c>
      <c r="O129">
        <f t="shared" si="1"/>
        <v>4.4192841490138454E-3</v>
      </c>
    </row>
    <row r="130" spans="1:15" ht="14.25" customHeight="1" x14ac:dyDescent="0.3">
      <c r="A130" s="2">
        <v>45660</v>
      </c>
      <c r="B130" t="s">
        <v>15</v>
      </c>
      <c r="C130" s="3">
        <v>1375.05</v>
      </c>
      <c r="D130" s="3">
        <v>1378.15</v>
      </c>
      <c r="E130" s="3">
        <v>1347.2</v>
      </c>
      <c r="F130" s="3">
        <v>1375.05</v>
      </c>
      <c r="G130" s="3">
        <v>1351.15</v>
      </c>
      <c r="H130" s="3">
        <v>1352.65</v>
      </c>
      <c r="I130" s="3">
        <v>1355.61</v>
      </c>
      <c r="J130" s="3">
        <v>7107.45</v>
      </c>
      <c r="K130" s="3">
        <v>1170.2</v>
      </c>
      <c r="L130" s="4">
        <v>1573592</v>
      </c>
      <c r="M130" s="3">
        <v>2133171918.55</v>
      </c>
      <c r="N130" s="4">
        <v>70239</v>
      </c>
      <c r="O130">
        <f t="shared" si="1"/>
        <v>-1.6290316715755693E-2</v>
      </c>
    </row>
    <row r="131" spans="1:15" ht="14.25" customHeight="1" x14ac:dyDescent="0.3">
      <c r="A131" s="2">
        <v>45663</v>
      </c>
      <c r="B131" t="s">
        <v>15</v>
      </c>
      <c r="C131" s="3">
        <v>1360.4</v>
      </c>
      <c r="D131" s="3">
        <v>1361.3</v>
      </c>
      <c r="E131" s="3">
        <v>1333.8</v>
      </c>
      <c r="F131" s="3">
        <v>1352.65</v>
      </c>
      <c r="G131" s="3">
        <v>1352.75</v>
      </c>
      <c r="H131" s="3">
        <v>1350.35</v>
      </c>
      <c r="I131" s="3">
        <v>1346.24</v>
      </c>
      <c r="J131" s="3">
        <v>7107.45</v>
      </c>
      <c r="K131" s="3">
        <v>1170.2</v>
      </c>
      <c r="L131" s="4">
        <v>1539970</v>
      </c>
      <c r="M131" s="3">
        <v>2073170561.9000001</v>
      </c>
      <c r="N131" s="4">
        <v>95462</v>
      </c>
      <c r="O131">
        <f t="shared" ref="O131:O194" si="2">(H131-H130)/H130</f>
        <v>-1.7003659483237953E-3</v>
      </c>
    </row>
    <row r="132" spans="1:15" ht="14.25" customHeight="1" x14ac:dyDescent="0.3">
      <c r="A132" s="2">
        <v>45664</v>
      </c>
      <c r="B132" t="s">
        <v>15</v>
      </c>
      <c r="C132" s="3">
        <v>1352</v>
      </c>
      <c r="D132" s="3">
        <v>1373.05</v>
      </c>
      <c r="E132" s="3">
        <v>1347.5</v>
      </c>
      <c r="F132" s="3">
        <v>1350.35</v>
      </c>
      <c r="G132" s="3">
        <v>1352.75</v>
      </c>
      <c r="H132" s="3">
        <v>1351.55</v>
      </c>
      <c r="I132" s="3">
        <v>1359.74</v>
      </c>
      <c r="J132" s="3">
        <v>7107.45</v>
      </c>
      <c r="K132" s="3">
        <v>1170.2</v>
      </c>
      <c r="L132" s="4">
        <v>1723188</v>
      </c>
      <c r="M132" s="3">
        <v>2343080529.75</v>
      </c>
      <c r="N132" s="4">
        <v>93122</v>
      </c>
      <c r="O132">
        <f t="shared" si="2"/>
        <v>8.886584959455294E-4</v>
      </c>
    </row>
    <row r="133" spans="1:15" ht="14.25" customHeight="1" x14ac:dyDescent="0.3">
      <c r="A133" s="2">
        <v>45665</v>
      </c>
      <c r="B133" t="s">
        <v>15</v>
      </c>
      <c r="C133" s="3">
        <v>1369.5</v>
      </c>
      <c r="D133" s="3">
        <v>1405.9</v>
      </c>
      <c r="E133" s="3">
        <v>1358</v>
      </c>
      <c r="F133" s="3">
        <v>1351.55</v>
      </c>
      <c r="G133" s="3">
        <v>1375</v>
      </c>
      <c r="H133" s="3">
        <v>1370.75</v>
      </c>
      <c r="I133" s="3">
        <v>1381.38</v>
      </c>
      <c r="J133" s="3">
        <v>7107.45</v>
      </c>
      <c r="K133" s="3">
        <v>1170.2</v>
      </c>
      <c r="L133" s="4">
        <v>3456684</v>
      </c>
      <c r="M133" s="3">
        <v>4774976894.8000002</v>
      </c>
      <c r="N133" s="4">
        <v>148640</v>
      </c>
      <c r="O133">
        <f t="shared" si="2"/>
        <v>1.420591173097558E-2</v>
      </c>
    </row>
    <row r="134" spans="1:15" ht="14.25" customHeight="1" x14ac:dyDescent="0.3">
      <c r="A134" s="2">
        <v>45666</v>
      </c>
      <c r="B134" t="s">
        <v>15</v>
      </c>
      <c r="C134" s="3">
        <v>1380</v>
      </c>
      <c r="D134" s="3">
        <v>1382.95</v>
      </c>
      <c r="E134" s="3">
        <v>1364.1</v>
      </c>
      <c r="F134" s="3">
        <v>1370.75</v>
      </c>
      <c r="G134" s="3">
        <v>1372</v>
      </c>
      <c r="H134" s="3">
        <v>1371.6</v>
      </c>
      <c r="I134" s="3">
        <v>1374.41</v>
      </c>
      <c r="J134" s="3">
        <v>7107.45</v>
      </c>
      <c r="K134" s="3">
        <v>1170.2</v>
      </c>
      <c r="L134" s="4">
        <v>1607980</v>
      </c>
      <c r="M134" s="3">
        <v>2210026519.4000001</v>
      </c>
      <c r="N134" s="4">
        <v>84222</v>
      </c>
      <c r="O134">
        <f t="shared" si="2"/>
        <v>6.2009848623009961E-4</v>
      </c>
    </row>
    <row r="135" spans="1:15" ht="14.25" customHeight="1" x14ac:dyDescent="0.3">
      <c r="A135" s="2">
        <v>45667</v>
      </c>
      <c r="B135" t="s">
        <v>15</v>
      </c>
      <c r="C135" s="3">
        <v>1366.1</v>
      </c>
      <c r="D135" s="3">
        <v>1386</v>
      </c>
      <c r="E135" s="3">
        <v>1352.6</v>
      </c>
      <c r="F135" s="3">
        <v>1371.6</v>
      </c>
      <c r="G135" s="3">
        <v>1357.6</v>
      </c>
      <c r="H135" s="3">
        <v>1354.4</v>
      </c>
      <c r="I135" s="3">
        <v>1363.25</v>
      </c>
      <c r="J135" s="3">
        <v>7107.45</v>
      </c>
      <c r="K135" s="3">
        <v>1170.2</v>
      </c>
      <c r="L135" s="4">
        <v>1582776</v>
      </c>
      <c r="M135" s="3">
        <v>2157717791.5999999</v>
      </c>
      <c r="N135" s="4">
        <v>72007</v>
      </c>
      <c r="O135">
        <f t="shared" si="2"/>
        <v>-1.254009915427225E-2</v>
      </c>
    </row>
    <row r="136" spans="1:15" ht="14.25" customHeight="1" x14ac:dyDescent="0.3">
      <c r="A136" s="2">
        <v>45670</v>
      </c>
      <c r="B136" t="s">
        <v>15</v>
      </c>
      <c r="C136" s="3">
        <v>1354.05</v>
      </c>
      <c r="D136" s="3">
        <v>1354.15</v>
      </c>
      <c r="E136" s="3">
        <v>1330.2</v>
      </c>
      <c r="F136" s="3">
        <v>1354.4</v>
      </c>
      <c r="G136" s="3">
        <v>1335.2</v>
      </c>
      <c r="H136" s="3">
        <v>1335.1</v>
      </c>
      <c r="I136" s="3">
        <v>1338.45</v>
      </c>
      <c r="J136" s="3">
        <v>7107.45</v>
      </c>
      <c r="K136" s="3">
        <v>1170.2</v>
      </c>
      <c r="L136" s="4">
        <v>2822318</v>
      </c>
      <c r="M136" s="3">
        <v>3777524116.9499998</v>
      </c>
      <c r="N136" s="4">
        <v>139330</v>
      </c>
      <c r="O136">
        <f t="shared" si="2"/>
        <v>-1.4249852333136578E-2</v>
      </c>
    </row>
    <row r="137" spans="1:15" ht="14.25" customHeight="1" x14ac:dyDescent="0.3">
      <c r="A137" s="2">
        <v>45671</v>
      </c>
      <c r="B137" t="s">
        <v>15</v>
      </c>
      <c r="C137" s="3">
        <v>1335.15</v>
      </c>
      <c r="D137" s="3">
        <v>1348.85</v>
      </c>
      <c r="E137" s="3">
        <v>1323.65</v>
      </c>
      <c r="F137" s="3">
        <v>1335.1</v>
      </c>
      <c r="G137" s="3">
        <v>1337</v>
      </c>
      <c r="H137" s="3">
        <v>1337.55</v>
      </c>
      <c r="I137" s="3">
        <v>1334.89</v>
      </c>
      <c r="J137" s="3">
        <v>7107.45</v>
      </c>
      <c r="K137" s="3">
        <v>1170.2</v>
      </c>
      <c r="L137" s="4">
        <v>1370223</v>
      </c>
      <c r="M137" s="3">
        <v>1829102638.5</v>
      </c>
      <c r="N137" s="4">
        <v>81135</v>
      </c>
      <c r="O137">
        <f t="shared" si="2"/>
        <v>1.8350685341922295E-3</v>
      </c>
    </row>
    <row r="138" spans="1:15" ht="14.25" customHeight="1" x14ac:dyDescent="0.3">
      <c r="A138" s="2">
        <v>45672</v>
      </c>
      <c r="B138" t="s">
        <v>15</v>
      </c>
      <c r="C138" s="3">
        <v>1345</v>
      </c>
      <c r="D138" s="3">
        <v>1345</v>
      </c>
      <c r="E138" s="3">
        <v>1313.95</v>
      </c>
      <c r="F138" s="3">
        <v>1337.55</v>
      </c>
      <c r="G138" s="3">
        <v>1333.5</v>
      </c>
      <c r="H138" s="3">
        <v>1337.2</v>
      </c>
      <c r="I138" s="3">
        <v>1331.91</v>
      </c>
      <c r="J138" s="3">
        <v>7107.45</v>
      </c>
      <c r="K138" s="3">
        <v>1170.2</v>
      </c>
      <c r="L138" s="4">
        <v>1940371</v>
      </c>
      <c r="M138" s="3">
        <v>2584392607.75</v>
      </c>
      <c r="N138" s="4">
        <v>76413</v>
      </c>
      <c r="O138">
        <f t="shared" si="2"/>
        <v>-2.6167246084251732E-4</v>
      </c>
    </row>
    <row r="139" spans="1:15" ht="14.25" customHeight="1" x14ac:dyDescent="0.3">
      <c r="A139" s="2">
        <v>45673</v>
      </c>
      <c r="B139" t="s">
        <v>15</v>
      </c>
      <c r="C139" s="3">
        <v>1340.9</v>
      </c>
      <c r="D139" s="3">
        <v>1347</v>
      </c>
      <c r="E139" s="3">
        <v>1297</v>
      </c>
      <c r="F139" s="3">
        <v>1337.2</v>
      </c>
      <c r="G139" s="3">
        <v>1307</v>
      </c>
      <c r="H139" s="3">
        <v>1302.75</v>
      </c>
      <c r="I139" s="3">
        <v>1310.17</v>
      </c>
      <c r="J139" s="3">
        <v>7107.45</v>
      </c>
      <c r="K139" s="3">
        <v>1170.2</v>
      </c>
      <c r="L139" s="4">
        <v>1195731</v>
      </c>
      <c r="M139" s="3">
        <v>1566608713.6500001</v>
      </c>
      <c r="N139" s="4">
        <v>81173</v>
      </c>
      <c r="O139">
        <f t="shared" si="2"/>
        <v>-2.5762787915046399E-2</v>
      </c>
    </row>
    <row r="140" spans="1:15" ht="14.25" customHeight="1" x14ac:dyDescent="0.3">
      <c r="A140" s="2">
        <v>45674</v>
      </c>
      <c r="B140" t="s">
        <v>15</v>
      </c>
      <c r="C140" s="3">
        <v>1298</v>
      </c>
      <c r="D140" s="3">
        <v>1320.7</v>
      </c>
      <c r="E140" s="3">
        <v>1288</v>
      </c>
      <c r="F140" s="3">
        <v>1302.75</v>
      </c>
      <c r="G140" s="3">
        <v>1309</v>
      </c>
      <c r="H140" s="3">
        <v>1309.4000000000001</v>
      </c>
      <c r="I140" s="3">
        <v>1305.7</v>
      </c>
      <c r="J140" s="3">
        <v>7107.45</v>
      </c>
      <c r="K140" s="3">
        <v>1170.2</v>
      </c>
      <c r="L140" s="4">
        <v>1432206</v>
      </c>
      <c r="M140" s="3">
        <v>1870034465.95</v>
      </c>
      <c r="N140" s="4">
        <v>76104</v>
      </c>
      <c r="O140">
        <f t="shared" si="2"/>
        <v>5.1045864517367803E-3</v>
      </c>
    </row>
    <row r="141" spans="1:15" ht="14.25" customHeight="1" x14ac:dyDescent="0.3">
      <c r="A141" s="2">
        <v>45677</v>
      </c>
      <c r="B141" t="s">
        <v>15</v>
      </c>
      <c r="C141" s="3">
        <v>1308.3499999999999</v>
      </c>
      <c r="D141" s="3">
        <v>1309</v>
      </c>
      <c r="E141" s="3">
        <v>1293.6500000000001</v>
      </c>
      <c r="F141" s="3">
        <v>1309.4000000000001</v>
      </c>
      <c r="G141" s="3">
        <v>1301</v>
      </c>
      <c r="H141" s="3">
        <v>1302.3499999999999</v>
      </c>
      <c r="I141" s="3">
        <v>1301.75</v>
      </c>
      <c r="J141" s="3">
        <v>7107.45</v>
      </c>
      <c r="K141" s="3">
        <v>1170.2</v>
      </c>
      <c r="L141" s="4">
        <v>561642</v>
      </c>
      <c r="M141" s="3">
        <v>731119050.79999995</v>
      </c>
      <c r="N141" s="4">
        <v>38076</v>
      </c>
      <c r="O141">
        <f t="shared" si="2"/>
        <v>-5.3841454101116399E-3</v>
      </c>
    </row>
    <row r="142" spans="1:15" ht="14.25" customHeight="1" x14ac:dyDescent="0.3">
      <c r="A142" s="2">
        <v>45678</v>
      </c>
      <c r="B142" t="s">
        <v>15</v>
      </c>
      <c r="C142" s="3">
        <v>1302.3499999999999</v>
      </c>
      <c r="D142" s="3">
        <v>1312.95</v>
      </c>
      <c r="E142" s="3">
        <v>1285.6500000000001</v>
      </c>
      <c r="F142" s="3">
        <v>1302.3499999999999</v>
      </c>
      <c r="G142" s="3">
        <v>1291.8</v>
      </c>
      <c r="H142" s="3">
        <v>1288.1500000000001</v>
      </c>
      <c r="I142" s="3">
        <v>1297.44</v>
      </c>
      <c r="J142" s="3">
        <v>7107.45</v>
      </c>
      <c r="K142" s="3">
        <v>1170.2</v>
      </c>
      <c r="L142" s="4">
        <v>738787</v>
      </c>
      <c r="M142" s="3">
        <v>958535182.14999998</v>
      </c>
      <c r="N142" s="4">
        <v>56966</v>
      </c>
      <c r="O142">
        <f t="shared" si="2"/>
        <v>-1.0903366990440219E-2</v>
      </c>
    </row>
    <row r="143" spans="1:15" ht="14.25" customHeight="1" x14ac:dyDescent="0.3">
      <c r="A143" s="2">
        <v>45679</v>
      </c>
      <c r="B143" t="s">
        <v>15</v>
      </c>
      <c r="C143" s="3">
        <v>1291</v>
      </c>
      <c r="D143" s="3">
        <v>1308</v>
      </c>
      <c r="E143" s="3">
        <v>1288</v>
      </c>
      <c r="F143" s="3">
        <v>1288.1500000000001</v>
      </c>
      <c r="G143" s="3">
        <v>1296</v>
      </c>
      <c r="H143" s="3">
        <v>1296.25</v>
      </c>
      <c r="I143" s="3">
        <v>1297.58</v>
      </c>
      <c r="J143" s="3">
        <v>7107.45</v>
      </c>
      <c r="K143" s="3">
        <v>1170.2</v>
      </c>
      <c r="L143" s="4">
        <v>1301422</v>
      </c>
      <c r="M143" s="3">
        <v>1688697172.2</v>
      </c>
      <c r="N143" s="4">
        <v>76466</v>
      </c>
      <c r="O143">
        <f t="shared" si="2"/>
        <v>6.2880875674416088E-3</v>
      </c>
    </row>
    <row r="144" spans="1:15" ht="14.25" customHeight="1" x14ac:dyDescent="0.3">
      <c r="A144" s="2">
        <v>45680</v>
      </c>
      <c r="B144" t="s">
        <v>15</v>
      </c>
      <c r="C144" s="3">
        <v>1289</v>
      </c>
      <c r="D144" s="3">
        <v>1303.95</v>
      </c>
      <c r="E144" s="3">
        <v>1274.55</v>
      </c>
      <c r="F144" s="3">
        <v>1296.25</v>
      </c>
      <c r="G144" s="3">
        <v>1290</v>
      </c>
      <c r="H144" s="3">
        <v>1289.4000000000001</v>
      </c>
      <c r="I144" s="3">
        <v>1287.3</v>
      </c>
      <c r="J144" s="3">
        <v>7107.45</v>
      </c>
      <c r="K144" s="3">
        <v>1170.2</v>
      </c>
      <c r="L144" s="4">
        <v>1448659</v>
      </c>
      <c r="M144" s="3">
        <v>1864857696.6500001</v>
      </c>
      <c r="N144" s="4">
        <v>80632</v>
      </c>
      <c r="O144">
        <f t="shared" si="2"/>
        <v>-5.2844744455158412E-3</v>
      </c>
    </row>
    <row r="145" spans="1:15" ht="14.25" customHeight="1" x14ac:dyDescent="0.3">
      <c r="A145" s="2">
        <v>45681</v>
      </c>
      <c r="B145" t="s">
        <v>15</v>
      </c>
      <c r="C145" s="3">
        <v>1229.95</v>
      </c>
      <c r="D145" s="3">
        <v>1252.6500000000001</v>
      </c>
      <c r="E145" s="3">
        <v>1203.5</v>
      </c>
      <c r="F145" s="3">
        <v>1289.4000000000001</v>
      </c>
      <c r="G145" s="3">
        <v>1226.2</v>
      </c>
      <c r="H145" s="3">
        <v>1224.4000000000001</v>
      </c>
      <c r="I145" s="3">
        <v>1225.5899999999999</v>
      </c>
      <c r="J145" s="3">
        <v>7107.45</v>
      </c>
      <c r="K145" s="3">
        <v>1170.2</v>
      </c>
      <c r="L145" s="4">
        <v>7082467</v>
      </c>
      <c r="M145" s="3">
        <v>8680233416.4500008</v>
      </c>
      <c r="N145" s="4">
        <v>248254</v>
      </c>
      <c r="O145">
        <f t="shared" si="2"/>
        <v>-5.0411043896385913E-2</v>
      </c>
    </row>
    <row r="146" spans="1:15" ht="14.25" customHeight="1" x14ac:dyDescent="0.3">
      <c r="A146" s="2">
        <v>45684</v>
      </c>
      <c r="B146" t="s">
        <v>15</v>
      </c>
      <c r="C146" s="3">
        <v>1224.4000000000001</v>
      </c>
      <c r="D146" s="3">
        <v>1234.3499999999999</v>
      </c>
      <c r="E146" s="3">
        <v>1191.5</v>
      </c>
      <c r="F146" s="3">
        <v>1224.4000000000001</v>
      </c>
      <c r="G146" s="3">
        <v>1196.5999999999999</v>
      </c>
      <c r="H146" s="3">
        <v>1197.6500000000001</v>
      </c>
      <c r="I146" s="3">
        <v>1208.94</v>
      </c>
      <c r="J146" s="3">
        <v>7107.45</v>
      </c>
      <c r="K146" s="3">
        <v>1170.2</v>
      </c>
      <c r="L146" s="4">
        <v>2184847</v>
      </c>
      <c r="M146" s="3">
        <v>2641342821.9499998</v>
      </c>
      <c r="N146" s="4">
        <v>105171</v>
      </c>
      <c r="O146">
        <f t="shared" si="2"/>
        <v>-2.1847435478601761E-2</v>
      </c>
    </row>
    <row r="147" spans="1:15" ht="14.25" customHeight="1" x14ac:dyDescent="0.3">
      <c r="A147" s="2">
        <v>45685</v>
      </c>
      <c r="B147" t="s">
        <v>15</v>
      </c>
      <c r="C147" s="3">
        <v>1197.6500000000001</v>
      </c>
      <c r="D147" s="3">
        <v>1197.6500000000001</v>
      </c>
      <c r="E147" s="3">
        <v>1164.6500000000001</v>
      </c>
      <c r="F147" s="3">
        <v>1197.6500000000001</v>
      </c>
      <c r="G147" s="3">
        <v>1183.8499999999999</v>
      </c>
      <c r="H147" s="3">
        <v>1181.25</v>
      </c>
      <c r="I147" s="3">
        <v>1178.77</v>
      </c>
      <c r="J147" s="3">
        <v>7107.45</v>
      </c>
      <c r="K147" s="3">
        <v>1164.6500000000001</v>
      </c>
      <c r="L147" s="4">
        <v>3142189</v>
      </c>
      <c r="M147" s="3">
        <v>3703921658.1500001</v>
      </c>
      <c r="N147" s="4">
        <v>153863</v>
      </c>
      <c r="O147">
        <f t="shared" si="2"/>
        <v>-1.3693483071014144E-2</v>
      </c>
    </row>
    <row r="148" spans="1:15" ht="14.25" customHeight="1" x14ac:dyDescent="0.3">
      <c r="A148" s="2">
        <v>45686</v>
      </c>
      <c r="B148" t="s">
        <v>15</v>
      </c>
      <c r="C148" s="3">
        <v>1187.4000000000001</v>
      </c>
      <c r="D148" s="3">
        <v>1192.45</v>
      </c>
      <c r="E148" s="3">
        <v>1173.5</v>
      </c>
      <c r="F148" s="3">
        <v>1181.25</v>
      </c>
      <c r="G148" s="3">
        <v>1185.6500000000001</v>
      </c>
      <c r="H148" s="3">
        <v>1181.2</v>
      </c>
      <c r="I148" s="3">
        <v>1180.95</v>
      </c>
      <c r="J148" s="3">
        <v>7107.45</v>
      </c>
      <c r="K148" s="3">
        <v>1164.6500000000001</v>
      </c>
      <c r="L148" s="4">
        <v>3458251</v>
      </c>
      <c r="M148" s="3">
        <v>4084028897.4000001</v>
      </c>
      <c r="N148" s="4">
        <v>90816</v>
      </c>
      <c r="O148">
        <f t="shared" si="2"/>
        <v>-4.2328042328003833E-5</v>
      </c>
    </row>
    <row r="149" spans="1:15" ht="14.25" customHeight="1" x14ac:dyDescent="0.3">
      <c r="A149" s="2">
        <v>45687</v>
      </c>
      <c r="B149" t="s">
        <v>15</v>
      </c>
      <c r="C149" s="3">
        <v>1188</v>
      </c>
      <c r="D149" s="3">
        <v>1204.8</v>
      </c>
      <c r="E149" s="3">
        <v>1184</v>
      </c>
      <c r="F149" s="3">
        <v>1181.2</v>
      </c>
      <c r="G149" s="3">
        <v>1196</v>
      </c>
      <c r="H149" s="3">
        <v>1194.5</v>
      </c>
      <c r="I149" s="3">
        <v>1197.6300000000001</v>
      </c>
      <c r="J149" s="3">
        <v>7107.45</v>
      </c>
      <c r="K149" s="3">
        <v>1164.6500000000001</v>
      </c>
      <c r="L149" s="4">
        <v>3290757</v>
      </c>
      <c r="M149" s="3">
        <v>3941114746.3499999</v>
      </c>
      <c r="N149" s="4">
        <v>83910</v>
      </c>
      <c r="O149">
        <f t="shared" si="2"/>
        <v>1.1259735861835382E-2</v>
      </c>
    </row>
    <row r="150" spans="1:15" ht="14.25" customHeight="1" x14ac:dyDescent="0.3">
      <c r="A150" s="2">
        <v>45688</v>
      </c>
      <c r="B150" t="s">
        <v>15</v>
      </c>
      <c r="C150" s="3">
        <v>1202</v>
      </c>
      <c r="D150" s="3">
        <v>1221</v>
      </c>
      <c r="E150" s="3">
        <v>1196</v>
      </c>
      <c r="F150" s="3">
        <v>1194.5</v>
      </c>
      <c r="G150" s="3">
        <v>1215.45</v>
      </c>
      <c r="H150" s="3">
        <v>1217.3499999999999</v>
      </c>
      <c r="I150" s="3">
        <v>1214.93</v>
      </c>
      <c r="J150" s="3">
        <v>7107.45</v>
      </c>
      <c r="K150" s="3">
        <v>1164.6500000000001</v>
      </c>
      <c r="L150" s="4">
        <v>1505147</v>
      </c>
      <c r="M150" s="3">
        <v>1828650077.9000001</v>
      </c>
      <c r="N150" s="4">
        <v>67455</v>
      </c>
      <c r="O150">
        <f t="shared" si="2"/>
        <v>1.912934282126405E-2</v>
      </c>
    </row>
    <row r="151" spans="1:15" ht="14.25" customHeight="1" x14ac:dyDescent="0.3">
      <c r="A151" s="2">
        <v>45689</v>
      </c>
      <c r="B151" t="s">
        <v>15</v>
      </c>
      <c r="C151" s="3">
        <v>1220.4000000000001</v>
      </c>
      <c r="D151" s="3">
        <v>1220.4000000000001</v>
      </c>
      <c r="E151" s="3">
        <v>1200.0999999999999</v>
      </c>
      <c r="F151" s="3">
        <v>1217.3499999999999</v>
      </c>
      <c r="G151" s="3">
        <v>1207.95</v>
      </c>
      <c r="H151" s="3">
        <v>1204.95</v>
      </c>
      <c r="I151" s="3">
        <v>1206.76</v>
      </c>
      <c r="J151" s="3">
        <v>7107.45</v>
      </c>
      <c r="K151" s="3">
        <v>1164.6500000000001</v>
      </c>
      <c r="L151" s="4">
        <v>1067956</v>
      </c>
      <c r="M151" s="3">
        <v>1288764380.2</v>
      </c>
      <c r="N151" s="4">
        <v>28249</v>
      </c>
      <c r="O151">
        <f t="shared" si="2"/>
        <v>-1.018605988417453E-2</v>
      </c>
    </row>
    <row r="152" spans="1:15" ht="14.25" customHeight="1" x14ac:dyDescent="0.3">
      <c r="A152" s="2">
        <v>45691</v>
      </c>
      <c r="B152" t="s">
        <v>15</v>
      </c>
      <c r="C152" s="3">
        <v>1200</v>
      </c>
      <c r="D152" s="3">
        <v>1220</v>
      </c>
      <c r="E152" s="3">
        <v>1196.8</v>
      </c>
      <c r="F152" s="3">
        <v>1204.95</v>
      </c>
      <c r="G152" s="3">
        <v>1206.7</v>
      </c>
      <c r="H152" s="3">
        <v>1203.8499999999999</v>
      </c>
      <c r="I152" s="3">
        <v>1207.3499999999999</v>
      </c>
      <c r="J152" s="3">
        <v>7107.45</v>
      </c>
      <c r="K152" s="3">
        <v>1164.6500000000001</v>
      </c>
      <c r="L152" s="4">
        <v>1407877</v>
      </c>
      <c r="M152" s="3">
        <v>1699794286.6500001</v>
      </c>
      <c r="N152" s="4">
        <v>66757</v>
      </c>
      <c r="O152">
        <f t="shared" si="2"/>
        <v>-9.1290095024701141E-4</v>
      </c>
    </row>
    <row r="153" spans="1:15" ht="14.25" customHeight="1" x14ac:dyDescent="0.3">
      <c r="A153" s="2">
        <v>45692</v>
      </c>
      <c r="B153" t="s">
        <v>15</v>
      </c>
      <c r="C153" s="3">
        <v>1207</v>
      </c>
      <c r="D153" s="3">
        <v>1233</v>
      </c>
      <c r="E153" s="3">
        <v>1201.45</v>
      </c>
      <c r="F153" s="3">
        <v>1203.8499999999999</v>
      </c>
      <c r="G153" s="3">
        <v>1220</v>
      </c>
      <c r="H153" s="3">
        <v>1219.95</v>
      </c>
      <c r="I153" s="3">
        <v>1220.67</v>
      </c>
      <c r="J153" s="3">
        <v>7107.45</v>
      </c>
      <c r="K153" s="3">
        <v>1164.6500000000001</v>
      </c>
      <c r="L153" s="4">
        <v>2239920</v>
      </c>
      <c r="M153" s="3">
        <v>2734195829.8000002</v>
      </c>
      <c r="N153" s="4">
        <v>97467</v>
      </c>
      <c r="O153">
        <f t="shared" si="2"/>
        <v>1.337375918926788E-2</v>
      </c>
    </row>
    <row r="154" spans="1:15" ht="14.25" customHeight="1" x14ac:dyDescent="0.3">
      <c r="A154" s="2">
        <v>45693</v>
      </c>
      <c r="B154" t="s">
        <v>15</v>
      </c>
      <c r="C154" s="3">
        <v>1227</v>
      </c>
      <c r="D154" s="3">
        <v>1233.0999999999999</v>
      </c>
      <c r="E154" s="3">
        <v>1215.8499999999999</v>
      </c>
      <c r="F154" s="3">
        <v>1219.95</v>
      </c>
      <c r="G154" s="3">
        <v>1229.8</v>
      </c>
      <c r="H154" s="3">
        <v>1227.55</v>
      </c>
      <c r="I154" s="3">
        <v>1226.1400000000001</v>
      </c>
      <c r="J154" s="3">
        <v>7107.45</v>
      </c>
      <c r="K154" s="3">
        <v>1164.6500000000001</v>
      </c>
      <c r="L154" s="4">
        <v>1460238</v>
      </c>
      <c r="M154" s="3">
        <v>1790454881.55</v>
      </c>
      <c r="N154" s="4">
        <v>86364</v>
      </c>
      <c r="O154">
        <f t="shared" si="2"/>
        <v>6.2297635148980766E-3</v>
      </c>
    </row>
    <row r="155" spans="1:15" ht="14.25" customHeight="1" x14ac:dyDescent="0.3">
      <c r="A155" s="2">
        <v>45694</v>
      </c>
      <c r="B155" t="s">
        <v>15</v>
      </c>
      <c r="C155" s="3">
        <v>1234.9000000000001</v>
      </c>
      <c r="D155" s="3">
        <v>1254</v>
      </c>
      <c r="E155" s="3">
        <v>1230.2</v>
      </c>
      <c r="F155" s="3">
        <v>1227.55</v>
      </c>
      <c r="G155" s="3">
        <v>1240</v>
      </c>
      <c r="H155" s="3">
        <v>1236.6500000000001</v>
      </c>
      <c r="I155" s="3">
        <v>1240.27</v>
      </c>
      <c r="J155" s="3">
        <v>7107.45</v>
      </c>
      <c r="K155" s="3">
        <v>1164.6500000000001</v>
      </c>
      <c r="L155" s="4">
        <v>2990483</v>
      </c>
      <c r="M155" s="3">
        <v>3708992203.1999998</v>
      </c>
      <c r="N155" s="4">
        <v>129138</v>
      </c>
      <c r="O155">
        <f t="shared" si="2"/>
        <v>7.4131399942976963E-3</v>
      </c>
    </row>
    <row r="156" spans="1:15" ht="14.25" customHeight="1" x14ac:dyDescent="0.3">
      <c r="A156" s="2">
        <v>45695</v>
      </c>
      <c r="B156" t="s">
        <v>15</v>
      </c>
      <c r="C156" s="3">
        <v>1240</v>
      </c>
      <c r="D156" s="3">
        <v>1243.75</v>
      </c>
      <c r="E156" s="3">
        <v>1226</v>
      </c>
      <c r="F156" s="3">
        <v>1236.6500000000001</v>
      </c>
      <c r="G156" s="3">
        <v>1241.3</v>
      </c>
      <c r="H156" s="3">
        <v>1240.4000000000001</v>
      </c>
      <c r="I156" s="3">
        <v>1237.03</v>
      </c>
      <c r="J156" s="3">
        <v>7107.45</v>
      </c>
      <c r="K156" s="3">
        <v>1164.6500000000001</v>
      </c>
      <c r="L156" s="4">
        <v>1236992</v>
      </c>
      <c r="M156" s="3">
        <v>1530198566.3</v>
      </c>
      <c r="N156" s="4">
        <v>63969</v>
      </c>
      <c r="O156">
        <f t="shared" si="2"/>
        <v>3.0323858812113368E-3</v>
      </c>
    </row>
    <row r="157" spans="1:15" ht="14.25" customHeight="1" x14ac:dyDescent="0.3">
      <c r="A157" s="2">
        <v>45698</v>
      </c>
      <c r="B157" t="s">
        <v>15</v>
      </c>
      <c r="C157" s="3">
        <v>1239.7</v>
      </c>
      <c r="D157" s="3">
        <v>1239.7</v>
      </c>
      <c r="E157" s="3">
        <v>1211.05</v>
      </c>
      <c r="F157" s="3">
        <v>1240.4000000000001</v>
      </c>
      <c r="G157" s="3">
        <v>1223.75</v>
      </c>
      <c r="H157" s="3">
        <v>1220.95</v>
      </c>
      <c r="I157" s="3">
        <v>1221.25</v>
      </c>
      <c r="J157" s="3">
        <v>7107.45</v>
      </c>
      <c r="K157" s="3">
        <v>1164.6500000000001</v>
      </c>
      <c r="L157" s="4">
        <v>1565579</v>
      </c>
      <c r="M157" s="3">
        <v>1911970618.9000001</v>
      </c>
      <c r="N157" s="4">
        <v>84539</v>
      </c>
      <c r="O157">
        <f t="shared" si="2"/>
        <v>-1.5680425669139023E-2</v>
      </c>
    </row>
    <row r="158" spans="1:15" ht="14.25" customHeight="1" x14ac:dyDescent="0.3">
      <c r="A158" s="2">
        <v>45699</v>
      </c>
      <c r="B158" t="s">
        <v>15</v>
      </c>
      <c r="C158" s="3">
        <v>1220</v>
      </c>
      <c r="D158" s="3">
        <v>1222.9000000000001</v>
      </c>
      <c r="E158" s="3">
        <v>1201.25</v>
      </c>
      <c r="F158" s="3">
        <v>1220.95</v>
      </c>
      <c r="G158" s="3">
        <v>1214.9000000000001</v>
      </c>
      <c r="H158" s="3">
        <v>1209.8</v>
      </c>
      <c r="I158" s="3">
        <v>1209.81</v>
      </c>
      <c r="J158" s="3">
        <v>7107.45</v>
      </c>
      <c r="K158" s="3">
        <v>1164.6500000000001</v>
      </c>
      <c r="L158" s="4">
        <v>1819297</v>
      </c>
      <c r="M158" s="3">
        <v>2200998919.9000001</v>
      </c>
      <c r="N158" s="4">
        <v>73187</v>
      </c>
      <c r="O158">
        <f t="shared" si="2"/>
        <v>-9.1322330971785014E-3</v>
      </c>
    </row>
    <row r="159" spans="1:15" ht="14.25" customHeight="1" x14ac:dyDescent="0.3">
      <c r="A159" s="2">
        <v>45700</v>
      </c>
      <c r="B159" t="s">
        <v>15</v>
      </c>
      <c r="C159" s="3">
        <v>1218</v>
      </c>
      <c r="D159" s="3">
        <v>1220.4000000000001</v>
      </c>
      <c r="E159" s="3">
        <v>1202.8499999999999</v>
      </c>
      <c r="F159" s="3">
        <v>1209.8</v>
      </c>
      <c r="G159" s="3">
        <v>1216.8499999999999</v>
      </c>
      <c r="H159" s="3">
        <v>1215.8499999999999</v>
      </c>
      <c r="I159" s="3">
        <v>1213.25</v>
      </c>
      <c r="J159" s="3">
        <v>7107.45</v>
      </c>
      <c r="K159" s="3">
        <v>1164.6500000000001</v>
      </c>
      <c r="L159" s="4">
        <v>1306601</v>
      </c>
      <c r="M159" s="3">
        <v>1585227953.05</v>
      </c>
      <c r="N159" s="4">
        <v>85109</v>
      </c>
      <c r="O159">
        <f t="shared" si="2"/>
        <v>5.0008265829062284E-3</v>
      </c>
    </row>
    <row r="160" spans="1:15" ht="14.25" customHeight="1" x14ac:dyDescent="0.3">
      <c r="A160" s="2">
        <v>45701</v>
      </c>
      <c r="B160" t="s">
        <v>15</v>
      </c>
      <c r="C160" s="3">
        <v>1216.9000000000001</v>
      </c>
      <c r="D160" s="3">
        <v>1243</v>
      </c>
      <c r="E160" s="3">
        <v>1216.9000000000001</v>
      </c>
      <c r="F160" s="3">
        <v>1215.8499999999999</v>
      </c>
      <c r="G160" s="3">
        <v>1222.8</v>
      </c>
      <c r="H160" s="3">
        <v>1223.5999999999999</v>
      </c>
      <c r="I160" s="3">
        <v>1224.5</v>
      </c>
      <c r="J160" s="3">
        <v>7107.45</v>
      </c>
      <c r="K160" s="3">
        <v>1164.6500000000001</v>
      </c>
      <c r="L160" s="4">
        <v>4447231</v>
      </c>
      <c r="M160" s="3">
        <v>5445637771.9499998</v>
      </c>
      <c r="N160" s="4">
        <v>135671</v>
      </c>
      <c r="O160">
        <f t="shared" si="2"/>
        <v>6.3741415470658395E-3</v>
      </c>
    </row>
    <row r="161" spans="1:15" ht="14.25" customHeight="1" x14ac:dyDescent="0.3">
      <c r="A161" s="2">
        <v>45702</v>
      </c>
      <c r="B161" t="s">
        <v>15</v>
      </c>
      <c r="C161" s="3">
        <v>1223.5</v>
      </c>
      <c r="D161" s="3">
        <v>1230</v>
      </c>
      <c r="E161" s="3">
        <v>1186.25</v>
      </c>
      <c r="F161" s="3">
        <v>1223.5999999999999</v>
      </c>
      <c r="G161" s="3">
        <v>1197.45</v>
      </c>
      <c r="H161" s="3">
        <v>1197.05</v>
      </c>
      <c r="I161" s="3">
        <v>1198.98</v>
      </c>
      <c r="J161" s="3">
        <v>7107.45</v>
      </c>
      <c r="K161" s="3">
        <v>1164.6500000000001</v>
      </c>
      <c r="L161" s="4">
        <v>1211843</v>
      </c>
      <c r="M161" s="3">
        <v>1452972955</v>
      </c>
      <c r="N161" s="4">
        <v>95347</v>
      </c>
      <c r="O161">
        <f t="shared" si="2"/>
        <v>-2.1698267407649522E-2</v>
      </c>
    </row>
    <row r="162" spans="1:15" ht="14.25" customHeight="1" x14ac:dyDescent="0.3">
      <c r="A162" s="2">
        <v>45705</v>
      </c>
      <c r="B162" t="s">
        <v>15</v>
      </c>
      <c r="C162" s="3">
        <v>1196.8499999999999</v>
      </c>
      <c r="D162" s="3">
        <v>1202</v>
      </c>
      <c r="E162" s="3">
        <v>1183.1500000000001</v>
      </c>
      <c r="F162" s="3">
        <v>1197.05</v>
      </c>
      <c r="G162" s="3">
        <v>1199.4000000000001</v>
      </c>
      <c r="H162" s="3">
        <v>1198.95</v>
      </c>
      <c r="I162" s="3">
        <v>1194.79</v>
      </c>
      <c r="J162" s="3">
        <v>7107.45</v>
      </c>
      <c r="K162" s="3">
        <v>1164.6500000000001</v>
      </c>
      <c r="L162" s="4">
        <v>613030</v>
      </c>
      <c r="M162" s="3">
        <v>732443253.5</v>
      </c>
      <c r="N162" s="4">
        <v>53082</v>
      </c>
      <c r="O162">
        <f t="shared" si="2"/>
        <v>1.5872352867466613E-3</v>
      </c>
    </row>
    <row r="163" spans="1:15" ht="14.25" customHeight="1" x14ac:dyDescent="0.3">
      <c r="A163" s="2">
        <v>45706</v>
      </c>
      <c r="B163" t="s">
        <v>15</v>
      </c>
      <c r="C163" s="3">
        <v>1198.95</v>
      </c>
      <c r="D163" s="3">
        <v>1204.95</v>
      </c>
      <c r="E163" s="3">
        <v>1182</v>
      </c>
      <c r="F163" s="3">
        <v>1198.95</v>
      </c>
      <c r="G163" s="3">
        <v>1197.95</v>
      </c>
      <c r="H163" s="3">
        <v>1197.4000000000001</v>
      </c>
      <c r="I163" s="3">
        <v>1194.53</v>
      </c>
      <c r="J163" s="3">
        <v>7107.45</v>
      </c>
      <c r="K163" s="3">
        <v>1164.6500000000001</v>
      </c>
      <c r="L163" s="4">
        <v>1713796</v>
      </c>
      <c r="M163" s="3">
        <v>2047187333.3499999</v>
      </c>
      <c r="N163" s="4">
        <v>117828</v>
      </c>
      <c r="O163">
        <f t="shared" si="2"/>
        <v>-1.2927978647983272E-3</v>
      </c>
    </row>
    <row r="164" spans="1:15" ht="14.25" customHeight="1" x14ac:dyDescent="0.3">
      <c r="A164" s="2">
        <v>45707</v>
      </c>
      <c r="B164" t="s">
        <v>15</v>
      </c>
      <c r="C164" s="3">
        <v>1166</v>
      </c>
      <c r="D164" s="3">
        <v>1176.95</v>
      </c>
      <c r="E164" s="3">
        <v>1127.5</v>
      </c>
      <c r="F164" s="3">
        <v>1197.4000000000001</v>
      </c>
      <c r="G164" s="3">
        <v>1167.75</v>
      </c>
      <c r="H164" s="3">
        <v>1165.8499999999999</v>
      </c>
      <c r="I164" s="3">
        <v>1163.9000000000001</v>
      </c>
      <c r="J164" s="3">
        <v>7107.45</v>
      </c>
      <c r="K164" s="3">
        <v>1127.5</v>
      </c>
      <c r="L164" s="4">
        <v>3062142</v>
      </c>
      <c r="M164" s="3">
        <v>3564020970.5999999</v>
      </c>
      <c r="N164" s="4">
        <v>137639</v>
      </c>
      <c r="O164">
        <f t="shared" si="2"/>
        <v>-2.6348755637214113E-2</v>
      </c>
    </row>
    <row r="165" spans="1:15" ht="14.25" customHeight="1" x14ac:dyDescent="0.3">
      <c r="A165" s="2">
        <v>45708</v>
      </c>
      <c r="B165" t="s">
        <v>15</v>
      </c>
      <c r="C165" s="3">
        <v>1164.5</v>
      </c>
      <c r="D165" s="3">
        <v>1174.1500000000001</v>
      </c>
      <c r="E165" s="3">
        <v>1156.25</v>
      </c>
      <c r="F165" s="3">
        <v>1165.8499999999999</v>
      </c>
      <c r="G165" s="3">
        <v>1171.95</v>
      </c>
      <c r="H165" s="3">
        <v>1170.95</v>
      </c>
      <c r="I165" s="3">
        <v>1167.25</v>
      </c>
      <c r="J165" s="3">
        <v>7107.45</v>
      </c>
      <c r="K165" s="3">
        <v>1127.5</v>
      </c>
      <c r="L165" s="4">
        <v>1579890</v>
      </c>
      <c r="M165" s="3">
        <v>1844125537.6500001</v>
      </c>
      <c r="N165" s="4">
        <v>96261</v>
      </c>
      <c r="O165">
        <f t="shared" si="2"/>
        <v>4.3744907149291393E-3</v>
      </c>
    </row>
    <row r="166" spans="1:15" ht="14.25" customHeight="1" x14ac:dyDescent="0.3">
      <c r="A166" s="2">
        <v>45709</v>
      </c>
      <c r="B166" t="s">
        <v>15</v>
      </c>
      <c r="C166" s="3">
        <v>1170.7</v>
      </c>
      <c r="D166" s="3">
        <v>1170.75</v>
      </c>
      <c r="E166" s="3">
        <v>1145.25</v>
      </c>
      <c r="F166" s="3">
        <v>1170.95</v>
      </c>
      <c r="G166" s="3">
        <v>1150.8</v>
      </c>
      <c r="H166" s="3">
        <v>1151.8</v>
      </c>
      <c r="I166" s="3">
        <v>1152.69</v>
      </c>
      <c r="J166" s="3">
        <v>7107.45</v>
      </c>
      <c r="K166" s="3">
        <v>1127.5</v>
      </c>
      <c r="L166" s="4">
        <v>6828902</v>
      </c>
      <c r="M166" s="3">
        <v>7871587403.6000004</v>
      </c>
      <c r="N166" s="4">
        <v>117743</v>
      </c>
      <c r="O166">
        <f t="shared" si="2"/>
        <v>-1.6354242281907929E-2</v>
      </c>
    </row>
    <row r="167" spans="1:15" ht="14.25" customHeight="1" x14ac:dyDescent="0.3">
      <c r="A167" s="2">
        <v>45712</v>
      </c>
      <c r="B167" t="s">
        <v>15</v>
      </c>
      <c r="C167" s="3">
        <v>1151.8</v>
      </c>
      <c r="D167" s="3">
        <v>1173.9000000000001</v>
      </c>
      <c r="E167" s="3">
        <v>1151</v>
      </c>
      <c r="F167" s="3">
        <v>1151.8</v>
      </c>
      <c r="G167" s="3">
        <v>1164.9000000000001</v>
      </c>
      <c r="H167" s="3">
        <v>1164.55</v>
      </c>
      <c r="I167" s="3">
        <v>1165.8499999999999</v>
      </c>
      <c r="J167" s="3">
        <v>7107.45</v>
      </c>
      <c r="K167" s="3">
        <v>1127.5</v>
      </c>
      <c r="L167" s="4">
        <v>2017521</v>
      </c>
      <c r="M167" s="3">
        <v>2352120219.6999998</v>
      </c>
      <c r="N167" s="4">
        <v>87242</v>
      </c>
      <c r="O167">
        <f t="shared" si="2"/>
        <v>1.1069630144122244E-2</v>
      </c>
    </row>
    <row r="168" spans="1:15" ht="14.25" customHeight="1" x14ac:dyDescent="0.3">
      <c r="A168" s="2">
        <v>45713</v>
      </c>
      <c r="B168" t="s">
        <v>15</v>
      </c>
      <c r="C168" s="3">
        <v>1167.1500000000001</v>
      </c>
      <c r="D168" s="3">
        <v>1169.55</v>
      </c>
      <c r="E168" s="3">
        <v>1122.5</v>
      </c>
      <c r="F168" s="3">
        <v>1164.55</v>
      </c>
      <c r="G168" s="3">
        <v>1128.5</v>
      </c>
      <c r="H168" s="3">
        <v>1128.1500000000001</v>
      </c>
      <c r="I168" s="3">
        <v>1135.92</v>
      </c>
      <c r="J168" s="3">
        <v>7107.45</v>
      </c>
      <c r="K168" s="3">
        <v>1122.5</v>
      </c>
      <c r="L168" s="4">
        <v>6463238</v>
      </c>
      <c r="M168" s="3">
        <v>7341736988.6999998</v>
      </c>
      <c r="N168" s="4">
        <v>97406</v>
      </c>
      <c r="O168">
        <f t="shared" si="2"/>
        <v>-3.1256708599888251E-2</v>
      </c>
    </row>
    <row r="169" spans="1:15" ht="14.25" customHeight="1" x14ac:dyDescent="0.3">
      <c r="A169" s="2">
        <v>45715</v>
      </c>
      <c r="B169" t="s">
        <v>15</v>
      </c>
      <c r="C169" s="3">
        <v>1128.5</v>
      </c>
      <c r="D169" s="3">
        <v>1136.3499999999999</v>
      </c>
      <c r="E169" s="3">
        <v>1115</v>
      </c>
      <c r="F169" s="3">
        <v>1128.1500000000001</v>
      </c>
      <c r="G169" s="3">
        <v>1122</v>
      </c>
      <c r="H169" s="3">
        <v>1125.55</v>
      </c>
      <c r="I169" s="3">
        <v>1124.22</v>
      </c>
      <c r="J169" s="3">
        <v>7107.45</v>
      </c>
      <c r="K169" s="3">
        <v>1115</v>
      </c>
      <c r="L169" s="4">
        <v>3435069</v>
      </c>
      <c r="M169" s="3">
        <v>3861776840.0999999</v>
      </c>
      <c r="N169" s="4">
        <v>103886</v>
      </c>
      <c r="O169">
        <f t="shared" si="2"/>
        <v>-2.3046580685193779E-3</v>
      </c>
    </row>
    <row r="170" spans="1:15" ht="14.25" customHeight="1" x14ac:dyDescent="0.3">
      <c r="A170" s="2">
        <v>45716</v>
      </c>
      <c r="B170" t="s">
        <v>15</v>
      </c>
      <c r="C170" s="3">
        <v>1128.7</v>
      </c>
      <c r="D170" s="3">
        <v>1132</v>
      </c>
      <c r="E170" s="3">
        <v>1104.55</v>
      </c>
      <c r="F170" s="3">
        <v>1125.55</v>
      </c>
      <c r="G170" s="3">
        <v>1115.7</v>
      </c>
      <c r="H170" s="3">
        <v>1116.5</v>
      </c>
      <c r="I170" s="3">
        <v>1117.3800000000001</v>
      </c>
      <c r="J170" s="3">
        <v>7107.45</v>
      </c>
      <c r="K170" s="3">
        <v>1104.55</v>
      </c>
      <c r="L170" s="4">
        <v>3895033</v>
      </c>
      <c r="M170" s="3">
        <v>4352246093.75</v>
      </c>
      <c r="N170" s="4">
        <v>118092</v>
      </c>
      <c r="O170">
        <f t="shared" si="2"/>
        <v>-8.0405135267202308E-3</v>
      </c>
    </row>
    <row r="171" spans="1:15" ht="14.25" customHeight="1" x14ac:dyDescent="0.3">
      <c r="A171" s="2">
        <v>45719</v>
      </c>
      <c r="B171" t="s">
        <v>15</v>
      </c>
      <c r="C171" s="3">
        <v>1118.3499999999999</v>
      </c>
      <c r="D171" s="3">
        <v>1130.25</v>
      </c>
      <c r="E171" s="3">
        <v>1103.9000000000001</v>
      </c>
      <c r="F171" s="3">
        <v>1116.5</v>
      </c>
      <c r="G171" s="3">
        <v>1121.05</v>
      </c>
      <c r="H171" s="3">
        <v>1119.5999999999999</v>
      </c>
      <c r="I171" s="3">
        <v>1116.1600000000001</v>
      </c>
      <c r="J171" s="3">
        <v>7107.45</v>
      </c>
      <c r="K171" s="3">
        <v>1103.9000000000001</v>
      </c>
      <c r="L171" s="4">
        <v>1810605</v>
      </c>
      <c r="M171" s="3">
        <v>2020928271.6500001</v>
      </c>
      <c r="N171" s="4">
        <v>81950</v>
      </c>
      <c r="O171">
        <f t="shared" si="2"/>
        <v>2.7765338110164882E-3</v>
      </c>
    </row>
    <row r="172" spans="1:15" ht="14.25" customHeight="1" x14ac:dyDescent="0.3">
      <c r="A172" s="2">
        <v>45720</v>
      </c>
      <c r="B172" t="s">
        <v>15</v>
      </c>
      <c r="C172" s="3">
        <v>1111.0999999999999</v>
      </c>
      <c r="D172" s="3">
        <v>1124.1500000000001</v>
      </c>
      <c r="E172" s="3">
        <v>1105.05</v>
      </c>
      <c r="F172" s="3">
        <v>1119.5999999999999</v>
      </c>
      <c r="G172" s="3">
        <v>1118.05</v>
      </c>
      <c r="H172" s="3">
        <v>1120.1500000000001</v>
      </c>
      <c r="I172" s="3">
        <v>1117</v>
      </c>
      <c r="J172" s="3">
        <v>7107.45</v>
      </c>
      <c r="K172" s="3">
        <v>1103.9000000000001</v>
      </c>
      <c r="L172" s="4">
        <v>1074133</v>
      </c>
      <c r="M172" s="3">
        <v>1199808579.8</v>
      </c>
      <c r="N172" s="4">
        <v>58710</v>
      </c>
      <c r="O172">
        <f t="shared" si="2"/>
        <v>4.9124687388369238E-4</v>
      </c>
    </row>
    <row r="173" spans="1:15" ht="14.25" customHeight="1" x14ac:dyDescent="0.3">
      <c r="A173" s="2">
        <v>45721</v>
      </c>
      <c r="B173" t="s">
        <v>15</v>
      </c>
      <c r="C173" s="3">
        <v>1120.5</v>
      </c>
      <c r="D173" s="3">
        <v>1129</v>
      </c>
      <c r="E173" s="3">
        <v>1110.55</v>
      </c>
      <c r="F173" s="3">
        <v>1120.1500000000001</v>
      </c>
      <c r="G173" s="3">
        <v>1125.75</v>
      </c>
      <c r="H173" s="3">
        <v>1126.4000000000001</v>
      </c>
      <c r="I173" s="3">
        <v>1124.02</v>
      </c>
      <c r="J173" s="3">
        <v>7107.45</v>
      </c>
      <c r="K173" s="3">
        <v>1103.9000000000001</v>
      </c>
      <c r="L173" s="4">
        <v>1260157</v>
      </c>
      <c r="M173" s="3">
        <v>1416443105.2</v>
      </c>
      <c r="N173" s="4">
        <v>60780</v>
      </c>
      <c r="O173">
        <f t="shared" si="2"/>
        <v>5.5796098736776321E-3</v>
      </c>
    </row>
    <row r="174" spans="1:15" ht="14.25" customHeight="1" x14ac:dyDescent="0.3">
      <c r="A174" s="2">
        <v>45722</v>
      </c>
      <c r="B174" t="s">
        <v>15</v>
      </c>
      <c r="C174" s="3">
        <v>1135</v>
      </c>
      <c r="D174" s="3">
        <v>1145.7</v>
      </c>
      <c r="E174" s="3">
        <v>1118.6500000000001</v>
      </c>
      <c r="F174" s="3">
        <v>1126.4000000000001</v>
      </c>
      <c r="G174" s="3">
        <v>1138.4000000000001</v>
      </c>
      <c r="H174" s="3">
        <v>1140.0999999999999</v>
      </c>
      <c r="I174" s="3">
        <v>1134.29</v>
      </c>
      <c r="J174" s="3">
        <v>7107.45</v>
      </c>
      <c r="K174" s="3">
        <v>1103.9000000000001</v>
      </c>
      <c r="L174" s="4">
        <v>1648697</v>
      </c>
      <c r="M174" s="3">
        <v>1870096561.6500001</v>
      </c>
      <c r="N174" s="4">
        <v>116885</v>
      </c>
      <c r="O174">
        <f t="shared" si="2"/>
        <v>1.2162642045454383E-2</v>
      </c>
    </row>
    <row r="175" spans="1:15" ht="14.25" customHeight="1" x14ac:dyDescent="0.3">
      <c r="A175" s="2">
        <v>45723</v>
      </c>
      <c r="B175" t="s">
        <v>15</v>
      </c>
      <c r="C175" s="3">
        <v>1140.0999999999999</v>
      </c>
      <c r="D175" s="3">
        <v>1145.2</v>
      </c>
      <c r="E175" s="3">
        <v>1130</v>
      </c>
      <c r="F175" s="3">
        <v>1140.0999999999999</v>
      </c>
      <c r="G175" s="3">
        <v>1133.2</v>
      </c>
      <c r="H175" s="3">
        <v>1133.25</v>
      </c>
      <c r="I175" s="3">
        <v>1137.1300000000001</v>
      </c>
      <c r="J175" s="3">
        <v>7107.45</v>
      </c>
      <c r="K175" s="3">
        <v>1103.9000000000001</v>
      </c>
      <c r="L175" s="4">
        <v>790599</v>
      </c>
      <c r="M175" s="3">
        <v>899016658.45000005</v>
      </c>
      <c r="N175" s="4">
        <v>59286</v>
      </c>
      <c r="O175">
        <f t="shared" si="2"/>
        <v>-6.008244890798973E-3</v>
      </c>
    </row>
    <row r="176" spans="1:15" ht="14.25" customHeight="1" x14ac:dyDescent="0.3">
      <c r="A176" s="2">
        <v>45726</v>
      </c>
      <c r="B176" t="s">
        <v>15</v>
      </c>
      <c r="C176" s="3">
        <v>1134.95</v>
      </c>
      <c r="D176" s="3">
        <v>1137.1500000000001</v>
      </c>
      <c r="E176" s="3">
        <v>1115.4000000000001</v>
      </c>
      <c r="F176" s="3">
        <v>1133.25</v>
      </c>
      <c r="G176" s="3">
        <v>1120</v>
      </c>
      <c r="H176" s="3">
        <v>1120.2</v>
      </c>
      <c r="I176" s="3">
        <v>1127.02</v>
      </c>
      <c r="J176" s="3">
        <v>7107.45</v>
      </c>
      <c r="K176" s="3">
        <v>1103.9000000000001</v>
      </c>
      <c r="L176" s="4">
        <v>950503</v>
      </c>
      <c r="M176" s="3">
        <v>1071239552.55</v>
      </c>
      <c r="N176" s="4">
        <v>63406</v>
      </c>
      <c r="O176">
        <f t="shared" si="2"/>
        <v>-1.1515552614162766E-2</v>
      </c>
    </row>
    <row r="177" spans="1:15" ht="14.25" customHeight="1" x14ac:dyDescent="0.3">
      <c r="A177" s="2">
        <v>45727</v>
      </c>
      <c r="B177" t="s">
        <v>15</v>
      </c>
      <c r="C177" s="3">
        <v>1117</v>
      </c>
      <c r="D177" s="3">
        <v>1126.95</v>
      </c>
      <c r="E177" s="3">
        <v>1110.6500000000001</v>
      </c>
      <c r="F177" s="3">
        <v>1120.2</v>
      </c>
      <c r="G177" s="3">
        <v>1117.4000000000001</v>
      </c>
      <c r="H177" s="3">
        <v>1116.6500000000001</v>
      </c>
      <c r="I177" s="3">
        <v>1119.0899999999999</v>
      </c>
      <c r="J177" s="3">
        <v>7107.45</v>
      </c>
      <c r="K177" s="3">
        <v>1103.9000000000001</v>
      </c>
      <c r="L177" s="4">
        <v>884438</v>
      </c>
      <c r="M177" s="3">
        <v>989767086.20000005</v>
      </c>
      <c r="N177" s="4">
        <v>51801</v>
      </c>
      <c r="O177">
        <f t="shared" si="2"/>
        <v>-3.1690769505445049E-3</v>
      </c>
    </row>
    <row r="178" spans="1:15" ht="14.25" customHeight="1" x14ac:dyDescent="0.3">
      <c r="A178" s="2">
        <v>45728</v>
      </c>
      <c r="B178" t="s">
        <v>15</v>
      </c>
      <c r="C178" s="3">
        <v>1116.5999999999999</v>
      </c>
      <c r="D178" s="3">
        <v>1116.6500000000001</v>
      </c>
      <c r="E178" s="3">
        <v>1092.45</v>
      </c>
      <c r="F178" s="3">
        <v>1116.6500000000001</v>
      </c>
      <c r="G178" s="3">
        <v>1107.25</v>
      </c>
      <c r="H178" s="3">
        <v>1105.1500000000001</v>
      </c>
      <c r="I178" s="3">
        <v>1101.33</v>
      </c>
      <c r="J178" s="3">
        <v>7107.45</v>
      </c>
      <c r="K178" s="3">
        <v>1092.45</v>
      </c>
      <c r="L178" s="4">
        <v>1914579</v>
      </c>
      <c r="M178" s="3">
        <v>2108584700.55</v>
      </c>
      <c r="N178" s="4">
        <v>84955</v>
      </c>
      <c r="O178">
        <f t="shared" si="2"/>
        <v>-1.0298661174047373E-2</v>
      </c>
    </row>
    <row r="179" spans="1:15" ht="14.25" customHeight="1" x14ac:dyDescent="0.3">
      <c r="A179" s="2">
        <v>45729</v>
      </c>
      <c r="B179" t="s">
        <v>15</v>
      </c>
      <c r="C179" s="3">
        <v>1105.1500000000001</v>
      </c>
      <c r="D179" s="3">
        <v>1110.25</v>
      </c>
      <c r="E179" s="3">
        <v>1095.05</v>
      </c>
      <c r="F179" s="3">
        <v>1105.1500000000001</v>
      </c>
      <c r="G179" s="3">
        <v>1106.3499999999999</v>
      </c>
      <c r="H179" s="3">
        <v>1107.95</v>
      </c>
      <c r="I179" s="3">
        <v>1104.6600000000001</v>
      </c>
      <c r="J179" s="3">
        <v>7107.45</v>
      </c>
      <c r="K179" s="3">
        <v>1092.45</v>
      </c>
      <c r="L179" s="4">
        <v>1299174</v>
      </c>
      <c r="M179" s="3">
        <v>1435145064.45</v>
      </c>
      <c r="N179" s="4">
        <v>52788</v>
      </c>
      <c r="O179">
        <f t="shared" si="2"/>
        <v>2.5335927249694199E-3</v>
      </c>
    </row>
    <row r="180" spans="1:15" ht="14.25" customHeight="1" x14ac:dyDescent="0.3">
      <c r="A180" s="2">
        <v>45733</v>
      </c>
      <c r="B180" t="s">
        <v>15</v>
      </c>
      <c r="C180" s="3">
        <v>1107.9000000000001</v>
      </c>
      <c r="D180" s="3">
        <v>1154.0999999999999</v>
      </c>
      <c r="E180" s="3">
        <v>1101.5</v>
      </c>
      <c r="F180" s="3">
        <v>1107.95</v>
      </c>
      <c r="G180" s="3">
        <v>1151.5</v>
      </c>
      <c r="H180" s="3">
        <v>1150.7</v>
      </c>
      <c r="I180" s="3">
        <v>1142.5899999999999</v>
      </c>
      <c r="J180" s="3">
        <v>7107.45</v>
      </c>
      <c r="K180" s="3">
        <v>1092.45</v>
      </c>
      <c r="L180" s="4">
        <v>2714559</v>
      </c>
      <c r="M180" s="3">
        <v>3101622486.6999998</v>
      </c>
      <c r="N180" s="4">
        <v>88380</v>
      </c>
      <c r="O180">
        <f t="shared" si="2"/>
        <v>3.8584773681122793E-2</v>
      </c>
    </row>
    <row r="181" spans="1:15" ht="14.25" customHeight="1" x14ac:dyDescent="0.3">
      <c r="A181" s="2">
        <v>45734</v>
      </c>
      <c r="B181" t="s">
        <v>15</v>
      </c>
      <c r="C181" s="3">
        <v>1157.8</v>
      </c>
      <c r="D181" s="3">
        <v>1169.4000000000001</v>
      </c>
      <c r="E181" s="3">
        <v>1149</v>
      </c>
      <c r="F181" s="3">
        <v>1150.7</v>
      </c>
      <c r="G181" s="3">
        <v>1163</v>
      </c>
      <c r="H181" s="3">
        <v>1163.7</v>
      </c>
      <c r="I181" s="3">
        <v>1161.7</v>
      </c>
      <c r="J181" s="3">
        <v>7107.45</v>
      </c>
      <c r="K181" s="3">
        <v>1092.45</v>
      </c>
      <c r="L181" s="4">
        <v>1734982</v>
      </c>
      <c r="M181" s="3">
        <v>2015521876.8</v>
      </c>
      <c r="N181" s="4">
        <v>67683</v>
      </c>
      <c r="O181">
        <f t="shared" si="2"/>
        <v>1.1297471104545058E-2</v>
      </c>
    </row>
    <row r="182" spans="1:15" ht="14.25" customHeight="1" x14ac:dyDescent="0.3">
      <c r="A182" s="2">
        <v>45735</v>
      </c>
      <c r="B182" t="s">
        <v>15</v>
      </c>
      <c r="C182" s="3">
        <v>1174</v>
      </c>
      <c r="D182" s="3">
        <v>1177.7</v>
      </c>
      <c r="E182" s="3">
        <v>1158.0999999999999</v>
      </c>
      <c r="F182" s="3">
        <v>1163.7</v>
      </c>
      <c r="G182" s="3">
        <v>1171</v>
      </c>
      <c r="H182" s="3">
        <v>1172.0999999999999</v>
      </c>
      <c r="I182" s="3">
        <v>1167.17</v>
      </c>
      <c r="J182" s="3">
        <v>7107.45</v>
      </c>
      <c r="K182" s="3">
        <v>1092.45</v>
      </c>
      <c r="L182" s="4">
        <v>1507415</v>
      </c>
      <c r="M182" s="3">
        <v>1759405481.55</v>
      </c>
      <c r="N182" s="4">
        <v>58947</v>
      </c>
      <c r="O182">
        <f t="shared" si="2"/>
        <v>7.218355246197356E-3</v>
      </c>
    </row>
    <row r="183" spans="1:15" ht="14.25" customHeight="1" x14ac:dyDescent="0.3">
      <c r="A183" s="2">
        <v>45736</v>
      </c>
      <c r="B183" t="s">
        <v>15</v>
      </c>
      <c r="C183" s="3">
        <v>1178.95</v>
      </c>
      <c r="D183" s="3">
        <v>1190.75</v>
      </c>
      <c r="E183" s="3">
        <v>1165.3</v>
      </c>
      <c r="F183" s="3">
        <v>1172.0999999999999</v>
      </c>
      <c r="G183" s="3">
        <v>1186</v>
      </c>
      <c r="H183" s="3">
        <v>1187.2</v>
      </c>
      <c r="I183" s="3">
        <v>1180.3499999999999</v>
      </c>
      <c r="J183" s="3">
        <v>7107.45</v>
      </c>
      <c r="K183" s="3">
        <v>1092.45</v>
      </c>
      <c r="L183" s="4">
        <v>1521677</v>
      </c>
      <c r="M183" s="3">
        <v>1796107267.8499999</v>
      </c>
      <c r="N183" s="4">
        <v>90571</v>
      </c>
      <c r="O183">
        <f t="shared" si="2"/>
        <v>1.2882859824247195E-2</v>
      </c>
    </row>
    <row r="184" spans="1:15" ht="14.25" customHeight="1" x14ac:dyDescent="0.3">
      <c r="A184" s="2">
        <v>45737</v>
      </c>
      <c r="B184" t="s">
        <v>15</v>
      </c>
      <c r="C184" s="3">
        <v>1190.2</v>
      </c>
      <c r="D184" s="3">
        <v>1204.6500000000001</v>
      </c>
      <c r="E184" s="3">
        <v>1177.05</v>
      </c>
      <c r="F184" s="3">
        <v>1187.2</v>
      </c>
      <c r="G184" s="3">
        <v>1202.25</v>
      </c>
      <c r="H184" s="3">
        <v>1200.1500000000001</v>
      </c>
      <c r="I184" s="3">
        <v>1195.1300000000001</v>
      </c>
      <c r="J184" s="3">
        <v>7107.45</v>
      </c>
      <c r="K184" s="3">
        <v>1092.45</v>
      </c>
      <c r="L184" s="4">
        <v>2313824</v>
      </c>
      <c r="M184" s="3">
        <v>2765319297.8499999</v>
      </c>
      <c r="N184" s="4">
        <v>90859</v>
      </c>
      <c r="O184">
        <f t="shared" si="2"/>
        <v>1.0908018867924566E-2</v>
      </c>
    </row>
    <row r="185" spans="1:15" ht="14.25" customHeight="1" x14ac:dyDescent="0.3">
      <c r="A185" s="2">
        <v>45740</v>
      </c>
      <c r="B185" t="s">
        <v>15</v>
      </c>
      <c r="C185" s="3">
        <v>1205</v>
      </c>
      <c r="D185" s="3">
        <v>1216.3499999999999</v>
      </c>
      <c r="E185" s="3">
        <v>1190.25</v>
      </c>
      <c r="F185" s="3">
        <v>1200.1500000000001</v>
      </c>
      <c r="G185" s="3">
        <v>1208</v>
      </c>
      <c r="H185" s="3">
        <v>1210.3</v>
      </c>
      <c r="I185" s="3">
        <v>1204.27</v>
      </c>
      <c r="J185" s="3">
        <v>7107.45</v>
      </c>
      <c r="K185" s="3">
        <v>1092.45</v>
      </c>
      <c r="L185" s="4">
        <v>1660669</v>
      </c>
      <c r="M185" s="3">
        <v>1999888358.55</v>
      </c>
      <c r="N185" s="4">
        <v>64032</v>
      </c>
      <c r="O185">
        <f t="shared" si="2"/>
        <v>8.4572761738114927E-3</v>
      </c>
    </row>
    <row r="186" spans="1:15" ht="14.25" customHeight="1" x14ac:dyDescent="0.3">
      <c r="A186" s="2">
        <v>45741</v>
      </c>
      <c r="B186" t="s">
        <v>15</v>
      </c>
      <c r="C186" s="3">
        <v>1210.3</v>
      </c>
      <c r="D186" s="3">
        <v>1215.95</v>
      </c>
      <c r="E186" s="3">
        <v>1167.95</v>
      </c>
      <c r="F186" s="3">
        <v>1210.3</v>
      </c>
      <c r="G186" s="3">
        <v>1173.5</v>
      </c>
      <c r="H186" s="3">
        <v>1177.9000000000001</v>
      </c>
      <c r="I186" s="3">
        <v>1178.26</v>
      </c>
      <c r="J186" s="3">
        <v>7107.45</v>
      </c>
      <c r="K186" s="3">
        <v>1092.45</v>
      </c>
      <c r="L186" s="4">
        <v>2860907</v>
      </c>
      <c r="M186" s="3">
        <v>3370901737.4499998</v>
      </c>
      <c r="N186" s="4">
        <v>98645</v>
      </c>
      <c r="O186">
        <f t="shared" si="2"/>
        <v>-2.6770222258943953E-2</v>
      </c>
    </row>
    <row r="187" spans="1:15" ht="14.25" customHeight="1" x14ac:dyDescent="0.3">
      <c r="A187" s="2">
        <v>45742</v>
      </c>
      <c r="B187" t="s">
        <v>15</v>
      </c>
      <c r="C187" s="3">
        <v>1177.9000000000001</v>
      </c>
      <c r="D187" s="3">
        <v>1179.8</v>
      </c>
      <c r="E187" s="3">
        <v>1152.6500000000001</v>
      </c>
      <c r="F187" s="3">
        <v>1177.9000000000001</v>
      </c>
      <c r="G187" s="3">
        <v>1161.4000000000001</v>
      </c>
      <c r="H187" s="3">
        <v>1164.5999999999999</v>
      </c>
      <c r="I187" s="3">
        <v>1163.8499999999999</v>
      </c>
      <c r="J187" s="3">
        <v>7107.45</v>
      </c>
      <c r="K187" s="3">
        <v>1092.45</v>
      </c>
      <c r="L187" s="4">
        <v>2864505</v>
      </c>
      <c r="M187" s="3">
        <v>3333849572.8499999</v>
      </c>
      <c r="N187" s="4">
        <v>134793</v>
      </c>
      <c r="O187">
        <f t="shared" si="2"/>
        <v>-1.1291281093471587E-2</v>
      </c>
    </row>
    <row r="188" spans="1:15" ht="14.25" customHeight="1" x14ac:dyDescent="0.3">
      <c r="A188" s="2">
        <v>45743</v>
      </c>
      <c r="B188" t="s">
        <v>15</v>
      </c>
      <c r="C188" s="3">
        <v>1160</v>
      </c>
      <c r="D188" s="3">
        <v>1172.4000000000001</v>
      </c>
      <c r="E188" s="3">
        <v>1144</v>
      </c>
      <c r="F188" s="3">
        <v>1164.5999999999999</v>
      </c>
      <c r="G188" s="3">
        <v>1161.4000000000001</v>
      </c>
      <c r="H188" s="3">
        <v>1162.2</v>
      </c>
      <c r="I188" s="3">
        <v>1154.04</v>
      </c>
      <c r="J188" s="3">
        <v>7107.45</v>
      </c>
      <c r="K188" s="3">
        <v>1092.45</v>
      </c>
      <c r="L188" s="4">
        <v>4460409</v>
      </c>
      <c r="M188" s="3">
        <v>5147481095.3999996</v>
      </c>
      <c r="N188" s="4">
        <v>141276</v>
      </c>
      <c r="O188">
        <f t="shared" si="2"/>
        <v>-2.0607934054609855E-3</v>
      </c>
    </row>
    <row r="189" spans="1:15" ht="14.25" customHeight="1" x14ac:dyDescent="0.3">
      <c r="A189" s="2">
        <v>45744</v>
      </c>
      <c r="B189" t="s">
        <v>15</v>
      </c>
      <c r="C189" s="3">
        <v>1159.25</v>
      </c>
      <c r="D189" s="3">
        <v>1159.25</v>
      </c>
      <c r="E189" s="3">
        <v>1140.75</v>
      </c>
      <c r="F189" s="3">
        <v>1162.2</v>
      </c>
      <c r="G189" s="3">
        <v>1145</v>
      </c>
      <c r="H189" s="3">
        <v>1144.2</v>
      </c>
      <c r="I189" s="3">
        <v>1148</v>
      </c>
      <c r="J189" s="3">
        <v>7107.45</v>
      </c>
      <c r="K189" s="3">
        <v>1092.45</v>
      </c>
      <c r="L189" s="4">
        <v>2762934</v>
      </c>
      <c r="M189" s="3">
        <v>3171838628.3499999</v>
      </c>
      <c r="N189" s="4">
        <v>95730</v>
      </c>
      <c r="O189">
        <f t="shared" si="2"/>
        <v>-1.5487867836861124E-2</v>
      </c>
    </row>
    <row r="190" spans="1:15" ht="14.25" customHeight="1" x14ac:dyDescent="0.3">
      <c r="A190" s="2">
        <v>45748</v>
      </c>
      <c r="B190" t="s">
        <v>15</v>
      </c>
      <c r="C190" s="3">
        <v>1144.2</v>
      </c>
      <c r="D190" s="3">
        <v>1164.4000000000001</v>
      </c>
      <c r="E190" s="3">
        <v>1136.05</v>
      </c>
      <c r="F190" s="3">
        <v>1144.2</v>
      </c>
      <c r="G190" s="3">
        <v>1150</v>
      </c>
      <c r="H190" s="3">
        <v>1152.2</v>
      </c>
      <c r="I190" s="3">
        <v>1153.1300000000001</v>
      </c>
      <c r="J190" s="3">
        <v>7107.45</v>
      </c>
      <c r="K190" s="3">
        <v>1092.45</v>
      </c>
      <c r="L190" s="4">
        <v>4158012</v>
      </c>
      <c r="M190" s="3">
        <v>4794716300.25</v>
      </c>
      <c r="N190" s="4">
        <v>98563</v>
      </c>
      <c r="O190">
        <f t="shared" si="2"/>
        <v>6.9917846530326861E-3</v>
      </c>
    </row>
    <row r="191" spans="1:15" ht="14.25" customHeight="1" x14ac:dyDescent="0.3">
      <c r="A191" s="2">
        <v>45749</v>
      </c>
      <c r="B191" t="s">
        <v>15</v>
      </c>
      <c r="C191" s="3">
        <v>1150</v>
      </c>
      <c r="D191" s="3">
        <v>1152.7</v>
      </c>
      <c r="E191" s="3">
        <v>1135</v>
      </c>
      <c r="F191" s="3">
        <v>1152.2</v>
      </c>
      <c r="G191" s="3">
        <v>1151.6500000000001</v>
      </c>
      <c r="H191" s="3">
        <v>1150</v>
      </c>
      <c r="I191" s="3">
        <v>1143.53</v>
      </c>
      <c r="J191" s="3">
        <v>7107.45</v>
      </c>
      <c r="K191" s="3">
        <v>1092.45</v>
      </c>
      <c r="L191" s="4">
        <v>2071245</v>
      </c>
      <c r="M191" s="3">
        <v>2368526047.9000001</v>
      </c>
      <c r="N191" s="4">
        <v>60874</v>
      </c>
      <c r="O191">
        <f t="shared" si="2"/>
        <v>-1.9093907307759464E-3</v>
      </c>
    </row>
    <row r="192" spans="1:15" ht="14.25" customHeight="1" x14ac:dyDescent="0.3">
      <c r="A192" s="2">
        <v>45750</v>
      </c>
      <c r="B192" t="s">
        <v>15</v>
      </c>
      <c r="C192" s="3">
        <v>1190.5</v>
      </c>
      <c r="D192" s="3">
        <v>1226.9000000000001</v>
      </c>
      <c r="E192" s="3">
        <v>1149.05</v>
      </c>
      <c r="F192" s="3">
        <v>1150</v>
      </c>
      <c r="G192" s="3">
        <v>1151.8</v>
      </c>
      <c r="H192" s="3">
        <v>1151.45</v>
      </c>
      <c r="I192" s="3">
        <v>1181.31</v>
      </c>
      <c r="J192" s="3">
        <v>7107.45</v>
      </c>
      <c r="K192" s="3">
        <v>1092.45</v>
      </c>
      <c r="L192" s="4">
        <v>6324685</v>
      </c>
      <c r="M192" s="3">
        <v>7471413120.4499998</v>
      </c>
      <c r="N192" s="4">
        <v>175194</v>
      </c>
      <c r="O192">
        <f t="shared" si="2"/>
        <v>1.2608695652174308E-3</v>
      </c>
    </row>
    <row r="193" spans="1:15" ht="14.25" customHeight="1" x14ac:dyDescent="0.3">
      <c r="A193" s="2">
        <v>45751</v>
      </c>
      <c r="B193" t="s">
        <v>15</v>
      </c>
      <c r="C193" s="3">
        <v>1151.8</v>
      </c>
      <c r="D193" s="3">
        <v>1157.45</v>
      </c>
      <c r="E193" s="3">
        <v>1076.2</v>
      </c>
      <c r="F193" s="3">
        <v>1151.45</v>
      </c>
      <c r="G193" s="3">
        <v>1114</v>
      </c>
      <c r="H193" s="3">
        <v>1109.95</v>
      </c>
      <c r="I193" s="3">
        <v>1103.77</v>
      </c>
      <c r="J193" s="3">
        <v>7107.45</v>
      </c>
      <c r="K193" s="3">
        <v>1076.2</v>
      </c>
      <c r="L193" s="4">
        <v>5423861</v>
      </c>
      <c r="M193" s="3">
        <v>5986709250.8000002</v>
      </c>
      <c r="N193" s="4">
        <v>206413</v>
      </c>
      <c r="O193">
        <f t="shared" si="2"/>
        <v>-3.6041512875070562E-2</v>
      </c>
    </row>
    <row r="194" spans="1:15" ht="14.25" customHeight="1" x14ac:dyDescent="0.3">
      <c r="A194" s="2">
        <v>45754</v>
      </c>
      <c r="B194" t="s">
        <v>15</v>
      </c>
      <c r="C194" s="3">
        <v>1020</v>
      </c>
      <c r="D194" s="3">
        <v>1098.8499999999999</v>
      </c>
      <c r="E194" s="3">
        <v>1020</v>
      </c>
      <c r="F194" s="3">
        <v>1109.95</v>
      </c>
      <c r="G194" s="3">
        <v>1092.3</v>
      </c>
      <c r="H194" s="3">
        <v>1087.9000000000001</v>
      </c>
      <c r="I194" s="3">
        <v>1086.8800000000001</v>
      </c>
      <c r="J194" s="3">
        <v>7107.45</v>
      </c>
      <c r="K194" s="3">
        <v>1020</v>
      </c>
      <c r="L194" s="4">
        <v>3888037</v>
      </c>
      <c r="M194" s="3">
        <v>4225840425.6999998</v>
      </c>
      <c r="N194" s="4">
        <v>136195</v>
      </c>
      <c r="O194">
        <f t="shared" si="2"/>
        <v>-1.9865759718906216E-2</v>
      </c>
    </row>
    <row r="195" spans="1:15" ht="14.25" customHeight="1" x14ac:dyDescent="0.3">
      <c r="A195" s="2">
        <v>45755</v>
      </c>
      <c r="B195" t="s">
        <v>15</v>
      </c>
      <c r="C195" s="3">
        <v>1100</v>
      </c>
      <c r="D195" s="3">
        <v>1113.6500000000001</v>
      </c>
      <c r="E195" s="3">
        <v>1088.7</v>
      </c>
      <c r="F195" s="3">
        <v>1087.9000000000001</v>
      </c>
      <c r="G195" s="3">
        <v>1109.8499999999999</v>
      </c>
      <c r="H195" s="3">
        <v>1107.95</v>
      </c>
      <c r="I195" s="3">
        <v>1103.17</v>
      </c>
      <c r="J195" s="3">
        <v>7107.45</v>
      </c>
      <c r="K195" s="3">
        <v>1020</v>
      </c>
      <c r="L195" s="4">
        <v>1577632</v>
      </c>
      <c r="M195" s="3">
        <v>1740391167.9000001</v>
      </c>
      <c r="N195" s="4">
        <v>79851</v>
      </c>
      <c r="O195">
        <f t="shared" ref="O195:O258" si="3">(H195-H194)/H194</f>
        <v>1.8430002757606354E-2</v>
      </c>
    </row>
    <row r="196" spans="1:15" ht="14.25" customHeight="1" x14ac:dyDescent="0.3">
      <c r="A196" s="2">
        <v>45756</v>
      </c>
      <c r="B196" t="s">
        <v>15</v>
      </c>
      <c r="C196" s="3">
        <v>1094.5</v>
      </c>
      <c r="D196" s="3">
        <v>1103.25</v>
      </c>
      <c r="E196" s="3">
        <v>1061.6500000000001</v>
      </c>
      <c r="F196" s="3">
        <v>1107.95</v>
      </c>
      <c r="G196" s="3">
        <v>1093.25</v>
      </c>
      <c r="H196" s="3">
        <v>1094.05</v>
      </c>
      <c r="I196" s="3">
        <v>1091.3499999999999</v>
      </c>
      <c r="J196" s="3">
        <v>7107.45</v>
      </c>
      <c r="K196" s="3">
        <v>1020</v>
      </c>
      <c r="L196" s="4">
        <v>5511474</v>
      </c>
      <c r="M196" s="3">
        <v>6014946285.75</v>
      </c>
      <c r="N196" s="4">
        <v>117243</v>
      </c>
      <c r="O196">
        <f t="shared" si="3"/>
        <v>-1.254569249514878E-2</v>
      </c>
    </row>
    <row r="197" spans="1:15" ht="14.25" customHeight="1" x14ac:dyDescent="0.3">
      <c r="A197" s="2">
        <v>45758</v>
      </c>
      <c r="B197" t="s">
        <v>15</v>
      </c>
      <c r="C197" s="3">
        <v>1139.9000000000001</v>
      </c>
      <c r="D197" s="3">
        <v>1139.9000000000001</v>
      </c>
      <c r="E197" s="3">
        <v>1102.25</v>
      </c>
      <c r="F197" s="3">
        <v>1094.05</v>
      </c>
      <c r="G197" s="3">
        <v>1110</v>
      </c>
      <c r="H197" s="3">
        <v>1109.5</v>
      </c>
      <c r="I197" s="3">
        <v>1119.7</v>
      </c>
      <c r="J197" s="3">
        <v>7107.45</v>
      </c>
      <c r="K197" s="3">
        <v>1020</v>
      </c>
      <c r="L197" s="4">
        <v>2740831</v>
      </c>
      <c r="M197" s="3">
        <v>3068904560.9000001</v>
      </c>
      <c r="N197" s="4">
        <v>91866</v>
      </c>
      <c r="O197">
        <f t="shared" si="3"/>
        <v>1.4121840866505229E-2</v>
      </c>
    </row>
    <row r="198" spans="1:15" ht="14.25" customHeight="1" x14ac:dyDescent="0.3">
      <c r="A198" s="2">
        <v>45762</v>
      </c>
      <c r="B198" t="s">
        <v>15</v>
      </c>
      <c r="C198" s="3">
        <v>1140.9000000000001</v>
      </c>
      <c r="D198" s="3">
        <v>1158.0999999999999</v>
      </c>
      <c r="E198" s="3">
        <v>1129</v>
      </c>
      <c r="F198" s="3">
        <v>1109.5</v>
      </c>
      <c r="G198" s="3">
        <v>1156</v>
      </c>
      <c r="H198" s="3">
        <v>1154.9000000000001</v>
      </c>
      <c r="I198" s="3">
        <v>1146.6500000000001</v>
      </c>
      <c r="J198" s="3">
        <v>7107.45</v>
      </c>
      <c r="K198" s="3">
        <v>1020</v>
      </c>
      <c r="L198" s="4">
        <v>2683350</v>
      </c>
      <c r="M198" s="3">
        <v>3076869271.0999999</v>
      </c>
      <c r="N198" s="4">
        <v>72640</v>
      </c>
      <c r="O198">
        <f t="shared" si="3"/>
        <v>4.0919333032897784E-2</v>
      </c>
    </row>
    <row r="199" spans="1:15" ht="14.25" customHeight="1" x14ac:dyDescent="0.3">
      <c r="A199" s="2">
        <v>45763</v>
      </c>
      <c r="B199" t="s">
        <v>15</v>
      </c>
      <c r="C199" s="3">
        <v>1150.2</v>
      </c>
      <c r="D199" s="3">
        <v>1161.4000000000001</v>
      </c>
      <c r="E199" s="3">
        <v>1143.7</v>
      </c>
      <c r="F199" s="3">
        <v>1154.9000000000001</v>
      </c>
      <c r="G199" s="3">
        <v>1150.9000000000001</v>
      </c>
      <c r="H199" s="3">
        <v>1158.4000000000001</v>
      </c>
      <c r="I199" s="3">
        <v>1153.68</v>
      </c>
      <c r="J199" s="3">
        <v>7107.45</v>
      </c>
      <c r="K199" s="3">
        <v>1020</v>
      </c>
      <c r="L199" s="4">
        <v>1451875</v>
      </c>
      <c r="M199" s="3">
        <v>1675001335.4000001</v>
      </c>
      <c r="N199" s="4">
        <v>77501</v>
      </c>
      <c r="O199">
        <f t="shared" si="3"/>
        <v>3.0305654169192134E-3</v>
      </c>
    </row>
    <row r="200" spans="1:15" ht="14.25" customHeight="1" x14ac:dyDescent="0.3">
      <c r="A200" s="2">
        <v>45764</v>
      </c>
      <c r="B200" t="s">
        <v>15</v>
      </c>
      <c r="C200" s="3">
        <v>1150.0999999999999</v>
      </c>
      <c r="D200" s="3">
        <v>1173.5999999999999</v>
      </c>
      <c r="E200" s="3">
        <v>1150.0999999999999</v>
      </c>
      <c r="F200" s="3">
        <v>1158.4000000000001</v>
      </c>
      <c r="G200" s="3">
        <v>1163.3</v>
      </c>
      <c r="H200" s="3">
        <v>1163.5999999999999</v>
      </c>
      <c r="I200" s="3">
        <v>1164.83</v>
      </c>
      <c r="J200" s="3">
        <v>7107.45</v>
      </c>
      <c r="K200" s="3">
        <v>1020</v>
      </c>
      <c r="L200" s="4">
        <v>2788024</v>
      </c>
      <c r="M200" s="3">
        <v>3247579205.9000001</v>
      </c>
      <c r="N200" s="4">
        <v>72694</v>
      </c>
      <c r="O200">
        <f t="shared" si="3"/>
        <v>4.4889502762429367E-3</v>
      </c>
    </row>
    <row r="201" spans="1:15" ht="14.25" customHeight="1" x14ac:dyDescent="0.3">
      <c r="A201" s="2">
        <v>45768</v>
      </c>
      <c r="B201" t="s">
        <v>15</v>
      </c>
      <c r="C201" s="3">
        <v>1163.4000000000001</v>
      </c>
      <c r="D201" s="3">
        <v>1179.7</v>
      </c>
      <c r="E201" s="3">
        <v>1155</v>
      </c>
      <c r="F201" s="3">
        <v>1163.5999999999999</v>
      </c>
      <c r="G201" s="3">
        <v>1176.8</v>
      </c>
      <c r="H201" s="3">
        <v>1177.4000000000001</v>
      </c>
      <c r="I201" s="3">
        <v>1169.82</v>
      </c>
      <c r="J201" s="3">
        <v>7107.45</v>
      </c>
      <c r="K201" s="3">
        <v>1020</v>
      </c>
      <c r="L201" s="4">
        <v>1938756</v>
      </c>
      <c r="M201" s="3">
        <v>2268003614.4000001</v>
      </c>
      <c r="N201" s="4">
        <v>66564</v>
      </c>
      <c r="O201">
        <f t="shared" si="3"/>
        <v>1.185974561705069E-2</v>
      </c>
    </row>
    <row r="202" spans="1:15" ht="14.25" customHeight="1" x14ac:dyDescent="0.3">
      <c r="A202" s="2">
        <v>45769</v>
      </c>
      <c r="B202" t="s">
        <v>15</v>
      </c>
      <c r="C202" s="3">
        <v>1173.9000000000001</v>
      </c>
      <c r="D202" s="3">
        <v>1180.5</v>
      </c>
      <c r="E202" s="3">
        <v>1162.3</v>
      </c>
      <c r="F202" s="3">
        <v>1177.4000000000001</v>
      </c>
      <c r="G202" s="3">
        <v>1175.0999999999999</v>
      </c>
      <c r="H202" s="3">
        <v>1175</v>
      </c>
      <c r="I202" s="3">
        <v>1173.8399999999999</v>
      </c>
      <c r="J202" s="3">
        <v>7107.45</v>
      </c>
      <c r="K202" s="3">
        <v>1020</v>
      </c>
      <c r="L202" s="4">
        <v>1313400</v>
      </c>
      <c r="M202" s="3">
        <v>1541716008</v>
      </c>
      <c r="N202" s="4">
        <v>42491</v>
      </c>
      <c r="O202">
        <f t="shared" si="3"/>
        <v>-2.0383896721590713E-3</v>
      </c>
    </row>
    <row r="203" spans="1:15" ht="14.25" customHeight="1" x14ac:dyDescent="0.3">
      <c r="A203" s="2">
        <v>45770</v>
      </c>
      <c r="B203" t="s">
        <v>15</v>
      </c>
      <c r="C203" s="3">
        <v>1185.0999999999999</v>
      </c>
      <c r="D203" s="3">
        <v>1191.8</v>
      </c>
      <c r="E203" s="3">
        <v>1175.9000000000001</v>
      </c>
      <c r="F203" s="3">
        <v>1175</v>
      </c>
      <c r="G203" s="3">
        <v>1183.0999999999999</v>
      </c>
      <c r="H203" s="3">
        <v>1186</v>
      </c>
      <c r="I203" s="3">
        <v>1183.9100000000001</v>
      </c>
      <c r="J203" s="3">
        <v>7107.45</v>
      </c>
      <c r="K203" s="3">
        <v>1020</v>
      </c>
      <c r="L203" s="4">
        <v>3192132</v>
      </c>
      <c r="M203" s="3">
        <v>3779209145.1999998</v>
      </c>
      <c r="N203" s="4">
        <v>82010</v>
      </c>
      <c r="O203">
        <f t="shared" si="3"/>
        <v>9.3617021276595751E-3</v>
      </c>
    </row>
    <row r="204" spans="1:15" ht="14.25" customHeight="1" x14ac:dyDescent="0.3">
      <c r="A204" s="2">
        <v>45771</v>
      </c>
      <c r="B204" t="s">
        <v>15</v>
      </c>
      <c r="C204" s="3">
        <v>1179</v>
      </c>
      <c r="D204" s="3">
        <v>1210</v>
      </c>
      <c r="E204" s="3">
        <v>1176.3</v>
      </c>
      <c r="F204" s="3">
        <v>1186</v>
      </c>
      <c r="G204" s="3">
        <v>1204.9000000000001</v>
      </c>
      <c r="H204" s="3">
        <v>1200.5</v>
      </c>
      <c r="I204" s="3">
        <v>1195.6600000000001</v>
      </c>
      <c r="J204" s="3">
        <v>7107.45</v>
      </c>
      <c r="K204" s="3">
        <v>1020</v>
      </c>
      <c r="L204" s="4">
        <v>4819678</v>
      </c>
      <c r="M204" s="3">
        <v>5762672667.5</v>
      </c>
      <c r="N204" s="4">
        <v>80333</v>
      </c>
      <c r="O204">
        <f t="shared" si="3"/>
        <v>1.2225969645868466E-2</v>
      </c>
    </row>
    <row r="205" spans="1:15" ht="14.25" customHeight="1" x14ac:dyDescent="0.3">
      <c r="A205" s="2">
        <v>45772</v>
      </c>
      <c r="B205" t="s">
        <v>15</v>
      </c>
      <c r="C205" s="3">
        <v>1203.9000000000001</v>
      </c>
      <c r="D205" s="3">
        <v>1210.5</v>
      </c>
      <c r="E205" s="3">
        <v>1159.7</v>
      </c>
      <c r="F205" s="3">
        <v>1200.5</v>
      </c>
      <c r="G205" s="3">
        <v>1172</v>
      </c>
      <c r="H205" s="3">
        <v>1174.8</v>
      </c>
      <c r="I205" s="3">
        <v>1178.6600000000001</v>
      </c>
      <c r="J205" s="3">
        <v>7107.45</v>
      </c>
      <c r="K205" s="3">
        <v>1020</v>
      </c>
      <c r="L205" s="4">
        <v>1286573</v>
      </c>
      <c r="M205" s="3">
        <v>1516430178</v>
      </c>
      <c r="N205" s="4">
        <v>51311</v>
      </c>
      <c r="O205">
        <f t="shared" si="3"/>
        <v>-2.1407746772178295E-2</v>
      </c>
    </row>
    <row r="206" spans="1:15" ht="14.25" customHeight="1" x14ac:dyDescent="0.3">
      <c r="A206" s="2">
        <v>45775</v>
      </c>
      <c r="B206" t="s">
        <v>15</v>
      </c>
      <c r="C206" s="3">
        <v>1176.3</v>
      </c>
      <c r="D206" s="3">
        <v>1205</v>
      </c>
      <c r="E206" s="3">
        <v>1176.3</v>
      </c>
      <c r="F206" s="3">
        <v>1174.8</v>
      </c>
      <c r="G206" s="3">
        <v>1202.4000000000001</v>
      </c>
      <c r="H206" s="3">
        <v>1198.7</v>
      </c>
      <c r="I206" s="3">
        <v>1196.74</v>
      </c>
      <c r="J206" s="3">
        <v>7107.45</v>
      </c>
      <c r="K206" s="3">
        <v>1020</v>
      </c>
      <c r="L206" s="4">
        <v>1236678</v>
      </c>
      <c r="M206" s="3">
        <v>1479979904.7</v>
      </c>
      <c r="N206" s="4">
        <v>57178</v>
      </c>
      <c r="O206">
        <f t="shared" si="3"/>
        <v>2.0343888321416488E-2</v>
      </c>
    </row>
    <row r="207" spans="1:15" ht="14.25" customHeight="1" x14ac:dyDescent="0.3">
      <c r="A207" s="2">
        <v>45776</v>
      </c>
      <c r="B207" t="s">
        <v>15</v>
      </c>
      <c r="C207" s="3">
        <v>1204.4000000000001</v>
      </c>
      <c r="D207" s="3">
        <v>1204.4000000000001</v>
      </c>
      <c r="E207" s="3">
        <v>1169</v>
      </c>
      <c r="F207" s="3">
        <v>1198.7</v>
      </c>
      <c r="G207" s="3">
        <v>1176.2</v>
      </c>
      <c r="H207" s="3">
        <v>1176</v>
      </c>
      <c r="I207" s="3">
        <v>1178.75</v>
      </c>
      <c r="J207" s="3">
        <v>7107.45</v>
      </c>
      <c r="K207" s="3">
        <v>1020</v>
      </c>
      <c r="L207" s="4">
        <v>1663018</v>
      </c>
      <c r="M207" s="3">
        <v>1960285386.8</v>
      </c>
      <c r="N207" s="4">
        <v>71628</v>
      </c>
      <c r="O207">
        <f t="shared" si="3"/>
        <v>-1.8937181947109406E-2</v>
      </c>
    </row>
    <row r="208" spans="1:15" ht="14.25" customHeight="1" x14ac:dyDescent="0.3">
      <c r="A208" s="2">
        <v>45777</v>
      </c>
      <c r="B208" t="s">
        <v>15</v>
      </c>
      <c r="C208" s="3">
        <v>1176.2</v>
      </c>
      <c r="D208" s="3">
        <v>1196.5999999999999</v>
      </c>
      <c r="E208" s="3">
        <v>1175.9000000000001</v>
      </c>
      <c r="F208" s="3">
        <v>1176</v>
      </c>
      <c r="G208" s="3">
        <v>1179.5</v>
      </c>
      <c r="H208" s="3">
        <v>1183.9000000000001</v>
      </c>
      <c r="I208" s="3">
        <v>1185.52</v>
      </c>
      <c r="J208" s="3">
        <v>7107.45</v>
      </c>
      <c r="K208" s="3">
        <v>1020</v>
      </c>
      <c r="L208" s="4">
        <v>1604442</v>
      </c>
      <c r="M208" s="3">
        <v>1902102797.3</v>
      </c>
      <c r="N208" s="4">
        <v>63580</v>
      </c>
      <c r="O208">
        <f t="shared" si="3"/>
        <v>6.7176870748300093E-3</v>
      </c>
    </row>
    <row r="209" spans="1:15" ht="14.25" customHeight="1" x14ac:dyDescent="0.3">
      <c r="A209" s="2">
        <v>45779</v>
      </c>
      <c r="B209" t="s">
        <v>15</v>
      </c>
      <c r="C209" s="3">
        <v>1176.0999999999999</v>
      </c>
      <c r="D209" s="3">
        <v>1194.8</v>
      </c>
      <c r="E209" s="3">
        <v>1171.4000000000001</v>
      </c>
      <c r="F209" s="3">
        <v>1183.9000000000001</v>
      </c>
      <c r="G209" s="3">
        <v>1184</v>
      </c>
      <c r="H209" s="3">
        <v>1182.9000000000001</v>
      </c>
      <c r="I209" s="3">
        <v>1182.01</v>
      </c>
      <c r="J209" s="3">
        <v>7107.45</v>
      </c>
      <c r="K209" s="3">
        <v>1020</v>
      </c>
      <c r="L209" s="4">
        <v>1306311</v>
      </c>
      <c r="M209" s="3">
        <v>1544077141.5</v>
      </c>
      <c r="N209" s="4">
        <v>55170</v>
      </c>
      <c r="O209">
        <f t="shared" si="3"/>
        <v>-8.4466593462285662E-4</v>
      </c>
    </row>
    <row r="210" spans="1:15" ht="14.25" customHeight="1" x14ac:dyDescent="0.3">
      <c r="A210" s="2">
        <v>45782</v>
      </c>
      <c r="B210" t="s">
        <v>15</v>
      </c>
      <c r="C210" s="3">
        <v>1188.7</v>
      </c>
      <c r="D210" s="3">
        <v>1193.9000000000001</v>
      </c>
      <c r="E210" s="3">
        <v>1154.5</v>
      </c>
      <c r="F210" s="3">
        <v>1182.9000000000001</v>
      </c>
      <c r="G210" s="3">
        <v>1178</v>
      </c>
      <c r="H210" s="3">
        <v>1171.3</v>
      </c>
      <c r="I210" s="3">
        <v>1168.54</v>
      </c>
      <c r="J210" s="3">
        <v>7107.45</v>
      </c>
      <c r="K210" s="3">
        <v>1020</v>
      </c>
      <c r="L210" s="4">
        <v>1893680</v>
      </c>
      <c r="M210" s="3">
        <v>2212841386.4000001</v>
      </c>
      <c r="N210" s="4">
        <v>55068</v>
      </c>
      <c r="O210">
        <f t="shared" si="3"/>
        <v>-9.8064079803872987E-3</v>
      </c>
    </row>
    <row r="211" spans="1:15" ht="14.25" customHeight="1" x14ac:dyDescent="0.3">
      <c r="A211" s="2">
        <v>45783</v>
      </c>
      <c r="B211" t="s">
        <v>15</v>
      </c>
      <c r="C211" s="3">
        <v>1172.2</v>
      </c>
      <c r="D211" s="3">
        <v>1175</v>
      </c>
      <c r="E211" s="3">
        <v>1129.4000000000001</v>
      </c>
      <c r="F211" s="3">
        <v>1171.3</v>
      </c>
      <c r="G211" s="3">
        <v>1156</v>
      </c>
      <c r="H211" s="3">
        <v>1160.4000000000001</v>
      </c>
      <c r="I211" s="3">
        <v>1158.1500000000001</v>
      </c>
      <c r="J211" s="3">
        <v>7107.45</v>
      </c>
      <c r="K211" s="3">
        <v>1020</v>
      </c>
      <c r="L211" s="4">
        <v>1990745</v>
      </c>
      <c r="M211" s="3">
        <v>2305578118.9000001</v>
      </c>
      <c r="N211" s="4">
        <v>60270</v>
      </c>
      <c r="O211">
        <f t="shared" si="3"/>
        <v>-9.3058994279858823E-3</v>
      </c>
    </row>
    <row r="212" spans="1:15" ht="14.25" customHeight="1" x14ac:dyDescent="0.3">
      <c r="A212" s="2">
        <v>45784</v>
      </c>
      <c r="B212" t="s">
        <v>15</v>
      </c>
      <c r="C212" s="3">
        <v>1143.4000000000001</v>
      </c>
      <c r="D212" s="3">
        <v>1164.5999999999999</v>
      </c>
      <c r="E212" s="3">
        <v>1143.4000000000001</v>
      </c>
      <c r="F212" s="3">
        <v>1160.4000000000001</v>
      </c>
      <c r="G212" s="3">
        <v>1162</v>
      </c>
      <c r="H212" s="3">
        <v>1160.7</v>
      </c>
      <c r="I212" s="3">
        <v>1159.02</v>
      </c>
      <c r="J212" s="3">
        <v>7107.45</v>
      </c>
      <c r="K212" s="3">
        <v>1020</v>
      </c>
      <c r="L212" s="4">
        <v>1421366</v>
      </c>
      <c r="M212" s="3">
        <v>1647387239.0999999</v>
      </c>
      <c r="N212" s="4">
        <v>60034</v>
      </c>
      <c r="O212">
        <f t="shared" si="3"/>
        <v>2.5853154084794423E-4</v>
      </c>
    </row>
    <row r="213" spans="1:15" ht="14.25" customHeight="1" x14ac:dyDescent="0.3">
      <c r="A213" s="2">
        <v>45785</v>
      </c>
      <c r="B213" t="s">
        <v>15</v>
      </c>
      <c r="C213" s="3">
        <v>1152.7</v>
      </c>
      <c r="D213" s="3">
        <v>1161.4000000000001</v>
      </c>
      <c r="E213" s="3">
        <v>1142</v>
      </c>
      <c r="F213" s="3">
        <v>1160.7</v>
      </c>
      <c r="G213" s="3">
        <v>1146</v>
      </c>
      <c r="H213" s="3">
        <v>1148</v>
      </c>
      <c r="I213" s="3">
        <v>1149.8599999999999</v>
      </c>
      <c r="J213" s="3">
        <v>7107.45</v>
      </c>
      <c r="K213" s="3">
        <v>1020</v>
      </c>
      <c r="L213" s="4">
        <v>2616533</v>
      </c>
      <c r="M213" s="3">
        <v>3008638014.5</v>
      </c>
      <c r="N213" s="4">
        <v>99397</v>
      </c>
      <c r="O213">
        <f t="shared" si="3"/>
        <v>-1.0941673128284694E-2</v>
      </c>
    </row>
    <row r="214" spans="1:15" ht="14.25" customHeight="1" x14ac:dyDescent="0.3">
      <c r="A214" s="2">
        <v>45786</v>
      </c>
      <c r="B214" t="s">
        <v>15</v>
      </c>
      <c r="C214" s="3">
        <v>1142.5</v>
      </c>
      <c r="D214" s="3">
        <v>1167</v>
      </c>
      <c r="E214" s="3">
        <v>1138.5</v>
      </c>
      <c r="F214" s="3">
        <v>1148</v>
      </c>
      <c r="G214" s="3">
        <v>1158.0999999999999</v>
      </c>
      <c r="H214" s="3">
        <v>1155.9000000000001</v>
      </c>
      <c r="I214" s="3">
        <v>1149.96</v>
      </c>
      <c r="J214" s="3">
        <v>7107.45</v>
      </c>
      <c r="K214" s="3">
        <v>1020</v>
      </c>
      <c r="L214" s="4">
        <v>1248574</v>
      </c>
      <c r="M214" s="3">
        <v>1435809557.9000001</v>
      </c>
      <c r="N214" s="4">
        <v>58467</v>
      </c>
      <c r="O214">
        <f t="shared" si="3"/>
        <v>6.8815331010453756E-3</v>
      </c>
    </row>
    <row r="215" spans="1:15" ht="14.25" customHeight="1" x14ac:dyDescent="0.3">
      <c r="A215" s="2">
        <v>45789</v>
      </c>
      <c r="B215" t="s">
        <v>15</v>
      </c>
      <c r="C215" s="3">
        <v>1155.9000000000001</v>
      </c>
      <c r="D215" s="3">
        <v>1204</v>
      </c>
      <c r="E215" s="3">
        <v>1143.9000000000001</v>
      </c>
      <c r="F215" s="3">
        <v>1155.9000000000001</v>
      </c>
      <c r="G215" s="3">
        <v>1193.5999999999999</v>
      </c>
      <c r="H215" s="3">
        <v>1195.5999999999999</v>
      </c>
      <c r="I215" s="3">
        <v>1179.2</v>
      </c>
      <c r="J215" s="3">
        <v>7107.45</v>
      </c>
      <c r="K215" s="3">
        <v>1020</v>
      </c>
      <c r="L215" s="4">
        <v>5065176</v>
      </c>
      <c r="M215" s="3">
        <v>5972830720.1999998</v>
      </c>
      <c r="N215" s="4">
        <v>141292</v>
      </c>
      <c r="O215">
        <f t="shared" si="3"/>
        <v>3.4345531620382223E-2</v>
      </c>
    </row>
    <row r="216" spans="1:15" ht="14.25" customHeight="1" x14ac:dyDescent="0.3">
      <c r="A216" s="2">
        <v>45790</v>
      </c>
      <c r="B216" t="s">
        <v>15</v>
      </c>
      <c r="C216" s="3">
        <v>1196</v>
      </c>
      <c r="D216" s="3">
        <v>1241</v>
      </c>
      <c r="E216" s="3">
        <v>1196</v>
      </c>
      <c r="F216" s="3">
        <v>1195.5999999999999</v>
      </c>
      <c r="G216" s="3">
        <v>1208</v>
      </c>
      <c r="H216" s="3">
        <v>1207.0999999999999</v>
      </c>
      <c r="I216" s="3">
        <v>1223.4000000000001</v>
      </c>
      <c r="J216" s="3">
        <v>7107.45</v>
      </c>
      <c r="K216" s="3">
        <v>1020</v>
      </c>
      <c r="L216" s="4">
        <v>3134295</v>
      </c>
      <c r="M216" s="3">
        <v>3834501207.1999998</v>
      </c>
      <c r="N216" s="4">
        <v>114153</v>
      </c>
      <c r="O216">
        <f t="shared" si="3"/>
        <v>9.6186015389762465E-3</v>
      </c>
    </row>
    <row r="217" spans="1:15" ht="14.25" customHeight="1" x14ac:dyDescent="0.3">
      <c r="A217" s="2">
        <v>45791</v>
      </c>
      <c r="B217" t="s">
        <v>15</v>
      </c>
      <c r="C217" s="3">
        <v>1213.3</v>
      </c>
      <c r="D217" s="3">
        <v>1223.3</v>
      </c>
      <c r="E217" s="3">
        <v>1193.2</v>
      </c>
      <c r="F217" s="3">
        <v>1207.0999999999999</v>
      </c>
      <c r="G217" s="3">
        <v>1220.3</v>
      </c>
      <c r="H217" s="3">
        <v>1220</v>
      </c>
      <c r="I217" s="3">
        <v>1214.72</v>
      </c>
      <c r="J217" s="3">
        <v>7107.45</v>
      </c>
      <c r="K217" s="3">
        <v>1020</v>
      </c>
      <c r="L217" s="4">
        <v>1197152</v>
      </c>
      <c r="M217" s="3">
        <v>1454203819.4000001</v>
      </c>
      <c r="N217" s="4">
        <v>55110</v>
      </c>
      <c r="O217">
        <f t="shared" si="3"/>
        <v>1.0686769944495147E-2</v>
      </c>
    </row>
    <row r="218" spans="1:15" ht="14.25" customHeight="1" x14ac:dyDescent="0.3">
      <c r="A218" s="2">
        <v>45792</v>
      </c>
      <c r="B218" t="s">
        <v>15</v>
      </c>
      <c r="C218" s="3">
        <v>1214</v>
      </c>
      <c r="D218" s="3">
        <v>1239.8</v>
      </c>
      <c r="E218" s="3">
        <v>1200.2</v>
      </c>
      <c r="F218" s="3">
        <v>1220</v>
      </c>
      <c r="G218" s="3">
        <v>1231</v>
      </c>
      <c r="H218" s="3">
        <v>1236.3</v>
      </c>
      <c r="I218" s="3">
        <v>1223.92</v>
      </c>
      <c r="J218" s="3">
        <v>7107.45</v>
      </c>
      <c r="K218" s="3">
        <v>1020</v>
      </c>
      <c r="L218" s="4">
        <v>2053553</v>
      </c>
      <c r="M218" s="3">
        <v>2513384526.3000002</v>
      </c>
      <c r="N218" s="4">
        <v>100056</v>
      </c>
      <c r="O218">
        <f t="shared" si="3"/>
        <v>1.3360655737704881E-2</v>
      </c>
    </row>
    <row r="219" spans="1:15" ht="14.25" customHeight="1" x14ac:dyDescent="0.3">
      <c r="A219" s="2">
        <v>45793</v>
      </c>
      <c r="B219" t="s">
        <v>15</v>
      </c>
      <c r="C219" s="3">
        <v>1238.9000000000001</v>
      </c>
      <c r="D219" s="3">
        <v>1238.9000000000001</v>
      </c>
      <c r="E219" s="3">
        <v>1221</v>
      </c>
      <c r="F219" s="3">
        <v>1236.3</v>
      </c>
      <c r="G219" s="3">
        <v>1228.5</v>
      </c>
      <c r="H219" s="3">
        <v>1230.7</v>
      </c>
      <c r="I219" s="3">
        <v>1228.28</v>
      </c>
      <c r="J219" s="3">
        <v>7107.45</v>
      </c>
      <c r="K219" s="3">
        <v>1020</v>
      </c>
      <c r="L219" s="4">
        <v>882873</v>
      </c>
      <c r="M219" s="3">
        <v>1084410927.5</v>
      </c>
      <c r="N219" s="4">
        <v>39496</v>
      </c>
      <c r="O219">
        <f t="shared" si="3"/>
        <v>-4.5296449081937305E-3</v>
      </c>
    </row>
    <row r="220" spans="1:15" ht="14.25" customHeight="1" x14ac:dyDescent="0.3">
      <c r="A220" s="2">
        <v>45796</v>
      </c>
      <c r="B220" t="s">
        <v>15</v>
      </c>
      <c r="C220" s="3">
        <v>1228.3</v>
      </c>
      <c r="D220" s="3">
        <v>1241.8</v>
      </c>
      <c r="E220" s="3">
        <v>1214.2</v>
      </c>
      <c r="F220" s="3">
        <v>1230.7</v>
      </c>
      <c r="G220" s="3">
        <v>1215.5999999999999</v>
      </c>
      <c r="H220" s="3">
        <v>1219</v>
      </c>
      <c r="I220" s="3">
        <v>1223.54</v>
      </c>
      <c r="J220" s="3">
        <v>7107.45</v>
      </c>
      <c r="K220" s="3">
        <v>1020</v>
      </c>
      <c r="L220" s="4">
        <v>2235758</v>
      </c>
      <c r="M220" s="3">
        <v>2735541749.5</v>
      </c>
      <c r="N220" s="4">
        <v>79511</v>
      </c>
      <c r="O220">
        <f t="shared" si="3"/>
        <v>-9.5067847566425983E-3</v>
      </c>
    </row>
    <row r="221" spans="1:15" ht="14.25" customHeight="1" x14ac:dyDescent="0.3">
      <c r="A221" s="2">
        <v>45797</v>
      </c>
      <c r="B221" t="s">
        <v>15</v>
      </c>
      <c r="C221" s="3">
        <v>1222</v>
      </c>
      <c r="D221" s="3">
        <v>1234.4000000000001</v>
      </c>
      <c r="E221" s="3">
        <v>1216.5999999999999</v>
      </c>
      <c r="F221" s="3">
        <v>1219</v>
      </c>
      <c r="G221" s="3">
        <v>1225</v>
      </c>
      <c r="H221" s="3">
        <v>1224.2</v>
      </c>
      <c r="I221" s="3">
        <v>1226.6099999999999</v>
      </c>
      <c r="J221" s="3">
        <v>7107.45</v>
      </c>
      <c r="K221" s="3">
        <v>1020</v>
      </c>
      <c r="L221" s="4">
        <v>1385750</v>
      </c>
      <c r="M221" s="3">
        <v>1699775056.2</v>
      </c>
      <c r="N221" s="4">
        <v>48514</v>
      </c>
      <c r="O221">
        <f t="shared" si="3"/>
        <v>4.2657916324856816E-3</v>
      </c>
    </row>
    <row r="222" spans="1:15" ht="14.25" customHeight="1" x14ac:dyDescent="0.3">
      <c r="A222" s="2">
        <v>45798</v>
      </c>
      <c r="B222" t="s">
        <v>15</v>
      </c>
      <c r="C222" s="3">
        <v>1225.0999999999999</v>
      </c>
      <c r="D222" s="3">
        <v>1256.5999999999999</v>
      </c>
      <c r="E222" s="3">
        <v>1220.0999999999999</v>
      </c>
      <c r="F222" s="3">
        <v>1224.2</v>
      </c>
      <c r="G222" s="3">
        <v>1224.8</v>
      </c>
      <c r="H222" s="3">
        <v>1224.7</v>
      </c>
      <c r="I222" s="3">
        <v>1236.76</v>
      </c>
      <c r="J222" s="3">
        <v>7107.45</v>
      </c>
      <c r="K222" s="3">
        <v>1020</v>
      </c>
      <c r="L222" s="4">
        <v>2615092</v>
      </c>
      <c r="M222" s="3">
        <v>3234243936.3000002</v>
      </c>
      <c r="N222" s="4">
        <v>81613</v>
      </c>
      <c r="O222">
        <f t="shared" si="3"/>
        <v>4.0842999509884006E-4</v>
      </c>
    </row>
    <row r="223" spans="1:15" ht="14.25" customHeight="1" x14ac:dyDescent="0.3">
      <c r="A223" s="2">
        <v>45799</v>
      </c>
      <c r="B223" t="s">
        <v>15</v>
      </c>
      <c r="C223" s="3">
        <v>1224.7</v>
      </c>
      <c r="D223" s="3">
        <v>1229.8</v>
      </c>
      <c r="E223" s="3">
        <v>1211.4000000000001</v>
      </c>
      <c r="F223" s="3">
        <v>1224.7</v>
      </c>
      <c r="G223" s="3">
        <v>1225</v>
      </c>
      <c r="H223" s="3">
        <v>1222.2</v>
      </c>
      <c r="I223" s="3">
        <v>1221.1099999999999</v>
      </c>
      <c r="J223" s="3">
        <v>7107.45</v>
      </c>
      <c r="K223" s="3">
        <v>1020</v>
      </c>
      <c r="L223" s="4">
        <v>2260610</v>
      </c>
      <c r="M223" s="3">
        <v>2760460613.1999998</v>
      </c>
      <c r="N223" s="4">
        <v>67987</v>
      </c>
      <c r="O223">
        <f t="shared" si="3"/>
        <v>-2.0413162407120111E-3</v>
      </c>
    </row>
    <row r="224" spans="1:15" ht="14.25" customHeight="1" x14ac:dyDescent="0.3">
      <c r="A224" s="2">
        <v>45800</v>
      </c>
      <c r="B224" t="s">
        <v>15</v>
      </c>
      <c r="C224" s="3">
        <v>1228</v>
      </c>
      <c r="D224" s="3">
        <v>1234.9000000000001</v>
      </c>
      <c r="E224" s="3">
        <v>1216</v>
      </c>
      <c r="F224" s="3">
        <v>1222.2</v>
      </c>
      <c r="G224" s="3">
        <v>1229</v>
      </c>
      <c r="H224" s="3">
        <v>1230.0999999999999</v>
      </c>
      <c r="I224" s="3">
        <v>1230</v>
      </c>
      <c r="J224" s="3">
        <v>7107.45</v>
      </c>
      <c r="K224" s="3">
        <v>1020</v>
      </c>
      <c r="L224" s="4">
        <v>734297</v>
      </c>
      <c r="M224" s="3">
        <v>903185679.70000005</v>
      </c>
      <c r="N224" s="4">
        <v>29041</v>
      </c>
      <c r="O224">
        <f t="shared" si="3"/>
        <v>6.4637538864341874E-3</v>
      </c>
    </row>
    <row r="225" spans="1:15" ht="14.25" customHeight="1" x14ac:dyDescent="0.3">
      <c r="A225" s="2">
        <v>45803</v>
      </c>
      <c r="B225" t="s">
        <v>15</v>
      </c>
      <c r="C225" s="3">
        <v>1229.9000000000001</v>
      </c>
      <c r="D225" s="3">
        <v>1247.9000000000001</v>
      </c>
      <c r="E225" s="3">
        <v>1228.7</v>
      </c>
      <c r="F225" s="3">
        <v>1230.0999999999999</v>
      </c>
      <c r="G225" s="3">
        <v>1242</v>
      </c>
      <c r="H225" s="3">
        <v>1240.9000000000001</v>
      </c>
      <c r="I225" s="3">
        <v>1240.76</v>
      </c>
      <c r="J225" s="3">
        <v>7107.45</v>
      </c>
      <c r="K225" s="3">
        <v>1020</v>
      </c>
      <c r="L225" s="4">
        <v>985434</v>
      </c>
      <c r="M225" s="3">
        <v>1222686862.8</v>
      </c>
      <c r="N225" s="4">
        <v>47812</v>
      </c>
      <c r="O225">
        <f t="shared" si="3"/>
        <v>8.7797740021137976E-3</v>
      </c>
    </row>
    <row r="226" spans="1:15" ht="14.25" customHeight="1" x14ac:dyDescent="0.3">
      <c r="A226" s="2">
        <v>45804</v>
      </c>
      <c r="B226" t="s">
        <v>15</v>
      </c>
      <c r="C226" s="3">
        <v>1243.9000000000001</v>
      </c>
      <c r="D226" s="3">
        <v>1249</v>
      </c>
      <c r="E226" s="3">
        <v>1237.3</v>
      </c>
      <c r="F226" s="3">
        <v>1240.9000000000001</v>
      </c>
      <c r="G226" s="3">
        <v>1244</v>
      </c>
      <c r="H226" s="3">
        <v>1243.2</v>
      </c>
      <c r="I226" s="3">
        <v>1244.69</v>
      </c>
      <c r="J226" s="3">
        <v>7107.45</v>
      </c>
      <c r="K226" s="3">
        <v>1020</v>
      </c>
      <c r="L226" s="4">
        <v>1145000</v>
      </c>
      <c r="M226" s="3">
        <v>1425164481.2</v>
      </c>
      <c r="N226" s="4">
        <v>44500</v>
      </c>
      <c r="O226">
        <f t="shared" si="3"/>
        <v>1.8534934321862795E-3</v>
      </c>
    </row>
    <row r="227" spans="1:15" ht="14.25" customHeight="1" x14ac:dyDescent="0.3">
      <c r="A227" s="2">
        <v>45805</v>
      </c>
      <c r="B227" t="s">
        <v>15</v>
      </c>
      <c r="C227" s="3">
        <v>1247.8</v>
      </c>
      <c r="D227" s="3">
        <v>1252.2</v>
      </c>
      <c r="E227" s="3">
        <v>1237</v>
      </c>
      <c r="F227" s="3">
        <v>1243.2</v>
      </c>
      <c r="G227" s="3">
        <v>1239</v>
      </c>
      <c r="H227" s="3">
        <v>1242.5999999999999</v>
      </c>
      <c r="I227" s="3">
        <v>1242.6199999999999</v>
      </c>
      <c r="J227" s="3">
        <v>7107.45</v>
      </c>
      <c r="K227" s="3">
        <v>1020</v>
      </c>
      <c r="L227" s="4">
        <v>766968</v>
      </c>
      <c r="M227" s="3">
        <v>953052253.10000002</v>
      </c>
      <c r="N227" s="4">
        <v>44328</v>
      </c>
      <c r="O227">
        <f t="shared" si="3"/>
        <v>-4.8262548262559236E-4</v>
      </c>
    </row>
    <row r="228" spans="1:15" ht="14.25" customHeight="1" x14ac:dyDescent="0.3">
      <c r="A228" s="2">
        <v>45806</v>
      </c>
      <c r="B228" t="s">
        <v>15</v>
      </c>
      <c r="C228" s="3">
        <v>1245.4000000000001</v>
      </c>
      <c r="D228" s="3">
        <v>1253.4000000000001</v>
      </c>
      <c r="E228" s="3">
        <v>1240.4000000000001</v>
      </c>
      <c r="F228" s="3">
        <v>1242.5999999999999</v>
      </c>
      <c r="G228" s="3">
        <v>1245.0999999999999</v>
      </c>
      <c r="H228" s="3">
        <v>1248.2</v>
      </c>
      <c r="I228" s="3">
        <v>1247.8399999999999</v>
      </c>
      <c r="J228" s="3">
        <v>7107.45</v>
      </c>
      <c r="K228" s="3">
        <v>1020</v>
      </c>
      <c r="L228" s="4">
        <v>1791885</v>
      </c>
      <c r="M228" s="3">
        <v>2235977327</v>
      </c>
      <c r="N228" s="4">
        <v>76116</v>
      </c>
      <c r="O228">
        <f t="shared" si="3"/>
        <v>4.5066795428940418E-3</v>
      </c>
    </row>
    <row r="229" spans="1:15" ht="14.25" customHeight="1" x14ac:dyDescent="0.3">
      <c r="A229" s="2">
        <v>45807</v>
      </c>
      <c r="B229" t="s">
        <v>15</v>
      </c>
      <c r="C229" s="3">
        <v>1248.2</v>
      </c>
      <c r="D229" s="3">
        <v>1257.5999999999999</v>
      </c>
      <c r="E229" s="3">
        <v>1241</v>
      </c>
      <c r="F229" s="3">
        <v>1248.2</v>
      </c>
      <c r="G229" s="3">
        <v>1251</v>
      </c>
      <c r="H229" s="3">
        <v>1251.2</v>
      </c>
      <c r="I229" s="3">
        <v>1250.54</v>
      </c>
      <c r="J229" s="3">
        <v>7107.45</v>
      </c>
      <c r="K229" s="3">
        <v>1020</v>
      </c>
      <c r="L229" s="4">
        <v>3161983</v>
      </c>
      <c r="M229" s="3">
        <v>3954193042.6999998</v>
      </c>
      <c r="N229" s="4">
        <v>60201</v>
      </c>
      <c r="O229">
        <f t="shared" si="3"/>
        <v>2.4034609838166961E-3</v>
      </c>
    </row>
    <row r="230" spans="1:15" ht="14.25" customHeight="1" x14ac:dyDescent="0.3">
      <c r="A230" s="2">
        <v>45810</v>
      </c>
      <c r="B230" t="s">
        <v>15</v>
      </c>
      <c r="C230" s="3">
        <v>1251</v>
      </c>
      <c r="D230" s="3">
        <v>1251.5</v>
      </c>
      <c r="E230" s="3">
        <v>1232.5</v>
      </c>
      <c r="F230" s="3">
        <v>1251.2</v>
      </c>
      <c r="G230" s="3">
        <v>1249.5</v>
      </c>
      <c r="H230" s="3">
        <v>1247.7</v>
      </c>
      <c r="I230" s="3">
        <v>1244.3499999999999</v>
      </c>
      <c r="J230" s="3">
        <v>7107.45</v>
      </c>
      <c r="K230" s="3">
        <v>1020</v>
      </c>
      <c r="L230" s="4">
        <v>1139977</v>
      </c>
      <c r="M230" s="3">
        <v>1418535373</v>
      </c>
      <c r="N230" s="4">
        <v>43414</v>
      </c>
      <c r="O230">
        <f t="shared" si="3"/>
        <v>-2.7973145780051151E-3</v>
      </c>
    </row>
    <row r="231" spans="1:15" ht="14.25" customHeight="1" x14ac:dyDescent="0.3">
      <c r="A231" s="2">
        <v>45811</v>
      </c>
      <c r="B231" t="s">
        <v>15</v>
      </c>
      <c r="C231" s="3">
        <v>1250</v>
      </c>
      <c r="D231" s="3">
        <v>1253.4000000000001</v>
      </c>
      <c r="E231" s="3">
        <v>1240.8</v>
      </c>
      <c r="F231" s="3">
        <v>1247.7</v>
      </c>
      <c r="G231" s="3">
        <v>1249</v>
      </c>
      <c r="H231" s="3">
        <v>1248.3</v>
      </c>
      <c r="I231" s="3">
        <v>1247.0999999999999</v>
      </c>
      <c r="J231" s="3">
        <v>7107.45</v>
      </c>
      <c r="K231" s="3">
        <v>1020</v>
      </c>
      <c r="L231" s="4">
        <v>811620</v>
      </c>
      <c r="M231" s="3">
        <v>1012172244.6</v>
      </c>
      <c r="N231" s="4">
        <v>38884</v>
      </c>
      <c r="O231">
        <f t="shared" si="3"/>
        <v>4.8088482808360104E-4</v>
      </c>
    </row>
    <row r="232" spans="1:15" ht="14.25" customHeight="1" x14ac:dyDescent="0.3">
      <c r="A232" s="2">
        <v>45812</v>
      </c>
      <c r="B232" t="s">
        <v>15</v>
      </c>
      <c r="C232" s="3">
        <v>1248.3</v>
      </c>
      <c r="D232" s="3">
        <v>1266</v>
      </c>
      <c r="E232" s="3">
        <v>1246.3</v>
      </c>
      <c r="F232" s="3">
        <v>1248.3</v>
      </c>
      <c r="G232" s="3">
        <v>1251</v>
      </c>
      <c r="H232" s="3">
        <v>1251.9000000000001</v>
      </c>
      <c r="I232" s="3">
        <v>1254.74</v>
      </c>
      <c r="J232" s="3">
        <v>7107.45</v>
      </c>
      <c r="K232" s="3">
        <v>1020</v>
      </c>
      <c r="L232" s="4">
        <v>1387633</v>
      </c>
      <c r="M232" s="3">
        <v>1741113658.8</v>
      </c>
      <c r="N232" s="4">
        <v>40083</v>
      </c>
      <c r="O232">
        <f t="shared" si="3"/>
        <v>2.8839221341024888E-3</v>
      </c>
    </row>
    <row r="233" spans="1:15" ht="14.25" customHeight="1" x14ac:dyDescent="0.3">
      <c r="A233" s="2">
        <v>45813</v>
      </c>
      <c r="B233" t="s">
        <v>15</v>
      </c>
      <c r="C233" s="3">
        <v>1264.2</v>
      </c>
      <c r="D233" s="3">
        <v>1303.4000000000001</v>
      </c>
      <c r="E233" s="3">
        <v>1264.2</v>
      </c>
      <c r="F233" s="3">
        <v>1251.9000000000001</v>
      </c>
      <c r="G233" s="3">
        <v>1290.0999999999999</v>
      </c>
      <c r="H233" s="3">
        <v>1290.5999999999999</v>
      </c>
      <c r="I233" s="3">
        <v>1288.93</v>
      </c>
      <c r="J233" s="3">
        <v>7107.45</v>
      </c>
      <c r="K233" s="3">
        <v>1020</v>
      </c>
      <c r="L233" s="4">
        <v>3834672</v>
      </c>
      <c r="M233" s="3">
        <v>4942634471.8999996</v>
      </c>
      <c r="N233" s="4">
        <v>122574</v>
      </c>
      <c r="O233">
        <f t="shared" si="3"/>
        <v>3.091301222142329E-2</v>
      </c>
    </row>
    <row r="234" spans="1:15" ht="14.25" customHeight="1" x14ac:dyDescent="0.3">
      <c r="A234" s="2">
        <v>45814</v>
      </c>
      <c r="B234" t="s">
        <v>15</v>
      </c>
      <c r="C234" s="3">
        <v>1295.0999999999999</v>
      </c>
      <c r="D234" s="3">
        <v>1322.9</v>
      </c>
      <c r="E234" s="3">
        <v>1295</v>
      </c>
      <c r="F234" s="3">
        <v>1290.5999999999999</v>
      </c>
      <c r="G234" s="3">
        <v>1319.7</v>
      </c>
      <c r="H234" s="3">
        <v>1320.9</v>
      </c>
      <c r="I234" s="3">
        <v>1314</v>
      </c>
      <c r="J234" s="3">
        <v>7107.45</v>
      </c>
      <c r="K234" s="3">
        <v>1020</v>
      </c>
      <c r="L234" s="4">
        <v>2158757</v>
      </c>
      <c r="M234" s="3">
        <v>2836596087.9000001</v>
      </c>
      <c r="N234" s="4">
        <v>70999</v>
      </c>
      <c r="O234">
        <f t="shared" si="3"/>
        <v>2.3477452347745377E-2</v>
      </c>
    </row>
    <row r="235" spans="1:15" ht="14.25" customHeight="1" x14ac:dyDescent="0.3">
      <c r="A235" s="2">
        <v>45817</v>
      </c>
      <c r="B235" t="s">
        <v>15</v>
      </c>
      <c r="C235" s="3">
        <v>1327.4</v>
      </c>
      <c r="D235" s="3">
        <v>1329</v>
      </c>
      <c r="E235" s="3">
        <v>1308.5999999999999</v>
      </c>
      <c r="F235" s="3">
        <v>1320.9</v>
      </c>
      <c r="G235" s="3">
        <v>1319.5</v>
      </c>
      <c r="H235" s="3">
        <v>1319.1</v>
      </c>
      <c r="I235" s="3">
        <v>1317.67</v>
      </c>
      <c r="J235" s="3">
        <v>7107.45</v>
      </c>
      <c r="K235" s="3">
        <v>1020</v>
      </c>
      <c r="L235" s="4">
        <v>1227356</v>
      </c>
      <c r="M235" s="3">
        <v>1617252722.5</v>
      </c>
      <c r="N235" s="4">
        <v>57386</v>
      </c>
      <c r="O235">
        <f t="shared" si="3"/>
        <v>-1.3627072450603239E-3</v>
      </c>
    </row>
    <row r="236" spans="1:15" ht="14.25" customHeight="1" x14ac:dyDescent="0.3">
      <c r="A236" s="2">
        <v>45818</v>
      </c>
      <c r="B236" t="s">
        <v>15</v>
      </c>
      <c r="C236" s="3">
        <v>1321</v>
      </c>
      <c r="D236" s="3">
        <v>1362.6</v>
      </c>
      <c r="E236" s="3">
        <v>1321</v>
      </c>
      <c r="F236" s="3">
        <v>1319.1</v>
      </c>
      <c r="G236" s="3">
        <v>1346.8</v>
      </c>
      <c r="H236" s="3">
        <v>1348.8</v>
      </c>
      <c r="I236" s="3">
        <v>1346.89</v>
      </c>
      <c r="J236" s="3">
        <v>7107.45</v>
      </c>
      <c r="K236" s="3">
        <v>1020</v>
      </c>
      <c r="L236" s="4">
        <v>3022355</v>
      </c>
      <c r="M236" s="3">
        <v>4070764647.5</v>
      </c>
      <c r="N236" s="4">
        <v>89063</v>
      </c>
      <c r="O236">
        <f t="shared" si="3"/>
        <v>2.2515351375938176E-2</v>
      </c>
    </row>
    <row r="237" spans="1:15" ht="14.25" customHeight="1" x14ac:dyDescent="0.3">
      <c r="A237" s="2">
        <v>45819</v>
      </c>
      <c r="B237" t="s">
        <v>15</v>
      </c>
      <c r="C237" s="3">
        <v>1350</v>
      </c>
      <c r="D237" s="3">
        <v>1355.4</v>
      </c>
      <c r="E237" s="3">
        <v>1340.2</v>
      </c>
      <c r="F237" s="3">
        <v>1348.8</v>
      </c>
      <c r="G237" s="3">
        <v>1352.5</v>
      </c>
      <c r="H237" s="3">
        <v>1351.1</v>
      </c>
      <c r="I237" s="3">
        <v>1349.1</v>
      </c>
      <c r="J237" s="3">
        <v>7107.45</v>
      </c>
      <c r="K237" s="3">
        <v>1020</v>
      </c>
      <c r="L237" s="4">
        <v>1094247</v>
      </c>
      <c r="M237" s="3">
        <v>1476244661.9000001</v>
      </c>
      <c r="N237" s="4">
        <v>43912</v>
      </c>
      <c r="O237">
        <f t="shared" si="3"/>
        <v>1.7052194543297409E-3</v>
      </c>
    </row>
    <row r="238" spans="1:15" ht="14.25" customHeight="1" x14ac:dyDescent="0.3">
      <c r="A238" s="2">
        <v>45820</v>
      </c>
      <c r="B238" t="s">
        <v>15</v>
      </c>
      <c r="C238" s="3">
        <v>1360</v>
      </c>
      <c r="D238" s="3">
        <v>1379.7</v>
      </c>
      <c r="E238" s="3">
        <v>1343.5</v>
      </c>
      <c r="F238" s="3">
        <v>1351.1</v>
      </c>
      <c r="G238" s="3">
        <v>1356.3</v>
      </c>
      <c r="H238" s="3">
        <v>1362.7</v>
      </c>
      <c r="I238" s="3">
        <v>1362.01</v>
      </c>
      <c r="J238" s="3">
        <v>7107.45</v>
      </c>
      <c r="K238" s="3">
        <v>1020</v>
      </c>
      <c r="L238" s="4">
        <v>2625058</v>
      </c>
      <c r="M238" s="3">
        <v>3575354681.0999999</v>
      </c>
      <c r="N238" s="4">
        <v>76550</v>
      </c>
      <c r="O238">
        <f t="shared" si="3"/>
        <v>8.5855969210274132E-3</v>
      </c>
    </row>
    <row r="239" spans="1:15" ht="14.25" customHeight="1" x14ac:dyDescent="0.3">
      <c r="A239" s="2">
        <v>45821</v>
      </c>
      <c r="B239" t="s">
        <v>15</v>
      </c>
      <c r="C239" s="3">
        <v>1355</v>
      </c>
      <c r="D239" s="3">
        <v>1366.8</v>
      </c>
      <c r="E239" s="3">
        <v>1345</v>
      </c>
      <c r="F239" s="3">
        <v>1362.7</v>
      </c>
      <c r="G239" s="3">
        <v>1363</v>
      </c>
      <c r="H239" s="3">
        <v>1362.5</v>
      </c>
      <c r="I239" s="3">
        <v>1359.91</v>
      </c>
      <c r="J239" s="3">
        <v>7107.45</v>
      </c>
      <c r="K239" s="3">
        <v>1020</v>
      </c>
      <c r="L239" s="4">
        <v>1419556</v>
      </c>
      <c r="M239" s="3">
        <v>1930461514.9000001</v>
      </c>
      <c r="N239" s="4">
        <v>57185</v>
      </c>
      <c r="O239">
        <f t="shared" si="3"/>
        <v>-1.4676744698029315E-4</v>
      </c>
    </row>
    <row r="240" spans="1:15" ht="14.25" customHeight="1" x14ac:dyDescent="0.3">
      <c r="A240" s="2">
        <v>45824</v>
      </c>
      <c r="B240" t="s">
        <v>15</v>
      </c>
      <c r="C240" s="3">
        <v>1359.8</v>
      </c>
      <c r="D240" s="3">
        <v>1359.8</v>
      </c>
      <c r="E240" s="3">
        <v>1342.2</v>
      </c>
      <c r="F240" s="3">
        <v>1362.5</v>
      </c>
      <c r="G240" s="3">
        <v>1350</v>
      </c>
      <c r="H240" s="3">
        <v>1346.8</v>
      </c>
      <c r="I240" s="3">
        <v>1348.28</v>
      </c>
      <c r="J240" s="3">
        <v>7107.45</v>
      </c>
      <c r="K240" s="3">
        <v>1020</v>
      </c>
      <c r="L240" s="4">
        <v>1294663</v>
      </c>
      <c r="M240" s="3">
        <v>1745571587.0999999</v>
      </c>
      <c r="N240" s="4">
        <v>62280</v>
      </c>
      <c r="O240">
        <f t="shared" si="3"/>
        <v>-1.1522935779816548E-2</v>
      </c>
    </row>
    <row r="241" spans="1:15" ht="14.25" customHeight="1" x14ac:dyDescent="0.3">
      <c r="A241" s="2">
        <v>45825</v>
      </c>
      <c r="B241" t="s">
        <v>15</v>
      </c>
      <c r="C241" s="3">
        <v>1348.3</v>
      </c>
      <c r="D241" s="3">
        <v>1349.7</v>
      </c>
      <c r="E241" s="3">
        <v>1302.5999999999999</v>
      </c>
      <c r="F241" s="3">
        <v>1346.8</v>
      </c>
      <c r="G241" s="3">
        <v>1319.9</v>
      </c>
      <c r="H241" s="3">
        <v>1318.8</v>
      </c>
      <c r="I241" s="3">
        <v>1325.76</v>
      </c>
      <c r="J241" s="3">
        <v>7107.45</v>
      </c>
      <c r="K241" s="3">
        <v>1020</v>
      </c>
      <c r="L241" s="4">
        <v>1649457</v>
      </c>
      <c r="M241" s="3">
        <v>2186782887.6999998</v>
      </c>
      <c r="N241" s="4">
        <v>67732</v>
      </c>
      <c r="O241">
        <f t="shared" si="3"/>
        <v>-2.0790020790020791E-2</v>
      </c>
    </row>
    <row r="242" spans="1:15" ht="14.25" customHeight="1" x14ac:dyDescent="0.3">
      <c r="A242" s="2">
        <v>45826</v>
      </c>
      <c r="B242" t="s">
        <v>15</v>
      </c>
      <c r="C242" s="3">
        <v>1311.1</v>
      </c>
      <c r="D242" s="3">
        <v>1324.8</v>
      </c>
      <c r="E242" s="3">
        <v>1308.8</v>
      </c>
      <c r="F242" s="3">
        <v>1318.8</v>
      </c>
      <c r="G242" s="3">
        <v>1311.6</v>
      </c>
      <c r="H242" s="3">
        <v>1313.3</v>
      </c>
      <c r="I242" s="3">
        <v>1315.47</v>
      </c>
      <c r="J242" s="3">
        <v>7107.45</v>
      </c>
      <c r="K242" s="3">
        <v>1020</v>
      </c>
      <c r="L242" s="4">
        <v>728945</v>
      </c>
      <c r="M242" s="3">
        <v>958907086.10000002</v>
      </c>
      <c r="N242" s="4">
        <v>31813</v>
      </c>
      <c r="O242">
        <f t="shared" si="3"/>
        <v>-4.1704579921140435E-3</v>
      </c>
    </row>
    <row r="243" spans="1:15" ht="14.25" customHeight="1" x14ac:dyDescent="0.3">
      <c r="A243" s="2">
        <v>45827</v>
      </c>
      <c r="B243" t="s">
        <v>15</v>
      </c>
      <c r="C243" s="3">
        <v>1305</v>
      </c>
      <c r="D243" s="3">
        <v>1332</v>
      </c>
      <c r="E243" s="3">
        <v>1304.3</v>
      </c>
      <c r="F243" s="3">
        <v>1313.3</v>
      </c>
      <c r="G243" s="3">
        <v>1330</v>
      </c>
      <c r="H243" s="3">
        <v>1326.1</v>
      </c>
      <c r="I243" s="3">
        <v>1321.98</v>
      </c>
      <c r="J243" s="3">
        <v>7107.45</v>
      </c>
      <c r="K243" s="3">
        <v>1020</v>
      </c>
      <c r="L243" s="4">
        <v>1654212</v>
      </c>
      <c r="M243" s="3">
        <v>2186835806.5999999</v>
      </c>
      <c r="N243" s="4">
        <v>74310</v>
      </c>
      <c r="O243">
        <f t="shared" si="3"/>
        <v>9.7464402649813098E-3</v>
      </c>
    </row>
    <row r="244" spans="1:15" ht="14.25" customHeight="1" x14ac:dyDescent="0.3">
      <c r="A244" s="2">
        <v>45828</v>
      </c>
      <c r="B244" t="s">
        <v>15</v>
      </c>
      <c r="C244" s="3">
        <v>1332.4</v>
      </c>
      <c r="D244" s="3">
        <v>1335</v>
      </c>
      <c r="E244" s="3">
        <v>1318.2</v>
      </c>
      <c r="F244" s="3">
        <v>1326.1</v>
      </c>
      <c r="G244" s="3">
        <v>1322.8</v>
      </c>
      <c r="H244" s="3">
        <v>1325.3</v>
      </c>
      <c r="I244" s="3">
        <v>1325.72</v>
      </c>
      <c r="J244" s="3">
        <v>7107.45</v>
      </c>
      <c r="K244" s="3">
        <v>1020</v>
      </c>
      <c r="L244" s="4">
        <v>1843895</v>
      </c>
      <c r="M244" s="3">
        <v>2444485927</v>
      </c>
      <c r="N244" s="4">
        <v>59864</v>
      </c>
      <c r="O244">
        <f t="shared" si="3"/>
        <v>-6.032727546941819E-4</v>
      </c>
    </row>
    <row r="245" spans="1:15" ht="14.25" customHeight="1" x14ac:dyDescent="0.3">
      <c r="A245" s="2">
        <v>45831</v>
      </c>
      <c r="B245" t="s">
        <v>15</v>
      </c>
      <c r="C245" s="3">
        <v>1318.9</v>
      </c>
      <c r="D245" s="3">
        <v>1323</v>
      </c>
      <c r="E245" s="3">
        <v>1302.0999999999999</v>
      </c>
      <c r="F245" s="3">
        <v>1325.3</v>
      </c>
      <c r="G245" s="3">
        <v>1319.4</v>
      </c>
      <c r="H245" s="3">
        <v>1317.9</v>
      </c>
      <c r="I245" s="3">
        <v>1315.62</v>
      </c>
      <c r="J245" s="3">
        <v>7107.45</v>
      </c>
      <c r="K245" s="3">
        <v>1020</v>
      </c>
      <c r="L245" s="4">
        <v>843945</v>
      </c>
      <c r="M245" s="3">
        <v>1110311031.7</v>
      </c>
      <c r="N245" s="4">
        <v>40039</v>
      </c>
      <c r="O245">
        <f t="shared" si="3"/>
        <v>-5.583641439673933E-3</v>
      </c>
    </row>
    <row r="246" spans="1:15" ht="14.25" customHeight="1" x14ac:dyDescent="0.3">
      <c r="A246" s="2">
        <v>45832</v>
      </c>
      <c r="B246" t="s">
        <v>15</v>
      </c>
      <c r="C246" s="3">
        <v>1317.9</v>
      </c>
      <c r="D246" s="3">
        <v>1353.7</v>
      </c>
      <c r="E246" s="3">
        <v>1309.0999999999999</v>
      </c>
      <c r="F246" s="3">
        <v>1317.9</v>
      </c>
      <c r="G246" s="3">
        <v>1339.8</v>
      </c>
      <c r="H246" s="3">
        <v>1337.3</v>
      </c>
      <c r="I246" s="3">
        <v>1338.56</v>
      </c>
      <c r="J246" s="3">
        <v>7107.45</v>
      </c>
      <c r="K246" s="3">
        <v>1020</v>
      </c>
      <c r="L246" s="4">
        <v>1011128</v>
      </c>
      <c r="M246" s="3">
        <v>1353455295.2</v>
      </c>
      <c r="N246" s="4">
        <v>40304</v>
      </c>
      <c r="O246">
        <f t="shared" si="3"/>
        <v>1.4720388496850947E-2</v>
      </c>
    </row>
    <row r="247" spans="1:15" ht="14.25" customHeight="1" x14ac:dyDescent="0.3">
      <c r="A247" s="2">
        <v>45833</v>
      </c>
      <c r="B247" t="s">
        <v>15</v>
      </c>
      <c r="C247" s="3">
        <v>1348.3</v>
      </c>
      <c r="D247" s="3">
        <v>1348.3</v>
      </c>
      <c r="E247" s="3">
        <v>1336</v>
      </c>
      <c r="F247" s="3">
        <v>1337.3</v>
      </c>
      <c r="G247" s="3">
        <v>1340.1</v>
      </c>
      <c r="H247" s="3">
        <v>1341.6</v>
      </c>
      <c r="I247" s="3">
        <v>1340.25</v>
      </c>
      <c r="J247" s="3">
        <v>7107.45</v>
      </c>
      <c r="K247" s="3">
        <v>1020</v>
      </c>
      <c r="L247" s="4">
        <v>833145</v>
      </c>
      <c r="M247" s="3">
        <v>1116623853.8</v>
      </c>
      <c r="N247" s="4">
        <v>51485</v>
      </c>
      <c r="O247">
        <f t="shared" si="3"/>
        <v>3.2154340836012523E-3</v>
      </c>
    </row>
    <row r="248" spans="1:15" ht="14.25" customHeight="1" x14ac:dyDescent="0.3">
      <c r="A248" s="2">
        <v>45834</v>
      </c>
      <c r="B248" t="s">
        <v>15</v>
      </c>
      <c r="C248" s="3">
        <v>1326</v>
      </c>
      <c r="D248" s="3">
        <v>1333.7</v>
      </c>
      <c r="E248" s="3">
        <v>1314.6</v>
      </c>
      <c r="F248" s="3">
        <v>1341.6</v>
      </c>
      <c r="G248" s="3">
        <v>1324</v>
      </c>
      <c r="H248" s="3">
        <v>1321.5</v>
      </c>
      <c r="I248" s="3">
        <v>1320.83</v>
      </c>
      <c r="J248" s="3">
        <v>7107.45</v>
      </c>
      <c r="K248" s="3">
        <v>1020</v>
      </c>
      <c r="L248" s="4">
        <v>2373431</v>
      </c>
      <c r="M248" s="3">
        <v>3134907316.3000002</v>
      </c>
      <c r="N248" s="4">
        <v>83428</v>
      </c>
      <c r="O248">
        <f t="shared" si="3"/>
        <v>-1.4982110912343404E-2</v>
      </c>
    </row>
    <row r="249" spans="1:15" ht="14.25" customHeight="1" x14ac:dyDescent="0.3">
      <c r="A249" s="2">
        <v>45835</v>
      </c>
      <c r="B249" t="s">
        <v>15</v>
      </c>
      <c r="C249" s="3">
        <v>1328.9</v>
      </c>
      <c r="D249" s="3">
        <v>1331.6</v>
      </c>
      <c r="E249" s="3">
        <v>1298.4000000000001</v>
      </c>
      <c r="F249" s="3">
        <v>1321.5</v>
      </c>
      <c r="G249" s="3">
        <v>1302.5</v>
      </c>
      <c r="H249" s="3">
        <v>1301</v>
      </c>
      <c r="I249" s="3">
        <v>1306.06</v>
      </c>
      <c r="J249" s="3">
        <v>7107.45</v>
      </c>
      <c r="K249" s="3">
        <v>1020</v>
      </c>
      <c r="L249" s="4">
        <v>1770595</v>
      </c>
      <c r="M249" s="3">
        <v>2312502705.5999999</v>
      </c>
      <c r="N249" s="4">
        <v>75263</v>
      </c>
      <c r="O249">
        <f t="shared" si="3"/>
        <v>-1.5512674990541053E-2</v>
      </c>
    </row>
    <row r="250" spans="1:15" ht="14.25" customHeight="1" x14ac:dyDescent="0.3">
      <c r="A250" s="2">
        <v>45838</v>
      </c>
      <c r="B250" t="s">
        <v>15</v>
      </c>
      <c r="C250" s="3">
        <v>1302.9000000000001</v>
      </c>
      <c r="D250" s="3">
        <v>1305</v>
      </c>
      <c r="E250" s="3">
        <v>1272.5</v>
      </c>
      <c r="F250" s="3">
        <v>1301</v>
      </c>
      <c r="G250" s="3">
        <v>1286.3</v>
      </c>
      <c r="H250" s="3">
        <v>1283.3</v>
      </c>
      <c r="I250" s="3">
        <v>1281.8</v>
      </c>
      <c r="J250" s="3">
        <v>7107.45</v>
      </c>
      <c r="K250" s="3">
        <v>1020</v>
      </c>
      <c r="L250" s="4">
        <v>2224279</v>
      </c>
      <c r="M250" s="3">
        <v>2851071993.6999998</v>
      </c>
      <c r="N250" s="4">
        <v>90579</v>
      </c>
      <c r="O250">
        <f t="shared" si="3"/>
        <v>-1.3604919292851687E-2</v>
      </c>
    </row>
    <row r="251" spans="1:15" ht="14.25" customHeight="1" x14ac:dyDescent="0.3">
      <c r="A251" s="2">
        <v>45839</v>
      </c>
      <c r="B251" t="s">
        <v>15</v>
      </c>
      <c r="C251" s="3">
        <v>1286.3</v>
      </c>
      <c r="D251" s="3">
        <v>1294.9000000000001</v>
      </c>
      <c r="E251" s="3">
        <v>1273.3</v>
      </c>
      <c r="F251" s="3">
        <v>1283.3</v>
      </c>
      <c r="G251" s="3">
        <v>1282</v>
      </c>
      <c r="H251" s="3">
        <v>1276.8</v>
      </c>
      <c r="I251" s="3">
        <v>1281.1500000000001</v>
      </c>
      <c r="J251" s="3">
        <v>7107.45</v>
      </c>
      <c r="K251" s="3">
        <v>1020</v>
      </c>
      <c r="L251" s="4">
        <v>1851442</v>
      </c>
      <c r="M251" s="3">
        <v>2371982716.5999999</v>
      </c>
      <c r="N251" s="4">
        <v>50137</v>
      </c>
      <c r="O251">
        <f t="shared" si="3"/>
        <v>-5.0650666251071457E-3</v>
      </c>
    </row>
    <row r="252" spans="1:15" ht="14.25" customHeight="1" x14ac:dyDescent="0.3">
      <c r="A252" s="2">
        <v>45840</v>
      </c>
      <c r="B252" t="s">
        <v>15</v>
      </c>
      <c r="C252" s="3">
        <v>1276</v>
      </c>
      <c r="D252" s="3">
        <v>1280.9000000000001</v>
      </c>
      <c r="E252" s="3">
        <v>1263.7</v>
      </c>
      <c r="F252" s="3">
        <v>1276.8</v>
      </c>
      <c r="G252" s="3">
        <v>1273.4000000000001</v>
      </c>
      <c r="H252" s="3">
        <v>1270.8</v>
      </c>
      <c r="I252" s="3">
        <v>1269.75</v>
      </c>
      <c r="J252" s="3">
        <v>7107.45</v>
      </c>
      <c r="K252" s="3">
        <v>1020</v>
      </c>
      <c r="L252" s="4">
        <v>2027306</v>
      </c>
      <c r="M252" s="3">
        <v>2574165062.1999998</v>
      </c>
      <c r="N252" s="4">
        <v>50347</v>
      </c>
      <c r="O252">
        <f t="shared" si="3"/>
        <v>-4.6992481203007516E-3</v>
      </c>
    </row>
    <row r="253" spans="1:15" ht="14.25" customHeight="1" x14ac:dyDescent="0.3">
      <c r="A253" s="2">
        <v>45841</v>
      </c>
      <c r="B253" t="s">
        <v>15</v>
      </c>
      <c r="C253" s="3">
        <v>1274.9000000000001</v>
      </c>
      <c r="D253" s="3">
        <v>1297.5999999999999</v>
      </c>
      <c r="E253" s="3">
        <v>1270</v>
      </c>
      <c r="F253" s="3">
        <v>1270.8</v>
      </c>
      <c r="G253" s="3">
        <v>1295</v>
      </c>
      <c r="H253" s="3">
        <v>1291.3</v>
      </c>
      <c r="I253" s="3">
        <v>1283.22</v>
      </c>
      <c r="J253" s="3">
        <v>7107.45</v>
      </c>
      <c r="K253" s="3">
        <v>1020</v>
      </c>
      <c r="L253" s="4">
        <v>1918977</v>
      </c>
      <c r="M253" s="3">
        <v>2462463054.3000002</v>
      </c>
      <c r="N253" s="4">
        <v>54446</v>
      </c>
      <c r="O253">
        <f t="shared" si="3"/>
        <v>1.6131570664148567E-2</v>
      </c>
    </row>
    <row r="254" spans="1:15" ht="14.25" customHeight="1" x14ac:dyDescent="0.3">
      <c r="A254" s="2">
        <v>45842</v>
      </c>
      <c r="B254" t="s">
        <v>15</v>
      </c>
      <c r="C254" s="3">
        <v>1303</v>
      </c>
      <c r="D254" s="3">
        <v>1313</v>
      </c>
      <c r="E254" s="3">
        <v>1287.2</v>
      </c>
      <c r="F254" s="3">
        <v>1291.3</v>
      </c>
      <c r="G254" s="3">
        <v>1310</v>
      </c>
      <c r="H254" s="3">
        <v>1307.4000000000001</v>
      </c>
      <c r="I254" s="3">
        <v>1298.83</v>
      </c>
      <c r="J254" s="3">
        <v>7107.45</v>
      </c>
      <c r="K254" s="3">
        <v>1020</v>
      </c>
      <c r="L254" s="4">
        <v>1466009</v>
      </c>
      <c r="M254" s="3">
        <v>1904093433.7</v>
      </c>
      <c r="N254" s="4">
        <v>42722</v>
      </c>
      <c r="O254">
        <f t="shared" si="3"/>
        <v>1.2468055447998248E-2</v>
      </c>
    </row>
    <row r="255" spans="1:15" ht="14.25" customHeight="1" x14ac:dyDescent="0.3">
      <c r="A255" s="2">
        <v>45845</v>
      </c>
      <c r="B255" t="s">
        <v>15</v>
      </c>
      <c r="C255" s="3">
        <v>1307.9000000000001</v>
      </c>
      <c r="D255" s="3">
        <v>1313.4</v>
      </c>
      <c r="E255" s="3">
        <v>1298.0999999999999</v>
      </c>
      <c r="F255" s="3">
        <v>1307.4000000000001</v>
      </c>
      <c r="G255" s="3">
        <v>1309</v>
      </c>
      <c r="H255" s="3">
        <v>1310.5</v>
      </c>
      <c r="I255" s="3">
        <v>1307.2</v>
      </c>
      <c r="J255" s="3">
        <v>7107.45</v>
      </c>
      <c r="K255" s="3">
        <v>1020</v>
      </c>
      <c r="L255" s="4">
        <v>569025</v>
      </c>
      <c r="M255" s="3">
        <v>743830124.60000002</v>
      </c>
      <c r="N255" s="4">
        <v>32011</v>
      </c>
      <c r="O255">
        <f t="shared" si="3"/>
        <v>2.3711182499616865E-3</v>
      </c>
    </row>
    <row r="256" spans="1:15" ht="14.25" customHeight="1" x14ac:dyDescent="0.3">
      <c r="A256" s="2">
        <v>45846</v>
      </c>
      <c r="B256" t="s">
        <v>15</v>
      </c>
      <c r="C256" s="3">
        <v>1310.3</v>
      </c>
      <c r="D256" s="3">
        <v>1310.3</v>
      </c>
      <c r="E256" s="3">
        <v>1273.5999999999999</v>
      </c>
      <c r="F256" s="3">
        <v>1310.5</v>
      </c>
      <c r="G256" s="3">
        <v>1284</v>
      </c>
      <c r="H256" s="3">
        <v>1283.8</v>
      </c>
      <c r="I256" s="3">
        <v>1282.57</v>
      </c>
      <c r="J256" s="3">
        <v>7107.45</v>
      </c>
      <c r="K256" s="3">
        <v>1020</v>
      </c>
      <c r="L256" s="4">
        <v>1602620</v>
      </c>
      <c r="M256" s="3">
        <v>2055480170.4000001</v>
      </c>
      <c r="N256" s="4">
        <v>61803</v>
      </c>
      <c r="O256">
        <f t="shared" si="3"/>
        <v>-2.0373903090423535E-2</v>
      </c>
    </row>
    <row r="257" spans="1:15" ht="14.25" customHeight="1" x14ac:dyDescent="0.3">
      <c r="A257" s="2">
        <v>45847</v>
      </c>
      <c r="B257" t="s">
        <v>15</v>
      </c>
      <c r="C257" s="3">
        <v>1280</v>
      </c>
      <c r="D257" s="3">
        <v>1285.7</v>
      </c>
      <c r="E257" s="3">
        <v>1266.9000000000001</v>
      </c>
      <c r="F257" s="3">
        <v>1283.8</v>
      </c>
      <c r="G257" s="3">
        <v>1269</v>
      </c>
      <c r="H257" s="3">
        <v>1269.4000000000001</v>
      </c>
      <c r="I257" s="3">
        <v>1273.43</v>
      </c>
      <c r="J257" s="3">
        <v>7107.45</v>
      </c>
      <c r="K257" s="3">
        <v>1020</v>
      </c>
      <c r="L257" s="4">
        <v>1494337</v>
      </c>
      <c r="M257" s="3">
        <v>1902931725.5</v>
      </c>
      <c r="N257" s="4">
        <v>55197</v>
      </c>
      <c r="O257">
        <f t="shared" si="3"/>
        <v>-1.121670042062616E-2</v>
      </c>
    </row>
    <row r="258" spans="1:15" ht="14.25" customHeight="1" x14ac:dyDescent="0.3">
      <c r="A258" s="2">
        <v>45848</v>
      </c>
      <c r="B258" t="s">
        <v>15</v>
      </c>
      <c r="C258" s="3">
        <v>1262.9000000000001</v>
      </c>
      <c r="D258" s="3">
        <v>1269.9000000000001</v>
      </c>
      <c r="E258" s="3">
        <v>1252.0999999999999</v>
      </c>
      <c r="F258" s="3">
        <v>1269.4000000000001</v>
      </c>
      <c r="G258" s="3">
        <v>1261.0999999999999</v>
      </c>
      <c r="H258" s="3">
        <v>1262.5999999999999</v>
      </c>
      <c r="I258" s="3">
        <v>1261.54</v>
      </c>
      <c r="J258" s="3">
        <v>7107.45</v>
      </c>
      <c r="K258" s="3">
        <v>1020</v>
      </c>
      <c r="L258" s="4">
        <v>1246082</v>
      </c>
      <c r="M258" s="3">
        <v>1571976817.4000001</v>
      </c>
      <c r="N258" s="4">
        <v>41513</v>
      </c>
      <c r="O258">
        <f t="shared" si="3"/>
        <v>-5.3568615093746502E-3</v>
      </c>
    </row>
    <row r="259" spans="1:15" ht="14.25" customHeight="1" x14ac:dyDescent="0.3">
      <c r="A259" s="2">
        <v>45849</v>
      </c>
      <c r="B259" t="s">
        <v>15</v>
      </c>
      <c r="C259" s="3">
        <v>1263</v>
      </c>
      <c r="D259" s="3">
        <v>1272</v>
      </c>
      <c r="E259" s="3">
        <v>1251.3</v>
      </c>
      <c r="F259" s="3">
        <v>1262.5999999999999</v>
      </c>
      <c r="G259" s="3">
        <v>1255</v>
      </c>
      <c r="H259" s="3">
        <v>1254.7</v>
      </c>
      <c r="I259" s="3">
        <v>1259.22</v>
      </c>
      <c r="J259" s="3">
        <v>7107.45</v>
      </c>
      <c r="K259" s="3">
        <v>1020</v>
      </c>
      <c r="L259" s="4">
        <v>895466</v>
      </c>
      <c r="M259" s="3">
        <v>1127586201.5</v>
      </c>
      <c r="N259" s="4">
        <v>50076</v>
      </c>
      <c r="O259">
        <f t="shared" ref="O259:O322" si="4">(H259-H258)/H258</f>
        <v>-6.2569301441468906E-3</v>
      </c>
    </row>
    <row r="260" spans="1:15" ht="14.25" customHeight="1" x14ac:dyDescent="0.3">
      <c r="A260" s="2">
        <v>45852</v>
      </c>
      <c r="B260" t="s">
        <v>15</v>
      </c>
      <c r="C260" s="3">
        <v>1254.7</v>
      </c>
      <c r="D260" s="3">
        <v>1261.4000000000001</v>
      </c>
      <c r="E260" s="3">
        <v>1245.3</v>
      </c>
      <c r="F260" s="3">
        <v>1254.7</v>
      </c>
      <c r="G260" s="3">
        <v>1251.8</v>
      </c>
      <c r="H260" s="3">
        <v>1250.5999999999999</v>
      </c>
      <c r="I260" s="3">
        <v>1252.81</v>
      </c>
      <c r="J260" s="3">
        <v>7107.45</v>
      </c>
      <c r="K260" s="3">
        <v>1020</v>
      </c>
      <c r="L260" s="4">
        <v>1035555</v>
      </c>
      <c r="M260" s="3">
        <v>1297350031</v>
      </c>
      <c r="N260" s="4">
        <v>47497</v>
      </c>
      <c r="O260">
        <f t="shared" si="4"/>
        <v>-3.267713397625039E-3</v>
      </c>
    </row>
    <row r="261" spans="1:15" ht="14.25" customHeight="1" x14ac:dyDescent="0.3">
      <c r="A261" s="2">
        <v>45853</v>
      </c>
      <c r="B261" t="s">
        <v>15</v>
      </c>
      <c r="C261" s="3">
        <v>1254.8</v>
      </c>
      <c r="D261" s="3">
        <v>1264.5</v>
      </c>
      <c r="E261" s="3">
        <v>1241</v>
      </c>
      <c r="F261" s="3">
        <v>1250.5999999999999</v>
      </c>
      <c r="G261" s="3">
        <v>1257.9000000000001</v>
      </c>
      <c r="H261" s="3">
        <v>1260.9000000000001</v>
      </c>
      <c r="I261" s="3">
        <v>1252.78</v>
      </c>
      <c r="J261" s="3">
        <v>7107.45</v>
      </c>
      <c r="K261" s="3">
        <v>1020</v>
      </c>
      <c r="L261" s="4">
        <v>1183659</v>
      </c>
      <c r="M261" s="3">
        <v>1482864028.7</v>
      </c>
      <c r="N261" s="4">
        <v>64140</v>
      </c>
      <c r="O261">
        <f t="shared" si="4"/>
        <v>8.2360466975853058E-3</v>
      </c>
    </row>
    <row r="262" spans="1:15" ht="14.25" customHeight="1" x14ac:dyDescent="0.3">
      <c r="A262" s="2">
        <v>45854</v>
      </c>
      <c r="B262" t="s">
        <v>15</v>
      </c>
      <c r="C262" s="3">
        <v>1260.9000000000001</v>
      </c>
      <c r="D262" s="3">
        <v>1262</v>
      </c>
      <c r="E262" s="3">
        <v>1250</v>
      </c>
      <c r="F262" s="3">
        <v>1260.9000000000001</v>
      </c>
      <c r="G262" s="3">
        <v>1259.5</v>
      </c>
      <c r="H262" s="3">
        <v>1259.4000000000001</v>
      </c>
      <c r="I262" s="3">
        <v>1257.69</v>
      </c>
      <c r="J262" s="3">
        <v>7107.45</v>
      </c>
      <c r="K262" s="3">
        <v>1020</v>
      </c>
      <c r="L262" s="4">
        <v>1159859</v>
      </c>
      <c r="M262" s="3">
        <v>1458746482.5999999</v>
      </c>
      <c r="N262" s="4">
        <v>46069</v>
      </c>
      <c r="O262">
        <f t="shared" si="4"/>
        <v>-1.1896264572924102E-3</v>
      </c>
    </row>
    <row r="263" spans="1:15" ht="14.25" customHeight="1" x14ac:dyDescent="0.3">
      <c r="A263" s="2">
        <v>45855</v>
      </c>
      <c r="B263" t="s">
        <v>15</v>
      </c>
      <c r="C263" s="3">
        <v>1259.4000000000001</v>
      </c>
      <c r="D263" s="3">
        <v>1274.8</v>
      </c>
      <c r="E263" s="3">
        <v>1255.5</v>
      </c>
      <c r="F263" s="3">
        <v>1259.4000000000001</v>
      </c>
      <c r="G263" s="3">
        <v>1265</v>
      </c>
      <c r="H263" s="3">
        <v>1263.0999999999999</v>
      </c>
      <c r="I263" s="3">
        <v>1265.3900000000001</v>
      </c>
      <c r="J263" s="3">
        <v>7107.45</v>
      </c>
      <c r="K263" s="3">
        <v>1020</v>
      </c>
      <c r="L263" s="4">
        <v>709420</v>
      </c>
      <c r="M263" s="3">
        <v>897695219</v>
      </c>
      <c r="N263" s="4">
        <v>42833</v>
      </c>
      <c r="O263">
        <f t="shared" si="4"/>
        <v>2.9379069398124645E-3</v>
      </c>
    </row>
    <row r="264" spans="1:15" ht="14.25" customHeight="1" x14ac:dyDescent="0.3">
      <c r="A264" s="2">
        <v>45856</v>
      </c>
      <c r="B264" t="s">
        <v>15</v>
      </c>
      <c r="C264" s="3">
        <v>1265</v>
      </c>
      <c r="D264" s="3">
        <v>1270.5999999999999</v>
      </c>
      <c r="E264" s="3">
        <v>1251.0999999999999</v>
      </c>
      <c r="F264" s="3">
        <v>1263.0999999999999</v>
      </c>
      <c r="G264" s="3">
        <v>1258.3</v>
      </c>
      <c r="H264" s="3">
        <v>1257.5</v>
      </c>
      <c r="I264" s="3">
        <v>1258.18</v>
      </c>
      <c r="J264" s="3">
        <v>7107.45</v>
      </c>
      <c r="K264" s="3">
        <v>1020</v>
      </c>
      <c r="L264" s="4">
        <v>690731</v>
      </c>
      <c r="M264" s="3">
        <v>869063271.39999998</v>
      </c>
      <c r="N264" s="4">
        <v>35855</v>
      </c>
      <c r="O264">
        <f t="shared" si="4"/>
        <v>-4.4335365370912119E-3</v>
      </c>
    </row>
    <row r="265" spans="1:15" ht="14.25" customHeight="1" x14ac:dyDescent="0.3">
      <c r="A265" s="2">
        <v>45859</v>
      </c>
      <c r="B265" t="s">
        <v>15</v>
      </c>
      <c r="C265" s="3">
        <v>1250.2</v>
      </c>
      <c r="D265" s="3">
        <v>1262.4000000000001</v>
      </c>
      <c r="E265" s="3">
        <v>1245.2</v>
      </c>
      <c r="F265" s="3">
        <v>1257.5</v>
      </c>
      <c r="G265" s="3">
        <v>1256.0999999999999</v>
      </c>
      <c r="H265" s="3">
        <v>1259.3</v>
      </c>
      <c r="I265" s="3">
        <v>1256.05</v>
      </c>
      <c r="J265" s="3">
        <v>7107.45</v>
      </c>
      <c r="K265" s="3">
        <v>1020</v>
      </c>
      <c r="L265" s="4">
        <v>1065189</v>
      </c>
      <c r="M265" s="3">
        <v>1337925689.0999999</v>
      </c>
      <c r="N265" s="4">
        <v>45297</v>
      </c>
      <c r="O265">
        <f t="shared" si="4"/>
        <v>1.4314115308150732E-3</v>
      </c>
    </row>
    <row r="266" spans="1:15" ht="14.25" customHeight="1" x14ac:dyDescent="0.3">
      <c r="A266" s="2">
        <v>45860</v>
      </c>
      <c r="B266" t="s">
        <v>15</v>
      </c>
      <c r="C266" s="3">
        <v>1261</v>
      </c>
      <c r="D266" s="3">
        <v>1263.5999999999999</v>
      </c>
      <c r="E266" s="3">
        <v>1236</v>
      </c>
      <c r="F266" s="3">
        <v>1259.3</v>
      </c>
      <c r="G266" s="3">
        <v>1240</v>
      </c>
      <c r="H266" s="3">
        <v>1240</v>
      </c>
      <c r="I266" s="3">
        <v>1242.6500000000001</v>
      </c>
      <c r="J266" s="3">
        <v>7107.45</v>
      </c>
      <c r="K266" s="3">
        <v>1020</v>
      </c>
      <c r="L266" s="4">
        <v>1304352</v>
      </c>
      <c r="M266" s="3">
        <v>1620851182.4000001</v>
      </c>
      <c r="N266" s="4">
        <v>54545</v>
      </c>
      <c r="O266">
        <f t="shared" si="4"/>
        <v>-1.5325974747875769E-2</v>
      </c>
    </row>
    <row r="267" spans="1:15" ht="14.25" customHeight="1" x14ac:dyDescent="0.3">
      <c r="A267" s="2">
        <v>45861</v>
      </c>
      <c r="B267" t="s">
        <v>15</v>
      </c>
      <c r="C267" s="3">
        <v>1240.2</v>
      </c>
      <c r="D267" s="3">
        <v>1252.0999999999999</v>
      </c>
      <c r="E267" s="3">
        <v>1231</v>
      </c>
      <c r="F267" s="3">
        <v>1240</v>
      </c>
      <c r="G267" s="3">
        <v>1248</v>
      </c>
      <c r="H267" s="3">
        <v>1247.4000000000001</v>
      </c>
      <c r="I267" s="3">
        <v>1239.67</v>
      </c>
      <c r="J267" s="3">
        <v>7107.45</v>
      </c>
      <c r="K267" s="3">
        <v>1020</v>
      </c>
      <c r="L267" s="4">
        <v>1088262</v>
      </c>
      <c r="M267" s="3">
        <v>1349087678.3</v>
      </c>
      <c r="N267" s="4">
        <v>53121</v>
      </c>
      <c r="O267">
        <f t="shared" si="4"/>
        <v>5.9677419354839441E-3</v>
      </c>
    </row>
    <row r="268" spans="1:15" ht="14.25" customHeight="1" x14ac:dyDescent="0.3">
      <c r="A268" s="2">
        <v>45862</v>
      </c>
      <c r="B268" t="s">
        <v>15</v>
      </c>
      <c r="C268" s="3">
        <v>1261.0999999999999</v>
      </c>
      <c r="D268" s="3">
        <v>1287.9000000000001</v>
      </c>
      <c r="E268" s="3">
        <v>1256.0999999999999</v>
      </c>
      <c r="F268" s="3">
        <v>1247.4000000000001</v>
      </c>
      <c r="G268" s="3">
        <v>1268.9000000000001</v>
      </c>
      <c r="H268" s="3">
        <v>1265.5</v>
      </c>
      <c r="I268" s="3">
        <v>1275.1600000000001</v>
      </c>
      <c r="J268" s="3">
        <v>7107.45</v>
      </c>
      <c r="K268" s="3">
        <v>1020</v>
      </c>
      <c r="L268" s="4">
        <v>3809212</v>
      </c>
      <c r="M268" s="3">
        <v>4857364209.3000002</v>
      </c>
      <c r="N268" s="4">
        <v>104732</v>
      </c>
      <c r="O268">
        <f t="shared" si="4"/>
        <v>1.451018117684777E-2</v>
      </c>
    </row>
    <row r="269" spans="1:15" ht="14.25" customHeight="1" x14ac:dyDescent="0.3">
      <c r="A269" s="2">
        <v>45863</v>
      </c>
      <c r="B269" t="s">
        <v>15</v>
      </c>
      <c r="C269" s="3">
        <v>1266</v>
      </c>
      <c r="D269" s="3">
        <v>1288.5</v>
      </c>
      <c r="E269" s="3">
        <v>1261.2</v>
      </c>
      <c r="F269" s="3">
        <v>1265.5</v>
      </c>
      <c r="G269" s="3">
        <v>1277</v>
      </c>
      <c r="H269" s="3">
        <v>1277.9000000000001</v>
      </c>
      <c r="I269" s="3">
        <v>1279.9000000000001</v>
      </c>
      <c r="J269" s="3">
        <v>7107.45</v>
      </c>
      <c r="K269" s="3">
        <v>1020</v>
      </c>
      <c r="L269" s="4">
        <v>1621138</v>
      </c>
      <c r="M269" s="3">
        <v>2074893625.4000001</v>
      </c>
      <c r="N269" s="4">
        <v>74198</v>
      </c>
      <c r="O269">
        <f t="shared" si="4"/>
        <v>9.7984986171474452E-3</v>
      </c>
    </row>
    <row r="270" spans="1:15" ht="14.25" customHeight="1" x14ac:dyDescent="0.3">
      <c r="A270" s="2">
        <v>45866</v>
      </c>
      <c r="B270" t="s">
        <v>15</v>
      </c>
      <c r="C270" s="3">
        <v>1280</v>
      </c>
      <c r="D270" s="3">
        <v>1290</v>
      </c>
      <c r="E270" s="3">
        <v>1271.5999999999999</v>
      </c>
      <c r="F270" s="3">
        <v>1277.9000000000001</v>
      </c>
      <c r="G270" s="3">
        <v>1287</v>
      </c>
      <c r="H270" s="3">
        <v>1287.4000000000001</v>
      </c>
      <c r="I270" s="3">
        <v>1281.6099999999999</v>
      </c>
      <c r="J270" s="3">
        <v>7107.45</v>
      </c>
      <c r="K270" s="3">
        <v>1020</v>
      </c>
      <c r="L270" s="4">
        <v>1553778</v>
      </c>
      <c r="M270" s="3">
        <v>1991338000.4000001</v>
      </c>
      <c r="N270" s="4">
        <v>55394</v>
      </c>
      <c r="O270">
        <f t="shared" si="4"/>
        <v>7.4340715235933948E-3</v>
      </c>
    </row>
    <row r="271" spans="1:15" ht="14.25" customHeight="1" x14ac:dyDescent="0.3">
      <c r="A271" s="2">
        <v>45867</v>
      </c>
      <c r="B271" t="s">
        <v>15</v>
      </c>
      <c r="C271" s="3">
        <v>1287</v>
      </c>
      <c r="D271" s="3">
        <v>1302</v>
      </c>
      <c r="E271" s="3">
        <v>1282.8</v>
      </c>
      <c r="F271" s="3">
        <v>1287.4000000000001</v>
      </c>
      <c r="G271" s="3">
        <v>1301</v>
      </c>
      <c r="H271" s="3">
        <v>1299.8</v>
      </c>
      <c r="I271" s="3">
        <v>1294.9000000000001</v>
      </c>
      <c r="J271" s="3">
        <v>7107.45</v>
      </c>
      <c r="K271" s="3">
        <v>1020</v>
      </c>
      <c r="L271" s="4">
        <v>1943466</v>
      </c>
      <c r="M271" s="3">
        <v>2516598092.5</v>
      </c>
      <c r="N271" s="4">
        <v>71014</v>
      </c>
      <c r="O271">
        <f t="shared" si="4"/>
        <v>9.6318160633834578E-3</v>
      </c>
    </row>
    <row r="272" spans="1:15" ht="14.25" customHeight="1" x14ac:dyDescent="0.3">
      <c r="A272" s="2">
        <v>45868</v>
      </c>
      <c r="B272" t="s">
        <v>15</v>
      </c>
      <c r="C272" s="3">
        <v>1298.0999999999999</v>
      </c>
      <c r="D272" s="3">
        <v>1298.0999999999999</v>
      </c>
      <c r="E272" s="3">
        <v>1277.7</v>
      </c>
      <c r="F272" s="3">
        <v>1299.8</v>
      </c>
      <c r="G272" s="3">
        <v>1292</v>
      </c>
      <c r="H272" s="3">
        <v>1292.0999999999999</v>
      </c>
      <c r="I272" s="3">
        <v>1287.32</v>
      </c>
      <c r="J272" s="3">
        <v>7107.45</v>
      </c>
      <c r="K272" s="3">
        <v>1020</v>
      </c>
      <c r="L272" s="4">
        <v>1387013</v>
      </c>
      <c r="M272" s="3">
        <v>1785525322.5</v>
      </c>
      <c r="N272" s="4">
        <v>63174</v>
      </c>
      <c r="O272">
        <f t="shared" si="4"/>
        <v>-5.9239883058932498E-3</v>
      </c>
    </row>
    <row r="273" spans="1:15" ht="14.25" customHeight="1" x14ac:dyDescent="0.3">
      <c r="A273" s="2">
        <v>45869</v>
      </c>
      <c r="B273" t="s">
        <v>15</v>
      </c>
      <c r="C273" s="3">
        <v>1274.5</v>
      </c>
      <c r="D273" s="3">
        <v>1285</v>
      </c>
      <c r="E273" s="3">
        <v>1257</v>
      </c>
      <c r="F273" s="3">
        <v>1292.0999999999999</v>
      </c>
      <c r="G273" s="3">
        <v>1267.0999999999999</v>
      </c>
      <c r="H273" s="3">
        <v>1270.3</v>
      </c>
      <c r="I273" s="3">
        <v>1273.8800000000001</v>
      </c>
      <c r="J273" s="3">
        <v>7107.45</v>
      </c>
      <c r="K273" s="3">
        <v>1020</v>
      </c>
      <c r="L273" s="4">
        <v>1968821</v>
      </c>
      <c r="M273" s="3">
        <v>2508032036</v>
      </c>
      <c r="N273" s="4">
        <v>66038</v>
      </c>
      <c r="O273">
        <f t="shared" si="4"/>
        <v>-1.6871759151768403E-2</v>
      </c>
    </row>
    <row r="274" spans="1:15" ht="14.25" customHeight="1" x14ac:dyDescent="0.3">
      <c r="A274" s="2">
        <v>45870</v>
      </c>
      <c r="B274" t="s">
        <v>15</v>
      </c>
      <c r="C274" s="3">
        <v>1258</v>
      </c>
      <c r="D274" s="3">
        <v>1259</v>
      </c>
      <c r="E274" s="3">
        <v>1213.7</v>
      </c>
      <c r="F274" s="3">
        <v>1270.3</v>
      </c>
      <c r="G274" s="3">
        <v>1221.4000000000001</v>
      </c>
      <c r="H274" s="3">
        <v>1220.5999999999999</v>
      </c>
      <c r="I274" s="3">
        <v>1227.5999999999999</v>
      </c>
      <c r="J274" s="3">
        <v>7107.45</v>
      </c>
      <c r="K274" s="3">
        <v>1020</v>
      </c>
      <c r="L274" s="4">
        <v>2525210</v>
      </c>
      <c r="M274" s="3">
        <v>3099953617.5</v>
      </c>
      <c r="N274" s="4">
        <v>103791</v>
      </c>
      <c r="O274">
        <f t="shared" si="4"/>
        <v>-3.912461623238609E-2</v>
      </c>
    </row>
    <row r="275" spans="1:15" ht="14.25" customHeight="1" x14ac:dyDescent="0.3">
      <c r="A275" s="2">
        <v>45873</v>
      </c>
      <c r="B275" t="s">
        <v>15</v>
      </c>
      <c r="C275" s="3">
        <v>1225.0999999999999</v>
      </c>
      <c r="D275" s="3">
        <v>1232.2</v>
      </c>
      <c r="E275" s="3">
        <v>1219.2</v>
      </c>
      <c r="F275" s="3">
        <v>1220.5999999999999</v>
      </c>
      <c r="G275" s="3">
        <v>1224</v>
      </c>
      <c r="H275" s="3">
        <v>1225</v>
      </c>
      <c r="I275" s="3">
        <v>1226.8399999999999</v>
      </c>
      <c r="J275" s="3">
        <v>7107.45</v>
      </c>
      <c r="K275" s="3">
        <v>1020</v>
      </c>
      <c r="L275" s="4">
        <v>767310</v>
      </c>
      <c r="M275" s="3">
        <v>941366204.5</v>
      </c>
      <c r="N275" s="4">
        <v>40521</v>
      </c>
      <c r="O275">
        <f t="shared" si="4"/>
        <v>3.604784532197355E-3</v>
      </c>
    </row>
    <row r="276" spans="1:15" ht="14.25" customHeight="1" x14ac:dyDescent="0.3">
      <c r="A276" s="2">
        <v>45874</v>
      </c>
      <c r="B276" t="s">
        <v>15</v>
      </c>
      <c r="C276" s="3">
        <v>1225</v>
      </c>
      <c r="D276" s="3">
        <v>1232</v>
      </c>
      <c r="E276" s="3">
        <v>1205</v>
      </c>
      <c r="F276" s="3">
        <v>1225</v>
      </c>
      <c r="G276" s="3">
        <v>1214.4000000000001</v>
      </c>
      <c r="H276" s="3">
        <v>1214.8</v>
      </c>
      <c r="I276" s="3">
        <v>1215.03</v>
      </c>
      <c r="J276" s="3">
        <v>7107.45</v>
      </c>
      <c r="K276" s="3">
        <v>1020</v>
      </c>
      <c r="L276" s="4">
        <v>956582</v>
      </c>
      <c r="M276" s="3">
        <v>1162280047.5999999</v>
      </c>
      <c r="N276" s="4">
        <v>57155</v>
      </c>
      <c r="O276">
        <f t="shared" si="4"/>
        <v>-8.3265306122449357E-3</v>
      </c>
    </row>
    <row r="277" spans="1:15" ht="14.25" customHeight="1" x14ac:dyDescent="0.3">
      <c r="A277" s="2">
        <v>45875</v>
      </c>
      <c r="B277" t="s">
        <v>15</v>
      </c>
      <c r="C277" s="3">
        <v>1214.8</v>
      </c>
      <c r="D277" s="3">
        <v>1217.8</v>
      </c>
      <c r="E277" s="3">
        <v>1187.5</v>
      </c>
      <c r="F277" s="3">
        <v>1214.8</v>
      </c>
      <c r="G277" s="3">
        <v>1193.5</v>
      </c>
      <c r="H277" s="3">
        <v>1196.7</v>
      </c>
      <c r="I277" s="3">
        <v>1197.23</v>
      </c>
      <c r="J277" s="3">
        <v>7107.45</v>
      </c>
      <c r="K277" s="3">
        <v>1020</v>
      </c>
      <c r="L277" s="4">
        <v>1701845</v>
      </c>
      <c r="M277" s="3">
        <v>2037500543.8</v>
      </c>
      <c r="N277" s="4">
        <v>76591</v>
      </c>
      <c r="O277">
        <f t="shared" si="4"/>
        <v>-1.4899571945999267E-2</v>
      </c>
    </row>
    <row r="278" spans="1:15" ht="14.25" customHeight="1" x14ac:dyDescent="0.3">
      <c r="A278" s="2">
        <v>45876</v>
      </c>
      <c r="B278" t="s">
        <v>15</v>
      </c>
      <c r="C278" s="3">
        <v>1184</v>
      </c>
      <c r="D278" s="3">
        <v>1210</v>
      </c>
      <c r="E278" s="3">
        <v>1183.4000000000001</v>
      </c>
      <c r="F278" s="3">
        <v>1196.7</v>
      </c>
      <c r="G278" s="3">
        <v>1198</v>
      </c>
      <c r="H278" s="3">
        <v>1200.8</v>
      </c>
      <c r="I278" s="3">
        <v>1191.6500000000001</v>
      </c>
      <c r="J278" s="3">
        <v>7107.45</v>
      </c>
      <c r="K278" s="3">
        <v>1020</v>
      </c>
      <c r="L278" s="4">
        <v>1246560</v>
      </c>
      <c r="M278" s="3">
        <v>1485468755.5999999</v>
      </c>
      <c r="N278" s="4">
        <v>60069</v>
      </c>
      <c r="O278">
        <f t="shared" si="4"/>
        <v>3.4260884097935228E-3</v>
      </c>
    </row>
    <row r="279" spans="1:15" ht="14.25" customHeight="1" x14ac:dyDescent="0.3">
      <c r="A279" s="2">
        <v>45877</v>
      </c>
      <c r="B279" t="s">
        <v>15</v>
      </c>
      <c r="C279" s="3">
        <v>1200.8</v>
      </c>
      <c r="D279" s="3">
        <v>1215</v>
      </c>
      <c r="E279" s="3">
        <v>1195.4000000000001</v>
      </c>
      <c r="F279" s="3">
        <v>1200.8</v>
      </c>
      <c r="G279" s="3">
        <v>1215</v>
      </c>
      <c r="H279" s="3">
        <v>1211.4000000000001</v>
      </c>
      <c r="I279" s="3">
        <v>1207.54</v>
      </c>
      <c r="J279" s="3">
        <v>7107.45</v>
      </c>
      <c r="K279" s="3">
        <v>1020</v>
      </c>
      <c r="L279" s="4">
        <v>2389106</v>
      </c>
      <c r="M279" s="3">
        <v>2884947252.3000002</v>
      </c>
      <c r="N279" s="4">
        <v>74133</v>
      </c>
      <c r="O279">
        <f t="shared" si="4"/>
        <v>8.8274483677549444E-3</v>
      </c>
    </row>
    <row r="280" spans="1:15" ht="14.25" customHeight="1" x14ac:dyDescent="0.3">
      <c r="A280" s="2">
        <v>45880</v>
      </c>
      <c r="B280" t="s">
        <v>15</v>
      </c>
      <c r="C280" s="3">
        <v>1212.5</v>
      </c>
      <c r="D280" s="3">
        <v>1237</v>
      </c>
      <c r="E280" s="3">
        <v>1208.5999999999999</v>
      </c>
      <c r="F280" s="3">
        <v>1211.4000000000001</v>
      </c>
      <c r="G280" s="3">
        <v>1219.9000000000001</v>
      </c>
      <c r="H280" s="3">
        <v>1219.5</v>
      </c>
      <c r="I280" s="3">
        <v>1221.31</v>
      </c>
      <c r="J280" s="3">
        <v>7107.45</v>
      </c>
      <c r="K280" s="3">
        <v>1020</v>
      </c>
      <c r="L280" s="4">
        <v>1246374</v>
      </c>
      <c r="M280" s="3">
        <v>1522205776.0999999</v>
      </c>
      <c r="N280" s="4">
        <v>58958</v>
      </c>
      <c r="O280">
        <f t="shared" si="4"/>
        <v>6.6864784546804591E-3</v>
      </c>
    </row>
    <row r="281" spans="1:15" ht="14.25" customHeight="1" x14ac:dyDescent="0.3">
      <c r="A281" s="2">
        <v>45881</v>
      </c>
      <c r="B281" t="s">
        <v>15</v>
      </c>
      <c r="C281" s="3">
        <v>1210</v>
      </c>
      <c r="D281" s="3">
        <v>1227.2</v>
      </c>
      <c r="E281" s="3">
        <v>1204.0999999999999</v>
      </c>
      <c r="F281" s="3">
        <v>1219.5</v>
      </c>
      <c r="G281" s="3">
        <v>1218.7</v>
      </c>
      <c r="H281" s="3">
        <v>1220.3</v>
      </c>
      <c r="I281" s="3">
        <v>1217.02</v>
      </c>
      <c r="J281" s="3">
        <v>7107.45</v>
      </c>
      <c r="K281" s="3">
        <v>1020</v>
      </c>
      <c r="L281" s="4">
        <v>922461</v>
      </c>
      <c r="M281" s="3">
        <v>1122649321.8</v>
      </c>
      <c r="N281" s="4">
        <v>41003</v>
      </c>
      <c r="O281">
        <f t="shared" si="4"/>
        <v>6.5600656006556336E-4</v>
      </c>
    </row>
    <row r="282" spans="1:15" ht="14.25" customHeight="1" x14ac:dyDescent="0.3">
      <c r="A282" s="2">
        <v>45882</v>
      </c>
      <c r="B282" t="s">
        <v>15</v>
      </c>
      <c r="C282" s="3">
        <v>1220.3</v>
      </c>
      <c r="D282" s="3">
        <v>1255.5</v>
      </c>
      <c r="E282" s="3">
        <v>1219.8</v>
      </c>
      <c r="F282" s="3">
        <v>1220.3</v>
      </c>
      <c r="G282" s="3">
        <v>1253.4000000000001</v>
      </c>
      <c r="H282" s="3">
        <v>1253.4000000000001</v>
      </c>
      <c r="I282" s="3">
        <v>1246.96</v>
      </c>
      <c r="J282" s="3">
        <v>7107.45</v>
      </c>
      <c r="K282" s="3">
        <v>1020</v>
      </c>
      <c r="L282" s="4">
        <v>1192506</v>
      </c>
      <c r="M282" s="3">
        <v>1487008053</v>
      </c>
      <c r="N282" s="4">
        <v>52015</v>
      </c>
      <c r="O282">
        <f t="shared" si="4"/>
        <v>2.7124477587478601E-2</v>
      </c>
    </row>
    <row r="283" spans="1:15" ht="14.25" customHeight="1" x14ac:dyDescent="0.3">
      <c r="A283" s="2">
        <v>45883</v>
      </c>
      <c r="B283" t="s">
        <v>15</v>
      </c>
      <c r="C283" s="3">
        <v>1255.0999999999999</v>
      </c>
      <c r="D283" s="3">
        <v>1266</v>
      </c>
      <c r="E283" s="3">
        <v>1250.2</v>
      </c>
      <c r="F283" s="3">
        <v>1253.4000000000001</v>
      </c>
      <c r="G283" s="3">
        <v>1251</v>
      </c>
      <c r="H283" s="3">
        <v>1260.4000000000001</v>
      </c>
      <c r="I283" s="3">
        <v>1258.92</v>
      </c>
      <c r="J283" s="3">
        <v>7107.45</v>
      </c>
      <c r="K283" s="3">
        <v>1020</v>
      </c>
      <c r="L283" s="4">
        <v>1603933</v>
      </c>
      <c r="M283" s="3">
        <v>2019231097.2</v>
      </c>
      <c r="N283" s="4">
        <v>45581</v>
      </c>
      <c r="O283">
        <f t="shared" si="4"/>
        <v>5.5848093186532631E-3</v>
      </c>
    </row>
    <row r="284" spans="1:15" ht="14.25" customHeight="1" x14ac:dyDescent="0.3">
      <c r="A284" s="2">
        <v>45887</v>
      </c>
      <c r="B284" t="s">
        <v>15</v>
      </c>
      <c r="C284" s="3">
        <v>1270</v>
      </c>
      <c r="D284" s="3">
        <v>1270.5999999999999</v>
      </c>
      <c r="E284" s="3">
        <v>1241.0999999999999</v>
      </c>
      <c r="F284" s="3">
        <v>1260.4000000000001</v>
      </c>
      <c r="G284" s="3">
        <v>1263</v>
      </c>
      <c r="H284" s="3">
        <v>1262.7</v>
      </c>
      <c r="I284" s="3">
        <v>1256.8900000000001</v>
      </c>
      <c r="J284" s="3">
        <v>7107.45</v>
      </c>
      <c r="K284" s="3">
        <v>1020</v>
      </c>
      <c r="L284" s="4">
        <v>1648543</v>
      </c>
      <c r="M284" s="3">
        <v>2072035966.9000001</v>
      </c>
      <c r="N284" s="4">
        <v>62363</v>
      </c>
      <c r="O284">
        <f t="shared" si="4"/>
        <v>1.8248175182481389E-3</v>
      </c>
    </row>
    <row r="285" spans="1:15" ht="14.25" customHeight="1" x14ac:dyDescent="0.3">
      <c r="A285" s="2">
        <v>45888</v>
      </c>
      <c r="B285" t="s">
        <v>15</v>
      </c>
      <c r="C285" s="3">
        <v>1263</v>
      </c>
      <c r="D285" s="3">
        <v>1263.8</v>
      </c>
      <c r="E285" s="3">
        <v>1241.9000000000001</v>
      </c>
      <c r="F285" s="3">
        <v>1262.7</v>
      </c>
      <c r="G285" s="3">
        <v>1245</v>
      </c>
      <c r="H285" s="3">
        <v>1244.2</v>
      </c>
      <c r="I285" s="3">
        <v>1250.8499999999999</v>
      </c>
      <c r="J285" s="3">
        <v>7107.45</v>
      </c>
      <c r="K285" s="3">
        <v>1020</v>
      </c>
      <c r="L285" s="4">
        <v>1061816</v>
      </c>
      <c r="M285" s="3">
        <v>1328175616.5</v>
      </c>
      <c r="N285" s="4">
        <v>45411</v>
      </c>
      <c r="O285">
        <f t="shared" si="4"/>
        <v>-1.4651144373168607E-2</v>
      </c>
    </row>
    <row r="286" spans="1:15" ht="14.25" customHeight="1" x14ac:dyDescent="0.3">
      <c r="A286" s="2">
        <v>45889</v>
      </c>
      <c r="B286" t="s">
        <v>15</v>
      </c>
      <c r="C286" s="3">
        <v>1244</v>
      </c>
      <c r="D286" s="3">
        <v>1250.7</v>
      </c>
      <c r="E286" s="3">
        <v>1238</v>
      </c>
      <c r="F286" s="3">
        <v>1244.2</v>
      </c>
      <c r="G286" s="3">
        <v>1246.0999999999999</v>
      </c>
      <c r="H286" s="3">
        <v>1245.4000000000001</v>
      </c>
      <c r="I286" s="3">
        <v>1245.9000000000001</v>
      </c>
      <c r="J286" s="3">
        <v>7107.45</v>
      </c>
      <c r="K286" s="3">
        <v>1020</v>
      </c>
      <c r="L286" s="4">
        <v>685379</v>
      </c>
      <c r="M286" s="3">
        <v>853910522.70000005</v>
      </c>
      <c r="N286" s="4">
        <v>35978</v>
      </c>
      <c r="O286">
        <f t="shared" si="4"/>
        <v>9.6447516476454382E-4</v>
      </c>
    </row>
    <row r="287" spans="1:15" ht="14.25" customHeight="1" x14ac:dyDescent="0.3">
      <c r="A287" s="2">
        <v>45890</v>
      </c>
      <c r="B287" t="s">
        <v>15</v>
      </c>
      <c r="C287" s="3">
        <v>1245.4000000000001</v>
      </c>
      <c r="D287" s="3">
        <v>1281.8</v>
      </c>
      <c r="E287" s="3">
        <v>1240.3</v>
      </c>
      <c r="F287" s="3">
        <v>1245.4000000000001</v>
      </c>
      <c r="G287" s="3">
        <v>1277.9000000000001</v>
      </c>
      <c r="H287" s="3">
        <v>1276.5999999999999</v>
      </c>
      <c r="I287" s="3">
        <v>1270.32</v>
      </c>
      <c r="J287" s="3">
        <v>7107.45</v>
      </c>
      <c r="K287" s="3">
        <v>1020</v>
      </c>
      <c r="L287" s="4">
        <v>2008295</v>
      </c>
      <c r="M287" s="3">
        <v>2551170855.1999998</v>
      </c>
      <c r="N287" s="4">
        <v>64452</v>
      </c>
      <c r="O287">
        <f t="shared" si="4"/>
        <v>2.5052192066805697E-2</v>
      </c>
    </row>
    <row r="288" spans="1:15" ht="14.25" customHeight="1" x14ac:dyDescent="0.3">
      <c r="A288" s="2">
        <v>45891</v>
      </c>
      <c r="B288" t="s">
        <v>15</v>
      </c>
      <c r="C288" s="3">
        <v>1274.0999999999999</v>
      </c>
      <c r="D288" s="3">
        <v>1284.0999999999999</v>
      </c>
      <c r="E288" s="3">
        <v>1265.5999999999999</v>
      </c>
      <c r="F288" s="3">
        <v>1276.5999999999999</v>
      </c>
      <c r="G288" s="3">
        <v>1275</v>
      </c>
      <c r="H288" s="3">
        <v>1277.5999999999999</v>
      </c>
      <c r="I288" s="3">
        <v>1278.1300000000001</v>
      </c>
      <c r="J288" s="3">
        <v>7107.45</v>
      </c>
      <c r="K288" s="3">
        <v>1020</v>
      </c>
      <c r="L288" s="4">
        <v>1229920</v>
      </c>
      <c r="M288" s="3">
        <v>1572002548.9000001</v>
      </c>
      <c r="N288" s="4">
        <v>46217</v>
      </c>
      <c r="O288">
        <f t="shared" si="4"/>
        <v>7.8333072223092594E-4</v>
      </c>
    </row>
    <row r="289" spans="1:15" ht="14.25" customHeight="1" x14ac:dyDescent="0.3">
      <c r="A289" s="2">
        <v>45894</v>
      </c>
      <c r="B289" t="s">
        <v>15</v>
      </c>
      <c r="C289" s="3">
        <v>1277.7</v>
      </c>
      <c r="D289" s="3">
        <v>1288.9000000000001</v>
      </c>
      <c r="E289" s="3">
        <v>1275.3</v>
      </c>
      <c r="F289" s="3">
        <v>1277.5999999999999</v>
      </c>
      <c r="G289" s="3">
        <v>1281.9000000000001</v>
      </c>
      <c r="H289" s="3">
        <v>1283.9000000000001</v>
      </c>
      <c r="I289" s="3">
        <v>1284</v>
      </c>
      <c r="J289" s="3">
        <v>7074.95</v>
      </c>
      <c r="K289" s="3">
        <v>1020</v>
      </c>
      <c r="L289" s="4">
        <v>967056</v>
      </c>
      <c r="M289" s="3">
        <v>1241703838.9000001</v>
      </c>
      <c r="N289" s="4">
        <v>42360</v>
      </c>
      <c r="O289">
        <f t="shared" si="4"/>
        <v>4.9311208515968865E-3</v>
      </c>
    </row>
    <row r="290" spans="1:15" ht="14.25" customHeight="1" x14ac:dyDescent="0.3">
      <c r="A290" s="2">
        <v>45895</v>
      </c>
      <c r="B290" t="s">
        <v>15</v>
      </c>
      <c r="C290" s="3">
        <v>1276</v>
      </c>
      <c r="D290" s="3">
        <v>1279.5999999999999</v>
      </c>
      <c r="E290" s="3">
        <v>1259</v>
      </c>
      <c r="F290" s="3">
        <v>1283.9000000000001</v>
      </c>
      <c r="G290" s="3">
        <v>1261.0999999999999</v>
      </c>
      <c r="H290" s="3">
        <v>1263.2</v>
      </c>
      <c r="I290" s="3">
        <v>1264.21</v>
      </c>
      <c r="J290" s="3">
        <v>7074.95</v>
      </c>
      <c r="K290" s="3">
        <v>1020</v>
      </c>
      <c r="L290" s="4">
        <v>2798216</v>
      </c>
      <c r="M290" s="3">
        <v>3537528721.5999999</v>
      </c>
      <c r="N290" s="4">
        <v>58260</v>
      </c>
      <c r="O290">
        <f t="shared" si="4"/>
        <v>-1.6122750993068029E-2</v>
      </c>
    </row>
    <row r="291" spans="1:15" ht="14.25" customHeight="1" x14ac:dyDescent="0.3">
      <c r="A291" s="2">
        <v>45897</v>
      </c>
      <c r="B291" t="s">
        <v>15</v>
      </c>
      <c r="C291" s="3">
        <v>1263.2</v>
      </c>
      <c r="D291" s="3">
        <v>1267.4000000000001</v>
      </c>
      <c r="E291" s="3">
        <v>1248.5</v>
      </c>
      <c r="F291" s="3">
        <v>1263.2</v>
      </c>
      <c r="G291" s="3">
        <v>1263.8</v>
      </c>
      <c r="H291" s="3">
        <v>1259.8</v>
      </c>
      <c r="I291" s="3">
        <v>1256.8</v>
      </c>
      <c r="J291" s="3">
        <v>7074.95</v>
      </c>
      <c r="K291" s="3">
        <v>1020</v>
      </c>
      <c r="L291" s="4">
        <v>1827890</v>
      </c>
      <c r="M291" s="3">
        <v>2297287634</v>
      </c>
      <c r="N291" s="4">
        <v>62189</v>
      </c>
      <c r="O291">
        <f t="shared" si="4"/>
        <v>-2.6915769474351574E-3</v>
      </c>
    </row>
    <row r="292" spans="1:15" ht="14.25" customHeight="1" x14ac:dyDescent="0.3">
      <c r="A292" s="2">
        <v>45898</v>
      </c>
      <c r="B292" t="s">
        <v>15</v>
      </c>
      <c r="C292" s="3">
        <v>1259</v>
      </c>
      <c r="D292" s="3">
        <v>1266.4000000000001</v>
      </c>
      <c r="E292" s="3">
        <v>1240.8</v>
      </c>
      <c r="F292" s="3">
        <v>1259.8</v>
      </c>
      <c r="G292" s="3">
        <v>1255.5999999999999</v>
      </c>
      <c r="H292" s="3">
        <v>1260.0999999999999</v>
      </c>
      <c r="I292" s="3">
        <v>1258.03</v>
      </c>
      <c r="J292" s="3">
        <v>7074.95</v>
      </c>
      <c r="K292" s="3">
        <v>1020</v>
      </c>
      <c r="L292" s="4">
        <v>2422956</v>
      </c>
      <c r="M292" s="3">
        <v>3048141627.5999999</v>
      </c>
      <c r="N292" s="4">
        <v>71277</v>
      </c>
      <c r="O292">
        <f t="shared" si="4"/>
        <v>2.3813303698996233E-4</v>
      </c>
    </row>
    <row r="293" spans="1:15" ht="14.25" customHeight="1" x14ac:dyDescent="0.3">
      <c r="A293" s="2">
        <v>45901</v>
      </c>
      <c r="B293" t="s">
        <v>15</v>
      </c>
      <c r="C293" s="3">
        <v>1260.0999999999999</v>
      </c>
      <c r="D293" s="3">
        <v>1285</v>
      </c>
      <c r="E293" s="3">
        <v>1260.0999999999999</v>
      </c>
      <c r="F293" s="3">
        <v>1260.0999999999999</v>
      </c>
      <c r="G293" s="3">
        <v>1279.9000000000001</v>
      </c>
      <c r="H293" s="3">
        <v>1279.9000000000001</v>
      </c>
      <c r="I293" s="3">
        <v>1274.6300000000001</v>
      </c>
      <c r="J293" s="3">
        <v>7074.95</v>
      </c>
      <c r="K293" s="3">
        <v>1020</v>
      </c>
      <c r="L293" s="4">
        <v>1273903</v>
      </c>
      <c r="M293" s="3">
        <v>1623761337.9000001</v>
      </c>
      <c r="N293" s="4">
        <v>55917</v>
      </c>
      <c r="O293">
        <f t="shared" si="4"/>
        <v>1.5713038647726517E-2</v>
      </c>
    </row>
    <row r="294" spans="1:15" ht="14.25" customHeight="1" x14ac:dyDescent="0.3">
      <c r="A294" s="2">
        <v>45902</v>
      </c>
      <c r="B294" t="s">
        <v>15</v>
      </c>
      <c r="C294" s="3">
        <v>1279.9000000000001</v>
      </c>
      <c r="D294" s="3">
        <v>1283.4000000000001</v>
      </c>
      <c r="E294" s="3">
        <v>1248</v>
      </c>
      <c r="F294" s="3">
        <v>1279.9000000000001</v>
      </c>
      <c r="G294" s="3">
        <v>1250</v>
      </c>
      <c r="H294" s="3">
        <v>1253.7</v>
      </c>
      <c r="I294" s="3">
        <v>1265.4000000000001</v>
      </c>
      <c r="J294" s="3">
        <v>7074.95</v>
      </c>
      <c r="K294" s="3">
        <v>1020</v>
      </c>
      <c r="L294" s="4">
        <v>1632660</v>
      </c>
      <c r="M294" s="3">
        <v>2065966285.3</v>
      </c>
      <c r="N294" s="4">
        <v>59488</v>
      </c>
      <c r="O294">
        <f t="shared" si="4"/>
        <v>-2.0470349246034882E-2</v>
      </c>
    </row>
    <row r="295" spans="1:15" ht="14.25" customHeight="1" x14ac:dyDescent="0.3">
      <c r="A295" s="2">
        <v>45903</v>
      </c>
      <c r="B295" t="s">
        <v>15</v>
      </c>
      <c r="C295" s="3">
        <v>1250</v>
      </c>
      <c r="D295" s="3">
        <v>1265.9000000000001</v>
      </c>
      <c r="E295" s="3">
        <v>1247.5999999999999</v>
      </c>
      <c r="F295" s="3">
        <v>1253.7</v>
      </c>
      <c r="G295" s="3">
        <v>1263</v>
      </c>
      <c r="H295" s="3">
        <v>1262.2</v>
      </c>
      <c r="I295" s="3">
        <v>1260.5</v>
      </c>
      <c r="J295" s="3">
        <v>7074.95</v>
      </c>
      <c r="K295" s="3">
        <v>1020</v>
      </c>
      <c r="L295" s="4">
        <v>1294925</v>
      </c>
      <c r="M295" s="3">
        <v>1632251436</v>
      </c>
      <c r="N295" s="4">
        <v>42013</v>
      </c>
      <c r="O295">
        <f t="shared" si="4"/>
        <v>6.7799314030469807E-3</v>
      </c>
    </row>
    <row r="296" spans="1:15" ht="14.25" customHeight="1" x14ac:dyDescent="0.3">
      <c r="A296" s="2">
        <v>45904</v>
      </c>
      <c r="B296" t="s">
        <v>15</v>
      </c>
      <c r="C296" s="3">
        <v>1268</v>
      </c>
      <c r="D296" s="3">
        <v>1274.7</v>
      </c>
      <c r="E296" s="3">
        <v>1249</v>
      </c>
      <c r="F296" s="3">
        <v>1262.2</v>
      </c>
      <c r="G296" s="3">
        <v>1254.2</v>
      </c>
      <c r="H296" s="3">
        <v>1253</v>
      </c>
      <c r="I296" s="3">
        <v>1261.23</v>
      </c>
      <c r="J296" s="3">
        <v>7074.95</v>
      </c>
      <c r="K296" s="3">
        <v>1020</v>
      </c>
      <c r="L296" s="4">
        <v>1230934</v>
      </c>
      <c r="M296" s="3">
        <v>1552493095.7</v>
      </c>
      <c r="N296" s="4">
        <v>60888</v>
      </c>
      <c r="O296">
        <f t="shared" si="4"/>
        <v>-7.2888607193788979E-3</v>
      </c>
    </row>
    <row r="297" spans="1:15" ht="14.25" customHeight="1" x14ac:dyDescent="0.3">
      <c r="A297" s="2">
        <v>45905</v>
      </c>
      <c r="B297" t="s">
        <v>15</v>
      </c>
      <c r="C297" s="3">
        <v>1254.3</v>
      </c>
      <c r="D297" s="3">
        <v>1271.7</v>
      </c>
      <c r="E297" s="3">
        <v>1253.5999999999999</v>
      </c>
      <c r="F297" s="3">
        <v>1253</v>
      </c>
      <c r="G297" s="3">
        <v>1269.7</v>
      </c>
      <c r="H297" s="3">
        <v>1268.0999999999999</v>
      </c>
      <c r="I297" s="3">
        <v>1264.9000000000001</v>
      </c>
      <c r="J297" s="3">
        <v>7074.95</v>
      </c>
      <c r="K297" s="3">
        <v>1020</v>
      </c>
      <c r="L297" s="4">
        <v>769861</v>
      </c>
      <c r="M297" s="3">
        <v>973796138</v>
      </c>
      <c r="N297" s="4">
        <v>25271</v>
      </c>
      <c r="O297">
        <f t="shared" si="4"/>
        <v>1.2051077414205833E-2</v>
      </c>
    </row>
    <row r="298" spans="1:15" ht="14.25" customHeight="1" x14ac:dyDescent="0.3">
      <c r="A298" s="2">
        <v>45908</v>
      </c>
      <c r="B298" t="s">
        <v>15</v>
      </c>
      <c r="C298" s="3">
        <v>1269</v>
      </c>
      <c r="D298" s="3">
        <v>1277</v>
      </c>
      <c r="E298" s="3">
        <v>1248.7</v>
      </c>
      <c r="F298" s="3">
        <v>1268.0999999999999</v>
      </c>
      <c r="G298" s="3">
        <v>1251</v>
      </c>
      <c r="H298" s="3">
        <v>1250.5999999999999</v>
      </c>
      <c r="I298" s="3">
        <v>1258.8900000000001</v>
      </c>
      <c r="J298" s="3">
        <v>6795</v>
      </c>
      <c r="K298" s="3">
        <v>1020</v>
      </c>
      <c r="L298" s="4">
        <v>969297</v>
      </c>
      <c r="M298" s="3">
        <v>1220242885.7</v>
      </c>
      <c r="N298" s="4">
        <v>42657</v>
      </c>
      <c r="O298">
        <f t="shared" si="4"/>
        <v>-1.3800173487895277E-2</v>
      </c>
    </row>
    <row r="299" spans="1:15" ht="14.25" customHeight="1" x14ac:dyDescent="0.3">
      <c r="A299" s="2">
        <v>45909</v>
      </c>
      <c r="B299" t="s">
        <v>15</v>
      </c>
      <c r="C299" s="3">
        <v>1257.5</v>
      </c>
      <c r="D299" s="3">
        <v>1295.8</v>
      </c>
      <c r="E299" s="3">
        <v>1256.8</v>
      </c>
      <c r="F299" s="3">
        <v>1250.5999999999999</v>
      </c>
      <c r="G299" s="3">
        <v>1294.4000000000001</v>
      </c>
      <c r="H299" s="3">
        <v>1291.3</v>
      </c>
      <c r="I299" s="3">
        <v>1281.6400000000001</v>
      </c>
      <c r="J299" s="3">
        <v>6795</v>
      </c>
      <c r="K299" s="3">
        <v>1020</v>
      </c>
      <c r="L299" s="4">
        <v>1643726</v>
      </c>
      <c r="M299" s="3">
        <v>2106664970</v>
      </c>
      <c r="N299" s="4">
        <v>64690</v>
      </c>
      <c r="O299">
        <f t="shared" si="4"/>
        <v>3.2544378698224893E-2</v>
      </c>
    </row>
    <row r="300" spans="1:15" ht="14.25" customHeight="1" x14ac:dyDescent="0.3">
      <c r="A300" s="2">
        <v>45910</v>
      </c>
      <c r="B300" t="s">
        <v>15</v>
      </c>
      <c r="C300" s="3">
        <v>1294.4000000000001</v>
      </c>
      <c r="D300" s="3">
        <v>1310</v>
      </c>
      <c r="E300" s="3">
        <v>1293.7</v>
      </c>
      <c r="F300" s="3">
        <v>1291.3</v>
      </c>
      <c r="G300" s="3">
        <v>1302.5</v>
      </c>
      <c r="H300" s="3">
        <v>1304.2</v>
      </c>
      <c r="I300" s="3">
        <v>1302.69</v>
      </c>
      <c r="J300" s="3">
        <v>6795</v>
      </c>
      <c r="K300" s="3">
        <v>1020</v>
      </c>
      <c r="L300" s="4">
        <v>1232984</v>
      </c>
      <c r="M300" s="3">
        <v>1606191212.2</v>
      </c>
      <c r="N300" s="4">
        <v>49015</v>
      </c>
      <c r="O300">
        <f t="shared" si="4"/>
        <v>9.9899326260358481E-3</v>
      </c>
    </row>
    <row r="301" spans="1:15" ht="14.25" customHeight="1" x14ac:dyDescent="0.3">
      <c r="A301" s="2">
        <v>45911</v>
      </c>
      <c r="B301" t="s">
        <v>15</v>
      </c>
      <c r="C301" s="3">
        <v>1304</v>
      </c>
      <c r="D301" s="3">
        <v>1311</v>
      </c>
      <c r="E301" s="3">
        <v>1283</v>
      </c>
      <c r="F301" s="3">
        <v>1304.2</v>
      </c>
      <c r="G301" s="3">
        <v>1303</v>
      </c>
      <c r="H301" s="3">
        <v>1303.0999999999999</v>
      </c>
      <c r="I301" s="3">
        <v>1298.3900000000001</v>
      </c>
      <c r="J301" s="3">
        <v>6795</v>
      </c>
      <c r="K301" s="3">
        <v>1020</v>
      </c>
      <c r="L301" s="4">
        <v>1349391</v>
      </c>
      <c r="M301" s="3">
        <v>1752041228.8</v>
      </c>
      <c r="N301" s="4">
        <v>60781</v>
      </c>
      <c r="O301">
        <f t="shared" si="4"/>
        <v>-8.4342892194459165E-4</v>
      </c>
    </row>
    <row r="302" spans="1:15" ht="14.25" customHeight="1" x14ac:dyDescent="0.3">
      <c r="A302" s="2">
        <v>45912</v>
      </c>
      <c r="B302" t="s">
        <v>15</v>
      </c>
      <c r="C302" s="3">
        <v>1303.0999999999999</v>
      </c>
      <c r="D302" s="3">
        <v>1321</v>
      </c>
      <c r="E302" s="3">
        <v>1302.8</v>
      </c>
      <c r="F302" s="3">
        <v>1303.0999999999999</v>
      </c>
      <c r="G302" s="3">
        <v>1314</v>
      </c>
      <c r="H302" s="3">
        <v>1316.7</v>
      </c>
      <c r="I302" s="3">
        <v>1314.82</v>
      </c>
      <c r="J302" s="3">
        <v>6795</v>
      </c>
      <c r="K302" s="3">
        <v>1020</v>
      </c>
      <c r="L302" s="4">
        <v>1042942</v>
      </c>
      <c r="M302" s="3">
        <v>1371275880.3</v>
      </c>
      <c r="N302" s="4">
        <v>44987</v>
      </c>
      <c r="O302">
        <f t="shared" si="4"/>
        <v>1.0436651062850232E-2</v>
      </c>
    </row>
    <row r="303" spans="1:15" ht="14.25" customHeight="1" x14ac:dyDescent="0.3">
      <c r="A303" s="2">
        <v>45915</v>
      </c>
      <c r="B303" t="s">
        <v>15</v>
      </c>
      <c r="C303" s="3">
        <v>1308.9000000000001</v>
      </c>
      <c r="D303" s="3">
        <v>1311.8</v>
      </c>
      <c r="E303" s="3">
        <v>1292.5</v>
      </c>
      <c r="F303" s="3">
        <v>1316.7</v>
      </c>
      <c r="G303" s="3">
        <v>1301</v>
      </c>
      <c r="H303" s="3">
        <v>1300.8</v>
      </c>
      <c r="I303" s="3">
        <v>1298.8499999999999</v>
      </c>
      <c r="J303" s="3">
        <v>6795</v>
      </c>
      <c r="K303" s="3">
        <v>1020</v>
      </c>
      <c r="L303" s="4">
        <v>1331182</v>
      </c>
      <c r="M303" s="3">
        <v>1729002683.0999999</v>
      </c>
      <c r="N303" s="4">
        <v>39563</v>
      </c>
      <c r="O303">
        <f t="shared" si="4"/>
        <v>-1.2075643654591092E-2</v>
      </c>
    </row>
    <row r="304" spans="1:15" ht="14.25" customHeight="1" x14ac:dyDescent="0.3">
      <c r="A304" s="2">
        <v>45916</v>
      </c>
      <c r="B304" t="s">
        <v>15</v>
      </c>
      <c r="C304" s="3">
        <v>1300</v>
      </c>
      <c r="D304" s="3">
        <v>1312.5</v>
      </c>
      <c r="E304" s="3">
        <v>1296.4000000000001</v>
      </c>
      <c r="F304" s="3">
        <v>1300.8</v>
      </c>
      <c r="G304" s="3">
        <v>1311.1</v>
      </c>
      <c r="H304" s="3">
        <v>1310.4000000000001</v>
      </c>
      <c r="I304" s="3">
        <v>1308.32</v>
      </c>
      <c r="J304" s="3">
        <v>6795</v>
      </c>
      <c r="K304" s="3">
        <v>1020</v>
      </c>
      <c r="L304" s="4">
        <v>1034369</v>
      </c>
      <c r="M304" s="3">
        <v>1353288759.9000001</v>
      </c>
      <c r="N304" s="4">
        <v>40087</v>
      </c>
      <c r="O304">
        <f t="shared" si="4"/>
        <v>7.3800738007381121E-3</v>
      </c>
    </row>
    <row r="305" spans="1:15" ht="14.25" customHeight="1" x14ac:dyDescent="0.3">
      <c r="A305" s="2">
        <v>45917</v>
      </c>
      <c r="B305" t="s">
        <v>15</v>
      </c>
      <c r="C305" s="3">
        <v>1317</v>
      </c>
      <c r="D305" s="3">
        <v>1318.2</v>
      </c>
      <c r="E305" s="3">
        <v>1305.2</v>
      </c>
      <c r="F305" s="3">
        <v>1310.4000000000001</v>
      </c>
      <c r="G305" s="3">
        <v>1311.5</v>
      </c>
      <c r="H305" s="3">
        <v>1311.4</v>
      </c>
      <c r="I305" s="3">
        <v>1311.04</v>
      </c>
      <c r="J305" s="3">
        <v>6795</v>
      </c>
      <c r="K305" s="3">
        <v>1020</v>
      </c>
      <c r="L305" s="4">
        <v>716840</v>
      </c>
      <c r="M305" s="3">
        <v>939808182.70000005</v>
      </c>
      <c r="N305" s="4">
        <v>30994</v>
      </c>
      <c r="O305">
        <f t="shared" si="4"/>
        <v>7.6312576312576313E-4</v>
      </c>
    </row>
    <row r="306" spans="1:15" ht="14.25" customHeight="1" x14ac:dyDescent="0.3">
      <c r="A306" s="2">
        <v>45918</v>
      </c>
      <c r="B306" t="s">
        <v>15</v>
      </c>
      <c r="C306" s="3">
        <v>1312.1</v>
      </c>
      <c r="D306" s="3">
        <v>1325.8</v>
      </c>
      <c r="E306" s="3">
        <v>1305.7</v>
      </c>
      <c r="F306" s="3">
        <v>1311.4</v>
      </c>
      <c r="G306" s="3">
        <v>1323</v>
      </c>
      <c r="H306" s="3">
        <v>1322.7</v>
      </c>
      <c r="I306" s="3">
        <v>1317.48</v>
      </c>
      <c r="J306" s="3">
        <v>6795</v>
      </c>
      <c r="K306" s="3">
        <v>1020</v>
      </c>
      <c r="L306" s="4">
        <v>822010</v>
      </c>
      <c r="M306" s="3">
        <v>1082982120.7</v>
      </c>
      <c r="N306" s="4">
        <v>28619</v>
      </c>
      <c r="O306">
        <f t="shared" si="4"/>
        <v>8.616745462864079E-3</v>
      </c>
    </row>
    <row r="307" spans="1:15" ht="14.25" customHeight="1" x14ac:dyDescent="0.3">
      <c r="A307" s="2">
        <v>45919</v>
      </c>
      <c r="B307" t="s">
        <v>15</v>
      </c>
      <c r="C307" s="3">
        <v>1324.7</v>
      </c>
      <c r="D307" s="3">
        <v>1326.8</v>
      </c>
      <c r="E307" s="3">
        <v>1312</v>
      </c>
      <c r="F307" s="3">
        <v>1322.7</v>
      </c>
      <c r="G307" s="3">
        <v>1322</v>
      </c>
      <c r="H307" s="3">
        <v>1321.7</v>
      </c>
      <c r="I307" s="3">
        <v>1320.79</v>
      </c>
      <c r="J307" s="3">
        <v>6795</v>
      </c>
      <c r="K307" s="3">
        <v>1020</v>
      </c>
      <c r="L307" s="4">
        <v>1409571</v>
      </c>
      <c r="M307" s="3">
        <v>1861745528.4000001</v>
      </c>
      <c r="N307" s="4">
        <v>38230</v>
      </c>
      <c r="O307">
        <f t="shared" si="4"/>
        <v>-7.5602933393815683E-4</v>
      </c>
    </row>
    <row r="308" spans="1:15" ht="14.25" customHeight="1" x14ac:dyDescent="0.3">
      <c r="A308" s="2">
        <v>45922</v>
      </c>
      <c r="B308" t="s">
        <v>15</v>
      </c>
      <c r="C308" s="3">
        <v>1320.9</v>
      </c>
      <c r="D308" s="3">
        <v>1320.9</v>
      </c>
      <c r="E308" s="3">
        <v>1293.5</v>
      </c>
      <c r="F308" s="3">
        <v>1321.7</v>
      </c>
      <c r="G308" s="3">
        <v>1302.0999999999999</v>
      </c>
      <c r="H308" s="3">
        <v>1301.4000000000001</v>
      </c>
      <c r="I308" s="3">
        <v>1308.25</v>
      </c>
      <c r="J308" s="3">
        <v>6795</v>
      </c>
      <c r="K308" s="3">
        <v>1020</v>
      </c>
      <c r="L308" s="4">
        <v>1399531</v>
      </c>
      <c r="M308" s="3">
        <v>1830940602.8</v>
      </c>
      <c r="N308" s="4">
        <v>39531</v>
      </c>
      <c r="O308">
        <f t="shared" si="4"/>
        <v>-1.5359007339033028E-2</v>
      </c>
    </row>
    <row r="309" spans="1:15" ht="14.25" customHeight="1" x14ac:dyDescent="0.3">
      <c r="A309" s="2">
        <v>45923</v>
      </c>
      <c r="B309" t="s">
        <v>15</v>
      </c>
      <c r="C309" s="3">
        <v>1300</v>
      </c>
      <c r="D309" s="3">
        <v>1311.9</v>
      </c>
      <c r="E309" s="3">
        <v>1295.2</v>
      </c>
      <c r="F309" s="3">
        <v>1301.4000000000001</v>
      </c>
      <c r="G309" s="3">
        <v>1305.3</v>
      </c>
      <c r="H309" s="3">
        <v>1308.4000000000001</v>
      </c>
      <c r="I309" s="3">
        <v>1307.22</v>
      </c>
      <c r="J309" s="3">
        <v>6795</v>
      </c>
      <c r="K309" s="3">
        <v>1020</v>
      </c>
      <c r="L309" s="4">
        <v>1271238</v>
      </c>
      <c r="M309" s="3">
        <v>1661788641.7</v>
      </c>
      <c r="N309" s="4">
        <v>42827</v>
      </c>
      <c r="O309">
        <f t="shared" si="4"/>
        <v>5.378822806208698E-3</v>
      </c>
    </row>
    <row r="310" spans="1:15" ht="14.25" customHeight="1" x14ac:dyDescent="0.3">
      <c r="A310" s="2">
        <v>45924</v>
      </c>
      <c r="B310" t="s">
        <v>15</v>
      </c>
      <c r="C310" s="3">
        <v>1303.3</v>
      </c>
      <c r="D310" s="3">
        <v>1308.3</v>
      </c>
      <c r="E310" s="3">
        <v>1294.4000000000001</v>
      </c>
      <c r="F310" s="3">
        <v>1308.4000000000001</v>
      </c>
      <c r="G310" s="3">
        <v>1298</v>
      </c>
      <c r="H310" s="3">
        <v>1298.0999999999999</v>
      </c>
      <c r="I310" s="3">
        <v>1301.8499999999999</v>
      </c>
      <c r="J310" s="3">
        <v>6795</v>
      </c>
      <c r="K310" s="3">
        <v>1020</v>
      </c>
      <c r="L310" s="4">
        <v>750456</v>
      </c>
      <c r="M310" s="3">
        <v>976983088.29999995</v>
      </c>
      <c r="N310" s="4">
        <v>39711</v>
      </c>
      <c r="O310">
        <f t="shared" si="4"/>
        <v>-7.8722103332315666E-3</v>
      </c>
    </row>
    <row r="311" spans="1:15" ht="14.25" customHeight="1" x14ac:dyDescent="0.3">
      <c r="A311" s="2">
        <v>45925</v>
      </c>
      <c r="B311" t="s">
        <v>15</v>
      </c>
      <c r="C311" s="3">
        <v>1298.3</v>
      </c>
      <c r="D311" s="3">
        <v>1307.3</v>
      </c>
      <c r="E311" s="3">
        <v>1268</v>
      </c>
      <c r="F311" s="3">
        <v>1298.0999999999999</v>
      </c>
      <c r="G311" s="3">
        <v>1274.7</v>
      </c>
      <c r="H311" s="3">
        <v>1275.2</v>
      </c>
      <c r="I311" s="3">
        <v>1282.8699999999999</v>
      </c>
      <c r="J311" s="3">
        <v>6795</v>
      </c>
      <c r="K311" s="3">
        <v>1020</v>
      </c>
      <c r="L311" s="4">
        <v>1241492</v>
      </c>
      <c r="M311" s="3">
        <v>1592667477.8</v>
      </c>
      <c r="N311" s="4">
        <v>41531</v>
      </c>
      <c r="O311">
        <f t="shared" si="4"/>
        <v>-1.7641167860719408E-2</v>
      </c>
    </row>
    <row r="312" spans="1:15" ht="14.25" customHeight="1" x14ac:dyDescent="0.3">
      <c r="A312" s="2">
        <v>45926</v>
      </c>
      <c r="B312" t="s">
        <v>15</v>
      </c>
      <c r="C312" s="3">
        <v>1250</v>
      </c>
      <c r="D312" s="3">
        <v>1278.5</v>
      </c>
      <c r="E312" s="3">
        <v>1246.2</v>
      </c>
      <c r="F312" s="3">
        <v>1275.2</v>
      </c>
      <c r="G312" s="3">
        <v>1254</v>
      </c>
      <c r="H312" s="3">
        <v>1253.0999999999999</v>
      </c>
      <c r="I312" s="3">
        <v>1259.3399999999999</v>
      </c>
      <c r="J312" s="3">
        <v>6795</v>
      </c>
      <c r="K312" s="3">
        <v>1020</v>
      </c>
      <c r="L312" s="4">
        <v>2284377</v>
      </c>
      <c r="M312" s="3">
        <v>2876813314.9000001</v>
      </c>
      <c r="N312" s="4">
        <v>85768</v>
      </c>
      <c r="O312">
        <f t="shared" si="4"/>
        <v>-1.7330614805520807E-2</v>
      </c>
    </row>
    <row r="313" spans="1:15" ht="14.25" customHeight="1" x14ac:dyDescent="0.3">
      <c r="A313" s="2">
        <v>45929</v>
      </c>
      <c r="B313" t="s">
        <v>15</v>
      </c>
      <c r="C313" s="3">
        <v>1265</v>
      </c>
      <c r="D313" s="3">
        <v>1270</v>
      </c>
      <c r="E313" s="3">
        <v>1231</v>
      </c>
      <c r="F313" s="3">
        <v>1253.0999999999999</v>
      </c>
      <c r="G313" s="3">
        <v>1238.9000000000001</v>
      </c>
      <c r="H313" s="3">
        <v>1234.5999999999999</v>
      </c>
      <c r="I313" s="3">
        <v>1253.1500000000001</v>
      </c>
      <c r="J313" s="3">
        <v>6795</v>
      </c>
      <c r="K313" s="3">
        <v>1020</v>
      </c>
      <c r="L313" s="4">
        <v>3899164</v>
      </c>
      <c r="M313" s="3">
        <v>4886231572</v>
      </c>
      <c r="N313" s="4">
        <v>93835</v>
      </c>
      <c r="O313">
        <f t="shared" si="4"/>
        <v>-1.476338680073418E-2</v>
      </c>
    </row>
    <row r="314" spans="1:15" ht="14.25" customHeight="1" x14ac:dyDescent="0.3">
      <c r="A314" s="2">
        <v>45930</v>
      </c>
      <c r="B314" t="s">
        <v>15</v>
      </c>
      <c r="C314" s="3">
        <v>1235.0999999999999</v>
      </c>
      <c r="D314" s="3">
        <v>1240.3</v>
      </c>
      <c r="E314" s="3">
        <v>1217.5</v>
      </c>
      <c r="F314" s="3">
        <v>1234.5999999999999</v>
      </c>
      <c r="G314" s="3">
        <v>1227.2</v>
      </c>
      <c r="H314" s="3">
        <v>1223.7</v>
      </c>
      <c r="I314" s="3">
        <v>1230.95</v>
      </c>
      <c r="J314" s="3">
        <v>6795</v>
      </c>
      <c r="K314" s="3">
        <v>1020</v>
      </c>
      <c r="L314" s="4">
        <v>2635047</v>
      </c>
      <c r="M314" s="3">
        <v>3243615855.5</v>
      </c>
      <c r="N314" s="4">
        <v>87822</v>
      </c>
      <c r="O314">
        <f t="shared" si="4"/>
        <v>-8.8287704519681397E-3</v>
      </c>
    </row>
    <row r="315" spans="1:15" ht="14.25" customHeight="1" x14ac:dyDescent="0.3">
      <c r="A315" s="2">
        <v>45931</v>
      </c>
      <c r="B315" t="s">
        <v>15</v>
      </c>
      <c r="C315" s="3">
        <v>1227.9000000000001</v>
      </c>
      <c r="D315" s="3">
        <v>1250.7</v>
      </c>
      <c r="E315" s="3">
        <v>1226</v>
      </c>
      <c r="F315" s="3">
        <v>1223.7</v>
      </c>
      <c r="G315" s="3">
        <v>1248.2</v>
      </c>
      <c r="H315" s="3">
        <v>1244.7</v>
      </c>
      <c r="I315" s="3">
        <v>1236.31</v>
      </c>
      <c r="J315" s="3">
        <v>6795</v>
      </c>
      <c r="K315" s="3">
        <v>1020</v>
      </c>
      <c r="L315" s="4">
        <v>4083180</v>
      </c>
      <c r="M315" s="3">
        <v>5048064146.5</v>
      </c>
      <c r="N315" s="4">
        <v>76662</v>
      </c>
      <c r="O315">
        <f t="shared" si="4"/>
        <v>1.7161068889433684E-2</v>
      </c>
    </row>
    <row r="316" spans="1:15" ht="14.25" customHeight="1" x14ac:dyDescent="0.3">
      <c r="A316" s="2">
        <v>45933</v>
      </c>
      <c r="B316" t="s">
        <v>15</v>
      </c>
      <c r="C316" s="3">
        <v>1243.9000000000001</v>
      </c>
      <c r="D316" s="3">
        <v>1265.4000000000001</v>
      </c>
      <c r="E316" s="3">
        <v>1240</v>
      </c>
      <c r="F316" s="3">
        <v>1244.7</v>
      </c>
      <c r="G316" s="3">
        <v>1247.8</v>
      </c>
      <c r="H316" s="3">
        <v>1248.0999999999999</v>
      </c>
      <c r="I316" s="3">
        <v>1250.57</v>
      </c>
      <c r="J316" s="3">
        <v>6795</v>
      </c>
      <c r="K316" s="3">
        <v>1020</v>
      </c>
      <c r="L316" s="4">
        <v>2742600</v>
      </c>
      <c r="M316" s="3">
        <v>3429821297.1999998</v>
      </c>
      <c r="N316" s="4">
        <v>60179</v>
      </c>
      <c r="O316">
        <f t="shared" si="4"/>
        <v>2.7315819072867868E-3</v>
      </c>
    </row>
    <row r="317" spans="1:15" ht="14.25" customHeight="1" x14ac:dyDescent="0.3">
      <c r="A317" s="2">
        <v>45936</v>
      </c>
      <c r="B317" t="s">
        <v>15</v>
      </c>
      <c r="C317" s="3">
        <v>1248.2</v>
      </c>
      <c r="D317" s="3">
        <v>1251.3</v>
      </c>
      <c r="E317" s="3">
        <v>1234.2</v>
      </c>
      <c r="F317" s="3">
        <v>1248.0999999999999</v>
      </c>
      <c r="G317" s="3">
        <v>1249.8</v>
      </c>
      <c r="H317" s="3">
        <v>1248.5999999999999</v>
      </c>
      <c r="I317" s="3">
        <v>1243.33</v>
      </c>
      <c r="J317" s="3">
        <v>6775</v>
      </c>
      <c r="K317" s="3">
        <v>1020</v>
      </c>
      <c r="L317" s="4">
        <v>1880910</v>
      </c>
      <c r="M317" s="3">
        <v>2338586644.3000002</v>
      </c>
      <c r="N317" s="4">
        <v>49036</v>
      </c>
      <c r="O317">
        <f t="shared" si="4"/>
        <v>4.0060892556686165E-4</v>
      </c>
    </row>
    <row r="318" spans="1:15" ht="14.25" customHeight="1" x14ac:dyDescent="0.3">
      <c r="A318" s="2">
        <v>45937</v>
      </c>
      <c r="B318" t="s">
        <v>15</v>
      </c>
      <c r="C318" s="3">
        <v>1250.3</v>
      </c>
      <c r="D318" s="3">
        <v>1256.0999999999999</v>
      </c>
      <c r="E318" s="3">
        <v>1244.4000000000001</v>
      </c>
      <c r="F318" s="3">
        <v>1248.5999999999999</v>
      </c>
      <c r="G318" s="3">
        <v>1248</v>
      </c>
      <c r="H318" s="3">
        <v>1248.5</v>
      </c>
      <c r="I318" s="3">
        <v>1250.22</v>
      </c>
      <c r="J318" s="3">
        <v>6775</v>
      </c>
      <c r="K318" s="3">
        <v>1020</v>
      </c>
      <c r="L318" s="4">
        <v>1380941</v>
      </c>
      <c r="M318" s="3">
        <v>1726481072.4000001</v>
      </c>
      <c r="N318" s="4">
        <v>46916</v>
      </c>
      <c r="O318">
        <f t="shared" si="4"/>
        <v>-8.008970046444743E-5</v>
      </c>
    </row>
    <row r="319" spans="1:15" ht="14.25" customHeight="1" x14ac:dyDescent="0.3">
      <c r="A319" s="2">
        <v>45938</v>
      </c>
      <c r="B319" t="s">
        <v>15</v>
      </c>
      <c r="C319" s="3">
        <v>1248.3</v>
      </c>
      <c r="D319" s="3">
        <v>1251</v>
      </c>
      <c r="E319" s="3">
        <v>1231.4000000000001</v>
      </c>
      <c r="F319" s="3">
        <v>1248.5</v>
      </c>
      <c r="G319" s="3">
        <v>1235.0999999999999</v>
      </c>
      <c r="H319" s="3">
        <v>1234.5</v>
      </c>
      <c r="I319" s="3">
        <v>1240.3499999999999</v>
      </c>
      <c r="J319" s="3">
        <v>6775</v>
      </c>
      <c r="K319" s="3">
        <v>1020</v>
      </c>
      <c r="L319" s="4">
        <v>1496744</v>
      </c>
      <c r="M319" s="3">
        <v>1856493605</v>
      </c>
      <c r="N319" s="4">
        <v>55544</v>
      </c>
      <c r="O319">
        <f t="shared" si="4"/>
        <v>-1.1213456147376852E-2</v>
      </c>
    </row>
    <row r="320" spans="1:15" ht="14.25" customHeight="1" x14ac:dyDescent="0.3">
      <c r="A320" s="2">
        <v>45939</v>
      </c>
      <c r="B320" t="s">
        <v>15</v>
      </c>
      <c r="C320" s="3">
        <v>1245</v>
      </c>
      <c r="D320" s="3">
        <v>1264.9000000000001</v>
      </c>
      <c r="E320" s="3">
        <v>1240.3</v>
      </c>
      <c r="F320" s="3">
        <v>1234.5</v>
      </c>
      <c r="G320" s="3">
        <v>1246</v>
      </c>
      <c r="H320" s="3">
        <v>1246.0999999999999</v>
      </c>
      <c r="I320" s="3">
        <v>1254.53</v>
      </c>
      <c r="J320" s="3">
        <v>6775</v>
      </c>
      <c r="K320" s="3">
        <v>1020</v>
      </c>
      <c r="L320" s="4">
        <v>2699135</v>
      </c>
      <c r="M320" s="3">
        <v>3386159244.0999999</v>
      </c>
      <c r="N320" s="4">
        <v>72037</v>
      </c>
      <c r="O320">
        <f t="shared" si="4"/>
        <v>9.3965168084243905E-3</v>
      </c>
    </row>
    <row r="321" spans="1:15" ht="14.25" customHeight="1" x14ac:dyDescent="0.3">
      <c r="A321" s="2">
        <v>45940</v>
      </c>
      <c r="B321" t="s">
        <v>15</v>
      </c>
      <c r="C321" s="3">
        <v>1249.5999999999999</v>
      </c>
      <c r="D321" s="3">
        <v>1267.7</v>
      </c>
      <c r="E321" s="3">
        <v>1244.7</v>
      </c>
      <c r="F321" s="3">
        <v>1246.0999999999999</v>
      </c>
      <c r="G321" s="3">
        <v>1264</v>
      </c>
      <c r="H321" s="3">
        <v>1264.4000000000001</v>
      </c>
      <c r="I321" s="3">
        <v>1260.02</v>
      </c>
      <c r="J321" s="3">
        <v>6775</v>
      </c>
      <c r="K321" s="3">
        <v>1020</v>
      </c>
      <c r="L321" s="4">
        <v>1680920</v>
      </c>
      <c r="M321" s="3">
        <v>2117996763</v>
      </c>
      <c r="N321" s="4">
        <v>60044</v>
      </c>
      <c r="O321">
        <f t="shared" si="4"/>
        <v>1.4685819757643995E-2</v>
      </c>
    </row>
    <row r="322" spans="1:15" ht="14.25" customHeight="1" x14ac:dyDescent="0.3">
      <c r="A322" s="2">
        <v>45943</v>
      </c>
      <c r="B322" t="s">
        <v>15</v>
      </c>
      <c r="C322" s="3">
        <v>1257</v>
      </c>
      <c r="D322" s="3">
        <v>1265.0999999999999</v>
      </c>
      <c r="E322" s="3">
        <v>1248.3</v>
      </c>
      <c r="F322" s="3">
        <v>1264.4000000000001</v>
      </c>
      <c r="G322" s="3">
        <v>1262.2</v>
      </c>
      <c r="H322" s="3">
        <v>1262.4000000000001</v>
      </c>
      <c r="I322" s="3">
        <v>1255.75</v>
      </c>
      <c r="J322" s="3">
        <v>6775</v>
      </c>
      <c r="K322" s="3">
        <v>1020</v>
      </c>
      <c r="L322" s="4">
        <v>1188201</v>
      </c>
      <c r="M322" s="3">
        <v>1492086926.3</v>
      </c>
      <c r="N322" s="4">
        <v>48859</v>
      </c>
      <c r="O322">
        <f t="shared" si="4"/>
        <v>-1.5817779183802593E-3</v>
      </c>
    </row>
    <row r="323" spans="1:15" ht="14.25" customHeight="1" x14ac:dyDescent="0.3">
      <c r="A323" s="2">
        <v>45944</v>
      </c>
      <c r="B323" t="s">
        <v>15</v>
      </c>
      <c r="C323" s="3">
        <v>1262.4000000000001</v>
      </c>
      <c r="D323" s="3">
        <v>1262.4000000000001</v>
      </c>
      <c r="E323" s="3">
        <v>1232.3</v>
      </c>
      <c r="F323" s="3">
        <v>1262.4000000000001</v>
      </c>
      <c r="G323" s="3">
        <v>1235</v>
      </c>
      <c r="H323" s="3">
        <v>1237.3</v>
      </c>
      <c r="I323" s="3">
        <v>1243.71</v>
      </c>
      <c r="J323" s="3">
        <v>6775</v>
      </c>
      <c r="K323" s="3">
        <v>1020</v>
      </c>
      <c r="L323" s="4">
        <v>1944911</v>
      </c>
      <c r="M323" s="3">
        <v>2418905870.9000001</v>
      </c>
      <c r="N323" s="4">
        <v>54633</v>
      </c>
      <c r="O323">
        <f t="shared" ref="O323:O386" si="5">(H323-H322)/H322</f>
        <v>-1.9882762991128115E-2</v>
      </c>
    </row>
    <row r="324" spans="1:15" ht="14.25" customHeight="1" x14ac:dyDescent="0.3">
      <c r="A324" s="2">
        <v>45945</v>
      </c>
      <c r="B324" t="s">
        <v>15</v>
      </c>
      <c r="C324" s="3">
        <v>1233</v>
      </c>
      <c r="D324" s="3">
        <v>1242.3</v>
      </c>
      <c r="E324" s="3">
        <v>1231</v>
      </c>
      <c r="F324" s="3">
        <v>1237.3</v>
      </c>
      <c r="G324" s="3">
        <v>1231</v>
      </c>
      <c r="H324" s="3">
        <v>1232.4000000000001</v>
      </c>
      <c r="I324" s="3">
        <v>1238.19</v>
      </c>
      <c r="J324" s="3">
        <v>6775</v>
      </c>
      <c r="K324" s="3">
        <v>1020</v>
      </c>
      <c r="L324" s="4">
        <v>2150067</v>
      </c>
      <c r="M324" s="3">
        <v>2662186062.0999999</v>
      </c>
      <c r="N324" s="4">
        <v>55572</v>
      </c>
      <c r="O324">
        <f t="shared" si="5"/>
        <v>-3.9602359977368978E-3</v>
      </c>
    </row>
    <row r="325" spans="1:15" ht="14.25" customHeight="1" x14ac:dyDescent="0.3">
      <c r="A325" s="2">
        <v>45946</v>
      </c>
      <c r="B325" t="s">
        <v>15</v>
      </c>
      <c r="C325" s="3">
        <v>1235.9000000000001</v>
      </c>
      <c r="D325" s="3">
        <v>1242.5999999999999</v>
      </c>
      <c r="E325" s="3">
        <v>1230.3</v>
      </c>
      <c r="F325" s="3">
        <v>1232.4000000000001</v>
      </c>
      <c r="G325" s="3">
        <v>1240</v>
      </c>
      <c r="H325" s="3">
        <v>1240.2</v>
      </c>
      <c r="I325" s="3">
        <v>1238.8900000000001</v>
      </c>
      <c r="J325" s="3">
        <v>6775</v>
      </c>
      <c r="K325" s="3">
        <v>1020</v>
      </c>
      <c r="L325" s="4">
        <v>1308931</v>
      </c>
      <c r="M325" s="3">
        <v>1621619556.3</v>
      </c>
      <c r="N325" s="4">
        <v>42029</v>
      </c>
      <c r="O325">
        <f t="shared" si="5"/>
        <v>6.3291139240505955E-3</v>
      </c>
    </row>
    <row r="326" spans="1:15" ht="14.25" customHeight="1" x14ac:dyDescent="0.3">
      <c r="A326" s="2">
        <v>45947</v>
      </c>
      <c r="B326" t="s">
        <v>15</v>
      </c>
      <c r="C326" s="3">
        <v>1245</v>
      </c>
      <c r="D326" s="3">
        <v>1262</v>
      </c>
      <c r="E326" s="3">
        <v>1238.0999999999999</v>
      </c>
      <c r="F326" s="3">
        <v>1240.2</v>
      </c>
      <c r="G326" s="3">
        <v>1256.5999999999999</v>
      </c>
      <c r="H326" s="3">
        <v>1255.9000000000001</v>
      </c>
      <c r="I326" s="3">
        <v>1247.6400000000001</v>
      </c>
      <c r="J326" s="3">
        <v>6775</v>
      </c>
      <c r="K326" s="3">
        <v>1020</v>
      </c>
      <c r="L326" s="4">
        <v>1473018</v>
      </c>
      <c r="M326" s="3">
        <v>1837792737.9000001</v>
      </c>
      <c r="N326" s="4">
        <v>61267</v>
      </c>
      <c r="O326">
        <f t="shared" si="5"/>
        <v>1.2659248508305148E-2</v>
      </c>
    </row>
    <row r="327" spans="1:15" ht="14.25" customHeight="1" x14ac:dyDescent="0.3">
      <c r="A327" s="2">
        <v>45950</v>
      </c>
      <c r="B327" t="s">
        <v>15</v>
      </c>
      <c r="C327" s="3">
        <v>1264.8</v>
      </c>
      <c r="D327" s="3">
        <v>1287.7</v>
      </c>
      <c r="E327" s="3">
        <v>1259.8</v>
      </c>
      <c r="F327" s="3">
        <v>1255.9000000000001</v>
      </c>
      <c r="G327" s="3">
        <v>1285</v>
      </c>
      <c r="H327" s="3">
        <v>1282</v>
      </c>
      <c r="I327" s="3">
        <v>1277.42</v>
      </c>
      <c r="J327" s="3">
        <v>6770</v>
      </c>
      <c r="K327" s="3">
        <v>1020</v>
      </c>
      <c r="L327" s="4">
        <v>1368192</v>
      </c>
      <c r="M327" s="3">
        <v>1747759267.5</v>
      </c>
      <c r="N327" s="4">
        <v>49210</v>
      </c>
      <c r="O327">
        <f t="shared" si="5"/>
        <v>2.0781909387690027E-2</v>
      </c>
    </row>
    <row r="328" spans="1:15" ht="14.25" customHeight="1" x14ac:dyDescent="0.3">
      <c r="A328" s="2">
        <v>45951</v>
      </c>
      <c r="B328" t="s">
        <v>15</v>
      </c>
      <c r="C328" s="3">
        <v>1288</v>
      </c>
      <c r="D328" s="3">
        <v>1294</v>
      </c>
      <c r="E328" s="3">
        <v>1283.0999999999999</v>
      </c>
      <c r="F328" s="3">
        <v>1282</v>
      </c>
      <c r="G328" s="3">
        <v>1288.3</v>
      </c>
      <c r="H328" s="3">
        <v>1288.7</v>
      </c>
      <c r="I328" s="3">
        <v>1289.3800000000001</v>
      </c>
      <c r="J328" s="3">
        <v>6770</v>
      </c>
      <c r="K328" s="3">
        <v>1020</v>
      </c>
      <c r="L328" s="4">
        <v>226788</v>
      </c>
      <c r="M328" s="3">
        <v>292416438.69999999</v>
      </c>
      <c r="N328" s="4">
        <v>8283</v>
      </c>
      <c r="O328">
        <f t="shared" si="5"/>
        <v>5.2262090483619697E-3</v>
      </c>
    </row>
    <row r="329" spans="1:15" ht="14.25" customHeight="1" x14ac:dyDescent="0.3">
      <c r="A329" s="2">
        <v>45953</v>
      </c>
      <c r="B329" t="s">
        <v>15</v>
      </c>
      <c r="C329" s="3">
        <v>1303.5999999999999</v>
      </c>
      <c r="D329" s="3">
        <v>1303.5999999999999</v>
      </c>
      <c r="E329" s="3">
        <v>1271.5999999999999</v>
      </c>
      <c r="F329" s="3">
        <v>1288.7</v>
      </c>
      <c r="G329" s="3">
        <v>1280</v>
      </c>
      <c r="H329" s="3">
        <v>1279.4000000000001</v>
      </c>
      <c r="I329" s="3">
        <v>1280.8599999999999</v>
      </c>
      <c r="J329" s="3">
        <v>6770</v>
      </c>
      <c r="K329" s="3">
        <v>1020</v>
      </c>
      <c r="L329" s="4">
        <v>1991213</v>
      </c>
      <c r="M329" s="3">
        <v>2550466883.5</v>
      </c>
      <c r="N329" s="4">
        <v>51406</v>
      </c>
      <c r="O329">
        <f t="shared" si="5"/>
        <v>-7.2165748428648672E-3</v>
      </c>
    </row>
    <row r="330" spans="1:15" ht="14.25" customHeight="1" x14ac:dyDescent="0.3">
      <c r="A330" s="2">
        <v>45954</v>
      </c>
      <c r="B330" t="s">
        <v>15</v>
      </c>
      <c r="C330" s="3">
        <v>1280</v>
      </c>
      <c r="D330" s="3">
        <v>1288</v>
      </c>
      <c r="E330" s="3">
        <v>1265.5</v>
      </c>
      <c r="F330" s="3">
        <v>1279.4000000000001</v>
      </c>
      <c r="G330" s="3">
        <v>1282.7</v>
      </c>
      <c r="H330" s="3">
        <v>1283.5999999999999</v>
      </c>
      <c r="I330" s="3">
        <v>1280.9100000000001</v>
      </c>
      <c r="J330" s="3">
        <v>6770</v>
      </c>
      <c r="K330" s="3">
        <v>1020</v>
      </c>
      <c r="L330" s="4">
        <v>1167634</v>
      </c>
      <c r="M330" s="3">
        <v>1495633594.3</v>
      </c>
      <c r="N330" s="4">
        <v>33093</v>
      </c>
      <c r="O330">
        <f t="shared" si="5"/>
        <v>3.2827888072532578E-3</v>
      </c>
    </row>
    <row r="331" spans="1:15" ht="14.25" customHeight="1" x14ac:dyDescent="0.3">
      <c r="A331" s="2">
        <v>45957</v>
      </c>
      <c r="B331" t="s">
        <v>15</v>
      </c>
      <c r="C331" s="3">
        <v>1283</v>
      </c>
      <c r="D331" s="3">
        <v>1293.4000000000001</v>
      </c>
      <c r="E331" s="3">
        <v>1264.5999999999999</v>
      </c>
      <c r="F331" s="3">
        <v>1283.5999999999999</v>
      </c>
      <c r="G331" s="3">
        <v>1285</v>
      </c>
      <c r="H331" s="3">
        <v>1284.3</v>
      </c>
      <c r="I331" s="3">
        <v>1283.8900000000001</v>
      </c>
      <c r="J331" s="3">
        <v>1405.9</v>
      </c>
      <c r="K331" s="3">
        <v>1020</v>
      </c>
      <c r="L331" s="4">
        <v>1927956</v>
      </c>
      <c r="M331" s="3">
        <v>2475274570.6999998</v>
      </c>
      <c r="N331" s="4">
        <v>62515</v>
      </c>
      <c r="O331">
        <f t="shared" si="5"/>
        <v>5.4534122779685687E-4</v>
      </c>
    </row>
    <row r="332" spans="1:15" ht="14.25" customHeight="1" x14ac:dyDescent="0.3">
      <c r="A332" s="2">
        <v>45958</v>
      </c>
      <c r="B332" t="s">
        <v>15</v>
      </c>
      <c r="C332" s="3">
        <v>1283.9000000000001</v>
      </c>
      <c r="D332" s="3">
        <v>1294.9000000000001</v>
      </c>
      <c r="E332" s="3">
        <v>1275.3</v>
      </c>
      <c r="F332" s="3">
        <v>1284.3</v>
      </c>
      <c r="G332" s="3">
        <v>1293.9000000000001</v>
      </c>
      <c r="H332" s="3">
        <v>1289.4000000000001</v>
      </c>
      <c r="I332" s="3">
        <v>1285.78</v>
      </c>
      <c r="J332" s="3">
        <v>1405.9</v>
      </c>
      <c r="K332" s="3">
        <v>1020</v>
      </c>
      <c r="L332" s="4">
        <v>1828290</v>
      </c>
      <c r="M332" s="3">
        <v>2350775273.3000002</v>
      </c>
      <c r="N332" s="4">
        <v>62034</v>
      </c>
      <c r="O332">
        <f t="shared" si="5"/>
        <v>3.9710348049522204E-3</v>
      </c>
    </row>
    <row r="333" spans="1:15" ht="14.25" customHeight="1" x14ac:dyDescent="0.3">
      <c r="A333" s="2">
        <v>45959</v>
      </c>
      <c r="B333" t="s">
        <v>15</v>
      </c>
      <c r="C333" s="3">
        <v>1299</v>
      </c>
      <c r="D333" s="3">
        <v>1301.5</v>
      </c>
      <c r="E333" s="3">
        <v>1235</v>
      </c>
      <c r="F333" s="3">
        <v>1289.4000000000001</v>
      </c>
      <c r="G333" s="3">
        <v>1258.4000000000001</v>
      </c>
      <c r="H333" s="3">
        <v>1250.9000000000001</v>
      </c>
      <c r="I333" s="3">
        <v>1267.0999999999999</v>
      </c>
      <c r="J333" s="3">
        <v>1405.9</v>
      </c>
      <c r="K333" s="3">
        <v>1020</v>
      </c>
      <c r="L333" s="4">
        <v>2574921</v>
      </c>
      <c r="M333" s="3">
        <v>3262684530.9000001</v>
      </c>
      <c r="N333" s="4">
        <v>74876</v>
      </c>
      <c r="O333">
        <f t="shared" si="5"/>
        <v>-2.9858849077090119E-2</v>
      </c>
    </row>
    <row r="334" spans="1:15" ht="14.25" customHeight="1" x14ac:dyDescent="0.3">
      <c r="A334" s="2">
        <v>45960</v>
      </c>
      <c r="B334" t="s">
        <v>15</v>
      </c>
      <c r="C334" s="3">
        <v>1196</v>
      </c>
      <c r="D334" s="3">
        <v>1207.2</v>
      </c>
      <c r="E334" s="3">
        <v>1180.9000000000001</v>
      </c>
      <c r="F334" s="3">
        <v>1250.9000000000001</v>
      </c>
      <c r="G334" s="3">
        <v>1203.5</v>
      </c>
      <c r="H334" s="3">
        <v>1202.2</v>
      </c>
      <c r="I334" s="3">
        <v>1196.83</v>
      </c>
      <c r="J334" s="3">
        <v>1405.9</v>
      </c>
      <c r="K334" s="3">
        <v>1020</v>
      </c>
      <c r="L334" s="4">
        <v>8883497</v>
      </c>
      <c r="M334" s="3">
        <v>10632044610.700001</v>
      </c>
      <c r="N334" s="4">
        <v>257034</v>
      </c>
      <c r="O334">
        <f t="shared" si="5"/>
        <v>-3.8931968982332754E-2</v>
      </c>
    </row>
    <row r="335" spans="1:15" ht="14.25" customHeight="1" x14ac:dyDescent="0.3">
      <c r="A335" s="2">
        <v>45961</v>
      </c>
      <c r="B335" t="s">
        <v>15</v>
      </c>
      <c r="C335" s="3">
        <v>1202.5</v>
      </c>
      <c r="D335" s="3">
        <v>1205.5</v>
      </c>
      <c r="E335" s="3">
        <v>1191</v>
      </c>
      <c r="F335" s="3">
        <v>1202.2</v>
      </c>
      <c r="G335" s="3">
        <v>1198</v>
      </c>
      <c r="H335" s="3">
        <v>1197.5999999999999</v>
      </c>
      <c r="I335" s="3">
        <v>1196.32</v>
      </c>
      <c r="J335" s="3">
        <v>1405.9</v>
      </c>
      <c r="K335" s="3">
        <v>1020</v>
      </c>
      <c r="L335" s="4">
        <v>4250157</v>
      </c>
      <c r="M335" s="3">
        <v>5084561384.6999998</v>
      </c>
      <c r="N335" s="4">
        <v>121101</v>
      </c>
      <c r="O335">
        <f t="shared" si="5"/>
        <v>-3.8263184162370123E-3</v>
      </c>
    </row>
    <row r="336" spans="1:15" ht="14.25" customHeight="1" x14ac:dyDescent="0.3">
      <c r="A336" s="2">
        <v>45964</v>
      </c>
      <c r="B336" t="s">
        <v>15</v>
      </c>
      <c r="C336" s="3">
        <v>1196.9000000000001</v>
      </c>
      <c r="D336" s="3">
        <v>1200.8</v>
      </c>
      <c r="E336" s="3">
        <v>1187.9000000000001</v>
      </c>
      <c r="F336" s="3">
        <v>1197.5999999999999</v>
      </c>
      <c r="G336" s="3">
        <v>1198</v>
      </c>
      <c r="H336" s="3">
        <v>1196</v>
      </c>
      <c r="I336" s="3">
        <v>1197.24</v>
      </c>
      <c r="J336" s="3">
        <v>1405.9</v>
      </c>
      <c r="K336" s="3">
        <v>1020</v>
      </c>
      <c r="L336" s="4">
        <v>1547000</v>
      </c>
      <c r="M336" s="3">
        <v>1852122637.9000001</v>
      </c>
      <c r="N336" s="4">
        <v>58524</v>
      </c>
      <c r="O336">
        <f t="shared" si="5"/>
        <v>-1.3360053440213003E-3</v>
      </c>
    </row>
    <row r="337" spans="1:15" ht="14.25" customHeight="1" x14ac:dyDescent="0.3">
      <c r="A337" s="2">
        <v>45965</v>
      </c>
      <c r="B337" t="s">
        <v>15</v>
      </c>
      <c r="C337" s="3">
        <v>1198</v>
      </c>
      <c r="D337" s="3">
        <v>1204.3</v>
      </c>
      <c r="E337" s="3">
        <v>1193.3</v>
      </c>
      <c r="F337" s="3">
        <v>1196</v>
      </c>
      <c r="G337" s="3">
        <v>1197.5</v>
      </c>
      <c r="H337" s="3">
        <v>1200</v>
      </c>
      <c r="I337" s="3">
        <v>1198.71</v>
      </c>
      <c r="J337" s="3">
        <v>1405.9</v>
      </c>
      <c r="K337" s="3">
        <v>1020</v>
      </c>
      <c r="L337" s="4">
        <v>1015516</v>
      </c>
      <c r="M337" s="3">
        <v>1217304501.2</v>
      </c>
      <c r="N337" s="4">
        <v>43034</v>
      </c>
      <c r="O337">
        <f t="shared" si="5"/>
        <v>3.3444816053511705E-3</v>
      </c>
    </row>
    <row r="338" spans="1:15" ht="14.25" customHeight="1" x14ac:dyDescent="0.3">
      <c r="A338" s="2">
        <v>45967</v>
      </c>
      <c r="B338" t="s">
        <v>15</v>
      </c>
      <c r="C338" s="3">
        <v>1202</v>
      </c>
      <c r="D338" s="3">
        <v>1213.9000000000001</v>
      </c>
      <c r="E338" s="3">
        <v>1193.2</v>
      </c>
      <c r="F338" s="3">
        <v>1200</v>
      </c>
      <c r="G338" s="3">
        <v>1204</v>
      </c>
      <c r="H338" s="3">
        <v>1205.2</v>
      </c>
      <c r="I338" s="3">
        <v>1203.54</v>
      </c>
      <c r="J338" s="3">
        <v>1405.9</v>
      </c>
      <c r="K338" s="3">
        <v>1020</v>
      </c>
      <c r="L338" s="4">
        <v>1560897</v>
      </c>
      <c r="M338" s="3">
        <v>1878606365.3</v>
      </c>
      <c r="N338" s="4">
        <v>50644</v>
      </c>
      <c r="O338">
        <f t="shared" si="5"/>
        <v>4.3333333333333713E-3</v>
      </c>
    </row>
    <row r="339" spans="1:15" ht="14.25" customHeight="1" x14ac:dyDescent="0.3">
      <c r="A339" s="2">
        <v>45968</v>
      </c>
      <c r="B339" t="s">
        <v>15</v>
      </c>
      <c r="C339" s="3">
        <v>1208</v>
      </c>
      <c r="D339" s="3">
        <v>1211.9000000000001</v>
      </c>
      <c r="E339" s="3">
        <v>1198</v>
      </c>
      <c r="F339" s="3">
        <v>1205.2</v>
      </c>
      <c r="G339" s="3">
        <v>1207</v>
      </c>
      <c r="H339" s="3">
        <v>1205.4000000000001</v>
      </c>
      <c r="I339" s="3">
        <v>1205.96</v>
      </c>
      <c r="J339" s="3">
        <v>1405.9</v>
      </c>
      <c r="K339" s="3">
        <v>1020</v>
      </c>
      <c r="L339" s="4">
        <v>1076140</v>
      </c>
      <c r="M339" s="3">
        <v>1297778356.5</v>
      </c>
      <c r="N339" s="4">
        <v>38875</v>
      </c>
      <c r="O339">
        <f t="shared" si="5"/>
        <v>1.6594756057089735E-4</v>
      </c>
    </row>
    <row r="340" spans="1:15" ht="14.25" customHeight="1" x14ac:dyDescent="0.3">
      <c r="A340" s="2">
        <v>45971</v>
      </c>
      <c r="B340" t="s">
        <v>15</v>
      </c>
      <c r="C340" s="3">
        <v>1199.4000000000001</v>
      </c>
      <c r="D340" s="3">
        <v>1209.5</v>
      </c>
      <c r="E340" s="3">
        <v>1195</v>
      </c>
      <c r="F340" s="3">
        <v>1205.4000000000001</v>
      </c>
      <c r="G340" s="3">
        <v>1198.5</v>
      </c>
      <c r="H340" s="3">
        <v>1198.7</v>
      </c>
      <c r="I340" s="3">
        <v>1200.23</v>
      </c>
      <c r="J340" s="3">
        <v>1405.9</v>
      </c>
      <c r="K340" s="3">
        <v>1020</v>
      </c>
      <c r="L340" s="4">
        <v>3483082</v>
      </c>
      <c r="M340" s="3">
        <v>4180510949.6999998</v>
      </c>
      <c r="N340" s="4">
        <v>58773</v>
      </c>
      <c r="O340">
        <f t="shared" si="5"/>
        <v>-5.5583208893313796E-3</v>
      </c>
    </row>
    <row r="341" spans="1:15" ht="14.25" customHeight="1" x14ac:dyDescent="0.3">
      <c r="A341" s="2">
        <v>45972</v>
      </c>
      <c r="B341" t="s">
        <v>15</v>
      </c>
      <c r="C341" s="3">
        <v>1203.5999999999999</v>
      </c>
      <c r="D341" s="3">
        <v>1214.8</v>
      </c>
      <c r="E341" s="3">
        <v>1198.5999999999999</v>
      </c>
      <c r="F341" s="3">
        <v>1198.7</v>
      </c>
      <c r="G341" s="3">
        <v>1213</v>
      </c>
      <c r="H341" s="3">
        <v>1211.5</v>
      </c>
      <c r="I341" s="3">
        <v>1209.81</v>
      </c>
      <c r="J341" s="3">
        <v>1405.9</v>
      </c>
      <c r="K341" s="3">
        <v>1020</v>
      </c>
      <c r="L341" s="4">
        <v>1048552</v>
      </c>
      <c r="M341" s="3">
        <v>1268552439.8</v>
      </c>
      <c r="N341" s="4">
        <v>44626</v>
      </c>
      <c r="O341">
        <f t="shared" si="5"/>
        <v>1.0678234754317138E-2</v>
      </c>
    </row>
    <row r="342" spans="1:15" ht="14.25" customHeight="1" x14ac:dyDescent="0.3">
      <c r="A342" s="2">
        <v>45973</v>
      </c>
      <c r="B342" t="s">
        <v>15</v>
      </c>
      <c r="C342" s="3">
        <v>1220.0999999999999</v>
      </c>
      <c r="D342" s="3">
        <v>1235</v>
      </c>
      <c r="E342" s="3">
        <v>1215</v>
      </c>
      <c r="F342" s="3">
        <v>1211.5</v>
      </c>
      <c r="G342" s="3">
        <v>1230.4000000000001</v>
      </c>
      <c r="H342" s="3">
        <v>1229.5999999999999</v>
      </c>
      <c r="I342" s="3">
        <v>1228.2</v>
      </c>
      <c r="J342" s="3">
        <v>1405.9</v>
      </c>
      <c r="K342" s="3">
        <v>1020</v>
      </c>
      <c r="L342" s="4">
        <v>1222295</v>
      </c>
      <c r="M342" s="3">
        <v>1501228740</v>
      </c>
      <c r="N342" s="4">
        <v>47552</v>
      </c>
      <c r="O342">
        <f t="shared" si="5"/>
        <v>1.4940156830375492E-2</v>
      </c>
    </row>
    <row r="343" spans="1:15" ht="14.25" customHeight="1" x14ac:dyDescent="0.3">
      <c r="A343" s="2">
        <v>45974</v>
      </c>
      <c r="B343" t="s">
        <v>15</v>
      </c>
      <c r="C343" s="3">
        <v>1235.8</v>
      </c>
      <c r="D343" s="3">
        <v>1242.4000000000001</v>
      </c>
      <c r="E343" s="3">
        <v>1227.3</v>
      </c>
      <c r="F343" s="3">
        <v>1229.5999999999999</v>
      </c>
      <c r="G343" s="3">
        <v>1234.4000000000001</v>
      </c>
      <c r="H343" s="3">
        <v>1234.9000000000001</v>
      </c>
      <c r="I343" s="3">
        <v>1234.81</v>
      </c>
      <c r="J343" s="3">
        <v>1405.9</v>
      </c>
      <c r="K343" s="3">
        <v>1020</v>
      </c>
      <c r="L343" s="4">
        <v>1426984</v>
      </c>
      <c r="M343" s="3">
        <v>1762055486.4000001</v>
      </c>
      <c r="N343" s="4">
        <v>42363</v>
      </c>
      <c r="O343">
        <f t="shared" si="5"/>
        <v>4.3103448275863552E-3</v>
      </c>
    </row>
    <row r="344" spans="1:15" ht="14.25" customHeight="1" x14ac:dyDescent="0.3">
      <c r="A344" s="2">
        <v>45975</v>
      </c>
      <c r="B344" t="s">
        <v>15</v>
      </c>
      <c r="C344" s="3">
        <v>1235.2</v>
      </c>
      <c r="D344" s="3">
        <v>1249</v>
      </c>
      <c r="E344" s="3">
        <v>1231.8</v>
      </c>
      <c r="F344" s="3">
        <v>1234.9000000000001</v>
      </c>
      <c r="G344" s="3">
        <v>1246.9000000000001</v>
      </c>
      <c r="H344" s="3">
        <v>1246</v>
      </c>
      <c r="I344" s="3">
        <v>1243.8399999999999</v>
      </c>
      <c r="J344" s="3">
        <v>1405.9</v>
      </c>
      <c r="K344" s="3">
        <v>1020</v>
      </c>
      <c r="L344" s="4">
        <v>827643</v>
      </c>
      <c r="M344" s="3">
        <v>1029458216.6</v>
      </c>
      <c r="N344" s="4">
        <v>40378</v>
      </c>
      <c r="O344">
        <f t="shared" si="5"/>
        <v>8.9885820714227134E-3</v>
      </c>
    </row>
    <row r="345" spans="1:15" ht="14.25" customHeight="1" x14ac:dyDescent="0.3">
      <c r="A345" s="2">
        <v>45978</v>
      </c>
      <c r="B345" t="s">
        <v>15</v>
      </c>
      <c r="C345" s="3">
        <v>1253</v>
      </c>
      <c r="D345" s="3">
        <v>1253</v>
      </c>
      <c r="E345" s="3">
        <v>1240.5</v>
      </c>
      <c r="F345" s="3">
        <v>1246</v>
      </c>
      <c r="G345" s="3">
        <v>1244</v>
      </c>
      <c r="H345" s="3">
        <v>1244.4000000000001</v>
      </c>
      <c r="I345" s="3">
        <v>1245.1600000000001</v>
      </c>
      <c r="J345" s="3">
        <v>1405.9</v>
      </c>
      <c r="K345" s="3">
        <v>1020</v>
      </c>
      <c r="L345" s="4">
        <v>1423044</v>
      </c>
      <c r="M345" s="3">
        <v>1771916888.2</v>
      </c>
      <c r="N345" s="4">
        <v>34875</v>
      </c>
      <c r="O345">
        <f t="shared" si="5"/>
        <v>-1.2841091492776155E-3</v>
      </c>
    </row>
    <row r="346" spans="1:15" ht="14.25" customHeight="1" x14ac:dyDescent="0.3">
      <c r="A346" s="2">
        <v>45979</v>
      </c>
      <c r="B346" t="s">
        <v>15</v>
      </c>
      <c r="C346" s="3">
        <v>1244.5</v>
      </c>
      <c r="D346" s="3">
        <v>1247</v>
      </c>
      <c r="E346" s="3">
        <v>1232.7</v>
      </c>
      <c r="F346" s="3">
        <v>1244.4000000000001</v>
      </c>
      <c r="G346" s="3">
        <v>1242</v>
      </c>
      <c r="H346" s="3">
        <v>1243.8</v>
      </c>
      <c r="I346" s="3">
        <v>1241.49</v>
      </c>
      <c r="J346" s="3">
        <v>1405.9</v>
      </c>
      <c r="K346" s="3">
        <v>1020</v>
      </c>
      <c r="L346" s="4">
        <v>971685</v>
      </c>
      <c r="M346" s="3">
        <v>1206335323.0999999</v>
      </c>
      <c r="N346" s="4">
        <v>32621</v>
      </c>
      <c r="O346">
        <f t="shared" si="5"/>
        <v>-4.8216007714572192E-4</v>
      </c>
    </row>
    <row r="347" spans="1:15" ht="14.25" customHeight="1" x14ac:dyDescent="0.3">
      <c r="A347" s="2">
        <v>45980</v>
      </c>
      <c r="B347" t="s">
        <v>15</v>
      </c>
      <c r="C347" s="3">
        <v>1248.7</v>
      </c>
      <c r="D347" s="3">
        <v>1252.7</v>
      </c>
      <c r="E347" s="3">
        <v>1237</v>
      </c>
      <c r="F347" s="3">
        <v>1243.8</v>
      </c>
      <c r="G347" s="3">
        <v>1250.2</v>
      </c>
      <c r="H347" s="3">
        <v>1250.2</v>
      </c>
      <c r="I347" s="3">
        <v>1245.03</v>
      </c>
      <c r="J347" s="3">
        <v>1405.9</v>
      </c>
      <c r="K347" s="3">
        <v>1020</v>
      </c>
      <c r="L347" s="4">
        <v>830105</v>
      </c>
      <c r="M347" s="3">
        <v>1033506546.9</v>
      </c>
      <c r="N347" s="4">
        <v>34835</v>
      </c>
      <c r="O347">
        <f t="shared" si="5"/>
        <v>5.145521788068895E-3</v>
      </c>
    </row>
    <row r="348" spans="1:15" ht="14.25" customHeight="1" x14ac:dyDescent="0.3">
      <c r="A348" s="2">
        <v>45981</v>
      </c>
      <c r="B348" t="s">
        <v>15</v>
      </c>
      <c r="C348" s="3">
        <v>1255</v>
      </c>
      <c r="D348" s="3">
        <v>1255</v>
      </c>
      <c r="E348" s="3">
        <v>1237.7</v>
      </c>
      <c r="F348" s="3">
        <v>1250.2</v>
      </c>
      <c r="G348" s="3">
        <v>1247.4000000000001</v>
      </c>
      <c r="H348" s="3">
        <v>1248.5999999999999</v>
      </c>
      <c r="I348" s="3">
        <v>1247.01</v>
      </c>
      <c r="J348" s="3">
        <v>1405.9</v>
      </c>
      <c r="K348" s="3">
        <v>1020</v>
      </c>
      <c r="L348" s="4">
        <v>854999</v>
      </c>
      <c r="M348" s="3">
        <v>1066189721.8</v>
      </c>
      <c r="N348" s="4">
        <v>26099</v>
      </c>
      <c r="O348">
        <f t="shared" si="5"/>
        <v>-1.2797952327628669E-3</v>
      </c>
    </row>
    <row r="349" spans="1:15" ht="14.25" customHeight="1" x14ac:dyDescent="0.3">
      <c r="A349" s="2">
        <v>45982</v>
      </c>
      <c r="B349" t="s">
        <v>15</v>
      </c>
      <c r="C349" s="3">
        <v>1244.8</v>
      </c>
      <c r="D349" s="3">
        <v>1250.7</v>
      </c>
      <c r="E349" s="3">
        <v>1237.0999999999999</v>
      </c>
      <c r="F349" s="3">
        <v>1248.5999999999999</v>
      </c>
      <c r="G349" s="3">
        <v>1243.5</v>
      </c>
      <c r="H349" s="3">
        <v>1243.9000000000001</v>
      </c>
      <c r="I349" s="3">
        <v>1245.06</v>
      </c>
      <c r="J349" s="3">
        <v>1405.9</v>
      </c>
      <c r="K349" s="3">
        <v>1020</v>
      </c>
      <c r="L349" s="4">
        <v>941902</v>
      </c>
      <c r="M349" s="3">
        <v>1172724106.2</v>
      </c>
      <c r="N349" s="4">
        <v>32694</v>
      </c>
      <c r="O349">
        <f t="shared" si="5"/>
        <v>-3.7642159218323071E-3</v>
      </c>
    </row>
    <row r="350" spans="1:15" ht="14.25" customHeight="1" x14ac:dyDescent="0.3">
      <c r="A350" s="2">
        <v>45985</v>
      </c>
      <c r="B350" t="s">
        <v>15</v>
      </c>
      <c r="C350" s="3">
        <v>1248</v>
      </c>
      <c r="D350" s="3">
        <v>1262.4000000000001</v>
      </c>
      <c r="E350" s="3">
        <v>1219</v>
      </c>
      <c r="F350" s="3">
        <v>1243.9000000000001</v>
      </c>
      <c r="G350" s="3">
        <v>1224</v>
      </c>
      <c r="H350" s="3">
        <v>1226.2</v>
      </c>
      <c r="I350" s="3">
        <v>1229.57</v>
      </c>
      <c r="J350" s="3">
        <v>1405.9</v>
      </c>
      <c r="K350" s="3">
        <v>1020</v>
      </c>
      <c r="L350" s="4">
        <v>7611988</v>
      </c>
      <c r="M350" s="3">
        <v>9359443166.7000008</v>
      </c>
      <c r="N350" s="4">
        <v>71954</v>
      </c>
      <c r="O350">
        <f t="shared" si="5"/>
        <v>-1.4229439665568007E-2</v>
      </c>
    </row>
    <row r="351" spans="1:15" ht="14.25" customHeight="1" x14ac:dyDescent="0.3">
      <c r="A351" s="2">
        <v>45986</v>
      </c>
      <c r="B351" t="s">
        <v>15</v>
      </c>
      <c r="C351" s="3">
        <v>1236.3</v>
      </c>
      <c r="D351" s="3">
        <v>1251.2</v>
      </c>
      <c r="E351" s="3">
        <v>1230.3</v>
      </c>
      <c r="F351" s="3">
        <v>1226.2</v>
      </c>
      <c r="G351" s="3">
        <v>1236</v>
      </c>
      <c r="H351" s="3">
        <v>1236.0999999999999</v>
      </c>
      <c r="I351" s="3">
        <v>1241.8399999999999</v>
      </c>
      <c r="J351" s="3">
        <v>1405.9</v>
      </c>
      <c r="K351" s="3">
        <v>1020</v>
      </c>
      <c r="L351" s="4">
        <v>1983817</v>
      </c>
      <c r="M351" s="3">
        <v>2463581101.5</v>
      </c>
      <c r="N351" s="4">
        <v>65188</v>
      </c>
      <c r="O351">
        <f t="shared" si="5"/>
        <v>8.0737236992332925E-3</v>
      </c>
    </row>
    <row r="352" spans="1:15" ht="14.25" customHeight="1" x14ac:dyDescent="0.3">
      <c r="A352" s="2">
        <v>45987</v>
      </c>
      <c r="B352" t="s">
        <v>15</v>
      </c>
      <c r="C352" s="3">
        <v>1236.0999999999999</v>
      </c>
      <c r="D352" s="3">
        <v>1251</v>
      </c>
      <c r="E352" s="3">
        <v>1234.5999999999999</v>
      </c>
      <c r="F352" s="3">
        <v>1236.0999999999999</v>
      </c>
      <c r="G352" s="3">
        <v>1247</v>
      </c>
      <c r="H352" s="3">
        <v>1248</v>
      </c>
      <c r="I352" s="3">
        <v>1245.5</v>
      </c>
      <c r="J352" s="3">
        <v>1405.9</v>
      </c>
      <c r="K352" s="3">
        <v>1020</v>
      </c>
      <c r="L352" s="4">
        <v>809816</v>
      </c>
      <c r="M352" s="3">
        <v>1008625744.2</v>
      </c>
      <c r="N352" s="4">
        <v>45161</v>
      </c>
      <c r="O352">
        <f t="shared" si="5"/>
        <v>9.6270528274412202E-3</v>
      </c>
    </row>
    <row r="353" spans="1:15" ht="14.25" customHeight="1" x14ac:dyDescent="0.3">
      <c r="A353" s="2">
        <v>45988</v>
      </c>
      <c r="B353" t="s">
        <v>15</v>
      </c>
      <c r="C353" s="3">
        <v>1248</v>
      </c>
      <c r="D353" s="3">
        <v>1256</v>
      </c>
      <c r="E353" s="3">
        <v>1241</v>
      </c>
      <c r="F353" s="3">
        <v>1248</v>
      </c>
      <c r="G353" s="3">
        <v>1249.7</v>
      </c>
      <c r="H353" s="3">
        <v>1249.3</v>
      </c>
      <c r="I353" s="3">
        <v>1247.0899999999999</v>
      </c>
      <c r="J353" s="3">
        <v>1405.9</v>
      </c>
      <c r="K353" s="3">
        <v>1020</v>
      </c>
      <c r="L353" s="4">
        <v>1060956</v>
      </c>
      <c r="M353" s="3">
        <v>1323102494.3</v>
      </c>
      <c r="N353" s="4">
        <v>57615</v>
      </c>
      <c r="O353">
        <f t="shared" si="5"/>
        <v>1.0416666666666302E-3</v>
      </c>
    </row>
    <row r="354" spans="1:15" ht="14.25" customHeight="1" x14ac:dyDescent="0.3">
      <c r="A354" s="2">
        <v>45989</v>
      </c>
      <c r="B354" t="s">
        <v>15</v>
      </c>
      <c r="C354" s="3">
        <v>1250</v>
      </c>
      <c r="D354" s="3">
        <v>1260.3</v>
      </c>
      <c r="E354" s="3">
        <v>1245</v>
      </c>
      <c r="F354" s="3">
        <v>1249.3</v>
      </c>
      <c r="G354" s="3">
        <v>1257.4000000000001</v>
      </c>
      <c r="H354" s="3">
        <v>1258.8</v>
      </c>
      <c r="I354" s="3">
        <v>1254.8800000000001</v>
      </c>
      <c r="J354" s="3">
        <v>1405.9</v>
      </c>
      <c r="K354" s="3">
        <v>1020</v>
      </c>
      <c r="L354" s="4">
        <v>809748</v>
      </c>
      <c r="M354" s="3">
        <v>1016137842.4</v>
      </c>
      <c r="N354" s="4">
        <v>32018</v>
      </c>
      <c r="O354">
        <f t="shared" si="5"/>
        <v>7.60425838469543E-3</v>
      </c>
    </row>
    <row r="355" spans="1:15" ht="14.25" customHeight="1" x14ac:dyDescent="0.3">
      <c r="A355" s="2">
        <v>45992</v>
      </c>
      <c r="B355" t="s">
        <v>15</v>
      </c>
      <c r="C355" s="3">
        <v>1263.9000000000001</v>
      </c>
      <c r="D355" s="3">
        <v>1268.8</v>
      </c>
      <c r="E355" s="3">
        <v>1248.4000000000001</v>
      </c>
      <c r="F355" s="3">
        <v>1258.8</v>
      </c>
      <c r="G355" s="3">
        <v>1259.8</v>
      </c>
      <c r="H355" s="3">
        <v>1260.0999999999999</v>
      </c>
      <c r="I355" s="3">
        <v>1259.3</v>
      </c>
      <c r="J355" s="3">
        <v>1405.9</v>
      </c>
      <c r="K355" s="3">
        <v>1020</v>
      </c>
      <c r="L355" s="4">
        <v>1457856</v>
      </c>
      <c r="M355" s="3">
        <v>1835880166.2</v>
      </c>
      <c r="N355" s="4">
        <v>46024</v>
      </c>
      <c r="O355">
        <f t="shared" si="5"/>
        <v>1.032729583730501E-3</v>
      </c>
    </row>
    <row r="356" spans="1:15" ht="14.25" customHeight="1" x14ac:dyDescent="0.3">
      <c r="A356" s="2">
        <v>45993</v>
      </c>
      <c r="B356" t="s">
        <v>15</v>
      </c>
      <c r="C356" s="3">
        <v>1260.5</v>
      </c>
      <c r="D356" s="3">
        <v>1278.3</v>
      </c>
      <c r="E356" s="3">
        <v>1260.5</v>
      </c>
      <c r="F356" s="3">
        <v>1260.0999999999999</v>
      </c>
      <c r="G356" s="3">
        <v>1276.5</v>
      </c>
      <c r="H356" s="3">
        <v>1275.2</v>
      </c>
      <c r="I356" s="3">
        <v>1271.8</v>
      </c>
      <c r="J356" s="3">
        <v>1405.9</v>
      </c>
      <c r="K356" s="3">
        <v>1020</v>
      </c>
      <c r="L356" s="4">
        <v>2361183</v>
      </c>
      <c r="M356" s="3">
        <v>3002948744.3000002</v>
      </c>
      <c r="N356" s="4">
        <v>59459</v>
      </c>
      <c r="O356">
        <f t="shared" si="5"/>
        <v>1.1983175938417695E-2</v>
      </c>
    </row>
    <row r="357" spans="1:15" ht="14.25" customHeight="1" x14ac:dyDescent="0.3">
      <c r="A357" s="2">
        <v>45994</v>
      </c>
      <c r="B357" t="s">
        <v>15</v>
      </c>
      <c r="C357" s="3">
        <v>1283.5999999999999</v>
      </c>
      <c r="D357" s="3">
        <v>1293</v>
      </c>
      <c r="E357" s="3">
        <v>1269.2</v>
      </c>
      <c r="F357" s="3">
        <v>1275.2</v>
      </c>
      <c r="G357" s="3">
        <v>1280</v>
      </c>
      <c r="H357" s="3">
        <v>1280.7</v>
      </c>
      <c r="I357" s="3">
        <v>1281.19</v>
      </c>
      <c r="J357" s="3">
        <v>1405.9</v>
      </c>
      <c r="K357" s="3">
        <v>1020</v>
      </c>
      <c r="L357" s="4">
        <v>4969448</v>
      </c>
      <c r="M357" s="3">
        <v>6366810086.5</v>
      </c>
      <c r="N357" s="4">
        <v>77814</v>
      </c>
      <c r="O357">
        <f t="shared" si="5"/>
        <v>4.3130489335006274E-3</v>
      </c>
    </row>
    <row r="358" spans="1:15" ht="14.25" customHeight="1" x14ac:dyDescent="0.3">
      <c r="A358" s="2">
        <v>45995</v>
      </c>
      <c r="B358" t="s">
        <v>15</v>
      </c>
      <c r="C358" s="3">
        <v>1280.5999999999999</v>
      </c>
      <c r="D358" s="3">
        <v>1284.2</v>
      </c>
      <c r="E358" s="3">
        <v>1266.5</v>
      </c>
      <c r="F358" s="3">
        <v>1280.7</v>
      </c>
      <c r="G358" s="3">
        <v>1278.5</v>
      </c>
      <c r="H358" s="3">
        <v>1277.5999999999999</v>
      </c>
      <c r="I358" s="3">
        <v>1274.3499999999999</v>
      </c>
      <c r="J358" s="3">
        <v>1405.9</v>
      </c>
      <c r="K358" s="3">
        <v>1020</v>
      </c>
      <c r="L358" s="4">
        <v>1971130</v>
      </c>
      <c r="M358" s="3">
        <v>2511901079.0999999</v>
      </c>
      <c r="N358" s="4">
        <v>59268</v>
      </c>
      <c r="O358">
        <f t="shared" si="5"/>
        <v>-2.4205512610292312E-3</v>
      </c>
    </row>
    <row r="359" spans="1:15" ht="14.25" customHeight="1" x14ac:dyDescent="0.3">
      <c r="A359" s="2">
        <v>45996</v>
      </c>
      <c r="B359" t="s">
        <v>15</v>
      </c>
      <c r="C359" s="3">
        <v>1277.5999999999999</v>
      </c>
      <c r="D359" s="3">
        <v>1282.8</v>
      </c>
      <c r="E359" s="3">
        <v>1271.5999999999999</v>
      </c>
      <c r="F359" s="3">
        <v>1277.5999999999999</v>
      </c>
      <c r="G359" s="3">
        <v>1276</v>
      </c>
      <c r="H359" s="3">
        <v>1275.2</v>
      </c>
      <c r="I359" s="3">
        <v>1277.5999999999999</v>
      </c>
      <c r="J359" s="3">
        <v>1405.9</v>
      </c>
      <c r="K359" s="3">
        <v>1020</v>
      </c>
      <c r="L359" s="4">
        <v>1036082</v>
      </c>
      <c r="M359" s="3">
        <v>1323703363.5</v>
      </c>
      <c r="N359" s="4">
        <v>24429</v>
      </c>
      <c r="O359">
        <f t="shared" si="5"/>
        <v>-1.8785222291796053E-3</v>
      </c>
    </row>
    <row r="360" spans="1:15" ht="14.25" customHeight="1" x14ac:dyDescent="0.3">
      <c r="A360" s="2">
        <v>45999</v>
      </c>
      <c r="B360" t="s">
        <v>15</v>
      </c>
      <c r="C360" s="3">
        <v>1275</v>
      </c>
      <c r="D360" s="3">
        <v>1279</v>
      </c>
      <c r="E360" s="3">
        <v>1263.7</v>
      </c>
      <c r="F360" s="3">
        <v>1275.2</v>
      </c>
      <c r="G360" s="3">
        <v>1266</v>
      </c>
      <c r="H360" s="3">
        <v>1266.5</v>
      </c>
      <c r="I360" s="3">
        <v>1269.9000000000001</v>
      </c>
      <c r="J360" s="3">
        <v>1405.9</v>
      </c>
      <c r="K360" s="3">
        <v>1020</v>
      </c>
      <c r="L360" s="4">
        <v>1435892</v>
      </c>
      <c r="M360" s="3">
        <v>1823443339.0999999</v>
      </c>
      <c r="N360" s="4">
        <v>51794</v>
      </c>
      <c r="O360">
        <f t="shared" si="5"/>
        <v>-6.8224592220828464E-3</v>
      </c>
    </row>
    <row r="361" spans="1:15" ht="14.25" customHeight="1" x14ac:dyDescent="0.3">
      <c r="A361" s="2">
        <v>46000</v>
      </c>
      <c r="B361" t="s">
        <v>15</v>
      </c>
      <c r="C361" s="3">
        <v>1266.5</v>
      </c>
      <c r="D361" s="3">
        <v>1267.4000000000001</v>
      </c>
      <c r="E361" s="3">
        <v>1241.3</v>
      </c>
      <c r="F361" s="3">
        <v>1266.5</v>
      </c>
      <c r="G361" s="3">
        <v>1248.0999999999999</v>
      </c>
      <c r="H361" s="3">
        <v>1246.2</v>
      </c>
      <c r="I361" s="3">
        <v>1253.8399999999999</v>
      </c>
      <c r="J361" s="3">
        <v>1405.9</v>
      </c>
      <c r="K361" s="3">
        <v>1020</v>
      </c>
      <c r="L361" s="4">
        <v>2118272</v>
      </c>
      <c r="M361" s="3">
        <v>2655983907.8000002</v>
      </c>
      <c r="N361" s="4">
        <v>50481</v>
      </c>
      <c r="O361">
        <f t="shared" si="5"/>
        <v>-1.6028424792735852E-2</v>
      </c>
    </row>
    <row r="362" spans="1:15" ht="14.25" customHeight="1" x14ac:dyDescent="0.3">
      <c r="A362" s="2">
        <v>46001</v>
      </c>
      <c r="B362" t="s">
        <v>15</v>
      </c>
      <c r="C362" s="3">
        <v>1249.3</v>
      </c>
      <c r="D362" s="3">
        <v>1262.0999999999999</v>
      </c>
      <c r="E362" s="3">
        <v>1246.8</v>
      </c>
      <c r="F362" s="3">
        <v>1246.2</v>
      </c>
      <c r="G362" s="3">
        <v>1247.0999999999999</v>
      </c>
      <c r="H362" s="3">
        <v>1250.8</v>
      </c>
      <c r="I362" s="3">
        <v>1252.3900000000001</v>
      </c>
      <c r="J362" s="3">
        <v>1405.9</v>
      </c>
      <c r="K362" s="3">
        <v>1020</v>
      </c>
      <c r="L362" s="4">
        <v>1669910</v>
      </c>
      <c r="M362" s="3">
        <v>2091373967.8</v>
      </c>
      <c r="N362" s="4">
        <v>57405</v>
      </c>
      <c r="O362">
        <f t="shared" si="5"/>
        <v>3.6912213127908112E-3</v>
      </c>
    </row>
    <row r="363" spans="1:15" ht="14.25" customHeight="1" x14ac:dyDescent="0.3">
      <c r="A363" s="2">
        <v>46002</v>
      </c>
      <c r="B363" t="s">
        <v>15</v>
      </c>
      <c r="C363" s="3">
        <v>1250.8</v>
      </c>
      <c r="D363" s="3">
        <v>1275.9000000000001</v>
      </c>
      <c r="E363" s="3">
        <v>1248</v>
      </c>
      <c r="F363" s="3">
        <v>1250.8</v>
      </c>
      <c r="G363" s="3">
        <v>1274.9000000000001</v>
      </c>
      <c r="H363" s="3">
        <v>1273.5</v>
      </c>
      <c r="I363" s="3">
        <v>1262.97</v>
      </c>
      <c r="J363" s="3">
        <v>1405.9</v>
      </c>
      <c r="K363" s="3">
        <v>1020</v>
      </c>
      <c r="L363" s="4">
        <v>1717539</v>
      </c>
      <c r="M363" s="3">
        <v>2169194131</v>
      </c>
      <c r="N363" s="4">
        <v>48240</v>
      </c>
      <c r="O363">
        <f t="shared" si="5"/>
        <v>1.8148385033578546E-2</v>
      </c>
    </row>
    <row r="364" spans="1:15" ht="14.25" customHeight="1" x14ac:dyDescent="0.3">
      <c r="A364" s="2">
        <v>46003</v>
      </c>
      <c r="B364" t="s">
        <v>15</v>
      </c>
      <c r="C364" s="3">
        <v>1275</v>
      </c>
      <c r="D364" s="3">
        <v>1280.4000000000001</v>
      </c>
      <c r="E364" s="3">
        <v>1267.3</v>
      </c>
      <c r="F364" s="3">
        <v>1273.5</v>
      </c>
      <c r="G364" s="3">
        <v>1280</v>
      </c>
      <c r="H364" s="3">
        <v>1279.3</v>
      </c>
      <c r="I364" s="3">
        <v>1276.6300000000001</v>
      </c>
      <c r="J364" s="3">
        <v>1405.9</v>
      </c>
      <c r="K364" s="3">
        <v>1020</v>
      </c>
      <c r="L364" s="4">
        <v>981548</v>
      </c>
      <c r="M364" s="3">
        <v>1253072648.5999999</v>
      </c>
      <c r="N364" s="4">
        <v>29317</v>
      </c>
      <c r="O364">
        <f t="shared" si="5"/>
        <v>4.554377699253989E-3</v>
      </c>
    </row>
    <row r="365" spans="1:15" ht="14.25" customHeight="1" x14ac:dyDescent="0.3">
      <c r="A365" s="2">
        <v>46006</v>
      </c>
      <c r="B365" t="s">
        <v>15</v>
      </c>
      <c r="C365" s="3">
        <v>1274.9000000000001</v>
      </c>
      <c r="D365" s="3">
        <v>1282.8</v>
      </c>
      <c r="E365" s="3">
        <v>1264.0999999999999</v>
      </c>
      <c r="F365" s="3">
        <v>1279.3</v>
      </c>
      <c r="G365" s="3">
        <v>1277.5999999999999</v>
      </c>
      <c r="H365" s="3">
        <v>1280.5999999999999</v>
      </c>
      <c r="I365" s="3">
        <v>1277.1400000000001</v>
      </c>
      <c r="J365" s="3">
        <v>1405.9</v>
      </c>
      <c r="K365" s="3">
        <v>1020</v>
      </c>
      <c r="L365" s="4">
        <v>1078613</v>
      </c>
      <c r="M365" s="3">
        <v>1377536609.0999999</v>
      </c>
      <c r="N365" s="4">
        <v>42766</v>
      </c>
      <c r="O365">
        <f t="shared" si="5"/>
        <v>1.0161807238333108E-3</v>
      </c>
    </row>
    <row r="366" spans="1:15" ht="14.25" customHeight="1" x14ac:dyDescent="0.3">
      <c r="A366" s="2">
        <v>46007</v>
      </c>
      <c r="B366" t="s">
        <v>15</v>
      </c>
      <c r="C366" s="3">
        <v>1285.9000000000001</v>
      </c>
      <c r="D366" s="3">
        <v>1285.9000000000001</v>
      </c>
      <c r="E366" s="3">
        <v>1272</v>
      </c>
      <c r="F366" s="3">
        <v>1280.5999999999999</v>
      </c>
      <c r="G366" s="3">
        <v>1272.5</v>
      </c>
      <c r="H366" s="3">
        <v>1276.9000000000001</v>
      </c>
      <c r="I366" s="3">
        <v>1278.4100000000001</v>
      </c>
      <c r="J366" s="3">
        <v>1405.9</v>
      </c>
      <c r="K366" s="3">
        <v>1020</v>
      </c>
      <c r="L366" s="4">
        <v>928506</v>
      </c>
      <c r="M366" s="3">
        <v>1187009721.5</v>
      </c>
      <c r="N366" s="4">
        <v>32120</v>
      </c>
      <c r="O366">
        <f t="shared" si="5"/>
        <v>-2.8892706543806172E-3</v>
      </c>
    </row>
    <row r="367" spans="1:15" ht="14.25" customHeight="1" x14ac:dyDescent="0.3">
      <c r="A367" s="2">
        <v>46008</v>
      </c>
      <c r="B367" t="s">
        <v>15</v>
      </c>
      <c r="C367" s="3">
        <v>1270</v>
      </c>
      <c r="D367" s="3">
        <v>1281</v>
      </c>
      <c r="E367" s="3">
        <v>1267.3</v>
      </c>
      <c r="F367" s="3">
        <v>1276.9000000000001</v>
      </c>
      <c r="G367" s="3">
        <v>1272</v>
      </c>
      <c r="H367" s="3">
        <v>1272</v>
      </c>
      <c r="I367" s="3">
        <v>1274.81</v>
      </c>
      <c r="J367" s="3">
        <v>1405.9</v>
      </c>
      <c r="K367" s="3">
        <v>1020</v>
      </c>
      <c r="L367" s="4">
        <v>894068</v>
      </c>
      <c r="M367" s="3">
        <v>1139766170</v>
      </c>
      <c r="N367" s="4">
        <v>36281</v>
      </c>
      <c r="O367">
        <f t="shared" si="5"/>
        <v>-3.8374187485316711E-3</v>
      </c>
    </row>
    <row r="368" spans="1:15" ht="14.25" customHeight="1" x14ac:dyDescent="0.3">
      <c r="A368" s="2">
        <v>46009</v>
      </c>
      <c r="B368" t="s">
        <v>15</v>
      </c>
      <c r="C368" s="3">
        <v>1277</v>
      </c>
      <c r="D368" s="3">
        <v>1283.9000000000001</v>
      </c>
      <c r="E368" s="3">
        <v>1262</v>
      </c>
      <c r="F368" s="3">
        <v>1272</v>
      </c>
      <c r="G368" s="3">
        <v>1280</v>
      </c>
      <c r="H368" s="3">
        <v>1280</v>
      </c>
      <c r="I368" s="3">
        <v>1275.94</v>
      </c>
      <c r="J368" s="3">
        <v>1405.9</v>
      </c>
      <c r="K368" s="3">
        <v>1020</v>
      </c>
      <c r="L368" s="4">
        <v>889699</v>
      </c>
      <c r="M368" s="3">
        <v>1135200098.0999999</v>
      </c>
      <c r="N368" s="4">
        <v>23142</v>
      </c>
      <c r="O368">
        <f t="shared" si="5"/>
        <v>6.2893081761006293E-3</v>
      </c>
    </row>
    <row r="369" spans="1:15" ht="14.25" customHeight="1" x14ac:dyDescent="0.3">
      <c r="A369" s="2">
        <v>46010</v>
      </c>
      <c r="B369" t="s">
        <v>15</v>
      </c>
      <c r="C369" s="3">
        <v>1277</v>
      </c>
      <c r="D369" s="3">
        <v>1292.9000000000001</v>
      </c>
      <c r="E369" s="3">
        <v>1268.9000000000001</v>
      </c>
      <c r="F369" s="3">
        <v>1280</v>
      </c>
      <c r="G369" s="3">
        <v>1280.0999999999999</v>
      </c>
      <c r="H369" s="3">
        <v>1278.2</v>
      </c>
      <c r="I369" s="3">
        <v>1280.0999999999999</v>
      </c>
      <c r="J369" s="3">
        <v>1405.9</v>
      </c>
      <c r="K369" s="3">
        <v>1020</v>
      </c>
      <c r="L369" s="4">
        <v>1209487</v>
      </c>
      <c r="M369" s="3">
        <v>1548269960.2</v>
      </c>
      <c r="N369" s="4">
        <v>23971</v>
      </c>
      <c r="O369">
        <f t="shared" si="5"/>
        <v>-1.4062499999999644E-3</v>
      </c>
    </row>
    <row r="370" spans="1:15" ht="14.25" customHeight="1" x14ac:dyDescent="0.3">
      <c r="A370" s="2">
        <v>46013</v>
      </c>
      <c r="B370" t="s">
        <v>15</v>
      </c>
      <c r="C370" s="3">
        <v>1278.2</v>
      </c>
      <c r="D370" s="3">
        <v>1286.3</v>
      </c>
      <c r="E370" s="3">
        <v>1276.7</v>
      </c>
      <c r="F370" s="3">
        <v>1278.2</v>
      </c>
      <c r="G370" s="3">
        <v>1282.7</v>
      </c>
      <c r="H370" s="3">
        <v>1283.4000000000001</v>
      </c>
      <c r="I370" s="3">
        <v>1281.6199999999999</v>
      </c>
      <c r="J370" s="3">
        <v>1405.9</v>
      </c>
      <c r="K370" s="3">
        <v>1020</v>
      </c>
      <c r="L370" s="4">
        <v>614138</v>
      </c>
      <c r="M370" s="3">
        <v>787089451.20000005</v>
      </c>
      <c r="N370" s="4">
        <v>24896</v>
      </c>
      <c r="O370">
        <f t="shared" si="5"/>
        <v>4.0682209356908503E-3</v>
      </c>
    </row>
    <row r="371" spans="1:15" ht="14.25" customHeight="1" x14ac:dyDescent="0.3">
      <c r="A371" s="2">
        <v>46014</v>
      </c>
      <c r="B371" t="s">
        <v>15</v>
      </c>
      <c r="C371" s="3">
        <v>1288.5999999999999</v>
      </c>
      <c r="D371" s="3">
        <v>1288.5999999999999</v>
      </c>
      <c r="E371" s="3">
        <v>1277.8</v>
      </c>
      <c r="F371" s="3">
        <v>1283.4000000000001</v>
      </c>
      <c r="G371" s="3">
        <v>1282.5</v>
      </c>
      <c r="H371" s="3">
        <v>1283.5</v>
      </c>
      <c r="I371" s="3">
        <v>1283.1199999999999</v>
      </c>
      <c r="J371" s="3">
        <v>1405.9</v>
      </c>
      <c r="K371" s="3">
        <v>1020</v>
      </c>
      <c r="L371" s="4">
        <v>408490</v>
      </c>
      <c r="M371" s="3">
        <v>524140827.39999998</v>
      </c>
      <c r="N371" s="4">
        <v>24310</v>
      </c>
      <c r="O371">
        <f t="shared" si="5"/>
        <v>7.7918030232124863E-5</v>
      </c>
    </row>
    <row r="372" spans="1:15" ht="14.25" customHeight="1" x14ac:dyDescent="0.3">
      <c r="A372" s="2">
        <v>46015</v>
      </c>
      <c r="B372" t="s">
        <v>15</v>
      </c>
      <c r="C372" s="3">
        <v>1281.0999999999999</v>
      </c>
      <c r="D372" s="3">
        <v>1285.0999999999999</v>
      </c>
      <c r="E372" s="3">
        <v>1252.4000000000001</v>
      </c>
      <c r="F372" s="3">
        <v>1283.5</v>
      </c>
      <c r="G372" s="3">
        <v>1267.0999999999999</v>
      </c>
      <c r="H372" s="3">
        <v>1265.8</v>
      </c>
      <c r="I372" s="3">
        <v>1264.5899999999999</v>
      </c>
      <c r="J372" s="3">
        <v>1405.9</v>
      </c>
      <c r="K372" s="3">
        <v>1020</v>
      </c>
      <c r="L372" s="4">
        <v>1265233</v>
      </c>
      <c r="M372" s="3">
        <v>1600002875.4000001</v>
      </c>
      <c r="N372" s="4">
        <v>41492</v>
      </c>
      <c r="O372">
        <f t="shared" si="5"/>
        <v>-1.3790416828983285E-2</v>
      </c>
    </row>
    <row r="373" spans="1:15" ht="14.25" customHeight="1" x14ac:dyDescent="0.3">
      <c r="A373" s="2">
        <v>46017</v>
      </c>
      <c r="B373" t="s">
        <v>15</v>
      </c>
      <c r="C373" s="3">
        <v>1265</v>
      </c>
      <c r="D373" s="3">
        <v>1275</v>
      </c>
      <c r="E373" s="3">
        <v>1261.0999999999999</v>
      </c>
      <c r="F373" s="3">
        <v>1265.8</v>
      </c>
      <c r="G373" s="3">
        <v>1267.3</v>
      </c>
      <c r="H373" s="3">
        <v>1269.3</v>
      </c>
      <c r="I373" s="3">
        <v>1268.46</v>
      </c>
      <c r="J373" s="3">
        <v>1405.9</v>
      </c>
      <c r="K373" s="3">
        <v>1020</v>
      </c>
      <c r="L373" s="4">
        <v>594744</v>
      </c>
      <c r="M373" s="3">
        <v>754407146.79999995</v>
      </c>
      <c r="N373" s="4">
        <v>22355</v>
      </c>
      <c r="O373">
        <f t="shared" si="5"/>
        <v>2.7650497708958761E-3</v>
      </c>
    </row>
    <row r="374" spans="1:15" ht="14.25" customHeight="1" x14ac:dyDescent="0.3">
      <c r="A374" s="2">
        <v>46020</v>
      </c>
      <c r="B374" t="s">
        <v>15</v>
      </c>
      <c r="C374" s="3">
        <v>1269.3</v>
      </c>
      <c r="D374" s="3">
        <v>1275.9000000000001</v>
      </c>
      <c r="E374" s="3">
        <v>1260</v>
      </c>
      <c r="F374" s="3">
        <v>1269.3</v>
      </c>
      <c r="G374" s="3">
        <v>1270</v>
      </c>
      <c r="H374" s="3">
        <v>1268.5999999999999</v>
      </c>
      <c r="I374" s="3">
        <v>1266.56</v>
      </c>
      <c r="J374" s="3">
        <v>1405.9</v>
      </c>
      <c r="K374" s="3">
        <v>1020</v>
      </c>
      <c r="L374" s="4">
        <v>811488</v>
      </c>
      <c r="M374" s="3">
        <v>1027795310.9</v>
      </c>
      <c r="N374" s="4">
        <v>29631</v>
      </c>
      <c r="O374">
        <f t="shared" si="5"/>
        <v>-5.5148507051134134E-4</v>
      </c>
    </row>
    <row r="375" spans="1:15" ht="14.25" customHeight="1" x14ac:dyDescent="0.3">
      <c r="A375" s="2">
        <v>46021</v>
      </c>
      <c r="B375" t="s">
        <v>15</v>
      </c>
      <c r="C375" s="3">
        <v>1268</v>
      </c>
      <c r="D375" s="3">
        <v>1272.9000000000001</v>
      </c>
      <c r="E375" s="3">
        <v>1256.4000000000001</v>
      </c>
      <c r="F375" s="3">
        <v>1268.5999999999999</v>
      </c>
      <c r="G375" s="3">
        <v>1263</v>
      </c>
      <c r="H375" s="3">
        <v>1265.8</v>
      </c>
      <c r="I375" s="3">
        <v>1265.45</v>
      </c>
      <c r="J375" s="3">
        <v>1405.9</v>
      </c>
      <c r="K375" s="3">
        <v>1020</v>
      </c>
      <c r="L375" s="4">
        <v>1123996</v>
      </c>
      <c r="M375" s="3">
        <v>1422361361</v>
      </c>
      <c r="N375" s="4">
        <v>43282</v>
      </c>
      <c r="O375">
        <f t="shared" si="5"/>
        <v>-2.2071574964527469E-3</v>
      </c>
    </row>
    <row r="376" spans="1:15" ht="14.25" customHeight="1" x14ac:dyDescent="0.3">
      <c r="A376" s="2">
        <v>46022</v>
      </c>
      <c r="B376" t="s">
        <v>15</v>
      </c>
      <c r="C376" s="3">
        <v>1270</v>
      </c>
      <c r="D376" s="3">
        <v>1273.9000000000001</v>
      </c>
      <c r="E376" s="3">
        <v>1260</v>
      </c>
      <c r="F376" s="3">
        <v>1265.8</v>
      </c>
      <c r="G376" s="3">
        <v>1273</v>
      </c>
      <c r="H376" s="3">
        <v>1271.4000000000001</v>
      </c>
      <c r="I376" s="3">
        <v>1269.5</v>
      </c>
      <c r="J376" s="3">
        <v>1405.9</v>
      </c>
      <c r="K376" s="3">
        <v>1020</v>
      </c>
      <c r="L376" s="4">
        <v>658106</v>
      </c>
      <c r="M376" s="3">
        <v>835463222.29999995</v>
      </c>
      <c r="N376" s="4">
        <v>20114</v>
      </c>
      <c r="O376">
        <f t="shared" si="5"/>
        <v>4.4240796334335097E-3</v>
      </c>
    </row>
    <row r="377" spans="1:15" ht="14.25" customHeight="1" x14ac:dyDescent="0.3">
      <c r="A377" s="2">
        <v>46023</v>
      </c>
      <c r="B377" t="s">
        <v>15</v>
      </c>
      <c r="C377" s="3">
        <v>1270</v>
      </c>
      <c r="D377" s="3">
        <v>1270</v>
      </c>
      <c r="E377" s="3">
        <v>1248</v>
      </c>
      <c r="F377" s="3">
        <v>1271.4000000000001</v>
      </c>
      <c r="G377" s="3">
        <v>1252</v>
      </c>
      <c r="H377" s="3">
        <v>1253.4000000000001</v>
      </c>
      <c r="I377" s="3">
        <v>1253.3599999999999</v>
      </c>
      <c r="J377" s="3">
        <v>1405.9</v>
      </c>
      <c r="K377" s="3">
        <v>1020</v>
      </c>
      <c r="L377" s="4">
        <v>553856</v>
      </c>
      <c r="M377" s="3">
        <v>694182331.60000002</v>
      </c>
      <c r="N377" s="4">
        <v>25369</v>
      </c>
      <c r="O377">
        <f t="shared" si="5"/>
        <v>-1.4157621519584709E-2</v>
      </c>
    </row>
    <row r="378" spans="1:15" ht="14.25" customHeight="1" x14ac:dyDescent="0.3">
      <c r="A378" s="2">
        <v>46024</v>
      </c>
      <c r="B378" t="s">
        <v>15</v>
      </c>
      <c r="C378" s="3">
        <v>1249</v>
      </c>
      <c r="D378" s="3">
        <v>1257.5999999999999</v>
      </c>
      <c r="E378" s="3">
        <v>1236</v>
      </c>
      <c r="F378" s="3">
        <v>1253.4000000000001</v>
      </c>
      <c r="G378" s="3">
        <v>1257.5999999999999</v>
      </c>
      <c r="H378" s="3">
        <v>1256.0999999999999</v>
      </c>
      <c r="I378" s="3">
        <v>1246.24</v>
      </c>
      <c r="J378" s="3">
        <v>1405.9</v>
      </c>
      <c r="K378" s="3">
        <v>1020</v>
      </c>
      <c r="L378" s="4">
        <v>1591218</v>
      </c>
      <c r="M378" s="3">
        <v>1983033733.4000001</v>
      </c>
      <c r="N378" s="4">
        <v>30169</v>
      </c>
      <c r="O378">
        <f t="shared" si="5"/>
        <v>2.1541407371946848E-3</v>
      </c>
    </row>
    <row r="379" spans="1:15" ht="14.25" customHeight="1" x14ac:dyDescent="0.3">
      <c r="A379" s="2">
        <v>46027</v>
      </c>
      <c r="B379" t="s">
        <v>15</v>
      </c>
      <c r="C379" s="3">
        <v>1256</v>
      </c>
      <c r="D379" s="3">
        <v>1262.3</v>
      </c>
      <c r="E379" s="3">
        <v>1245</v>
      </c>
      <c r="F379" s="3">
        <v>1256.0999999999999</v>
      </c>
      <c r="G379" s="3">
        <v>1247.0999999999999</v>
      </c>
      <c r="H379" s="3">
        <v>1250</v>
      </c>
      <c r="I379" s="3">
        <v>1253.8800000000001</v>
      </c>
      <c r="J379" s="3">
        <v>1405.9</v>
      </c>
      <c r="K379" s="3">
        <v>1020</v>
      </c>
      <c r="L379" s="4">
        <v>1184386</v>
      </c>
      <c r="M379" s="3">
        <v>1485074503.0999999</v>
      </c>
      <c r="N379" s="4">
        <v>31452</v>
      </c>
      <c r="O379">
        <f t="shared" si="5"/>
        <v>-4.8563012499004132E-3</v>
      </c>
    </row>
    <row r="380" spans="1:15" ht="14.25" customHeight="1" x14ac:dyDescent="0.3">
      <c r="A380" s="2">
        <v>46028</v>
      </c>
      <c r="B380" t="s">
        <v>15</v>
      </c>
      <c r="C380" s="3">
        <v>1250</v>
      </c>
      <c r="D380" s="3">
        <v>1258.8</v>
      </c>
      <c r="E380" s="3">
        <v>1245.5</v>
      </c>
      <c r="F380" s="3">
        <v>1250</v>
      </c>
      <c r="G380" s="3">
        <v>1255</v>
      </c>
      <c r="H380" s="3">
        <v>1256.2</v>
      </c>
      <c r="I380" s="3">
        <v>1253.0899999999999</v>
      </c>
      <c r="J380" s="3">
        <v>1405.9</v>
      </c>
      <c r="K380" s="3">
        <v>1020</v>
      </c>
      <c r="L380" s="4">
        <v>540944</v>
      </c>
      <c r="M380" s="3">
        <v>677853415.70000005</v>
      </c>
      <c r="N380" s="4">
        <v>27492</v>
      </c>
      <c r="O380">
        <f t="shared" si="5"/>
        <v>4.9600000000000364E-3</v>
      </c>
    </row>
    <row r="381" spans="1:15" ht="14.25" customHeight="1" x14ac:dyDescent="0.3">
      <c r="A381" s="2">
        <v>46029</v>
      </c>
      <c r="B381" t="s">
        <v>15</v>
      </c>
      <c r="C381" s="3">
        <v>1252.5999999999999</v>
      </c>
      <c r="D381" s="3">
        <v>1265</v>
      </c>
      <c r="E381" s="3">
        <v>1240</v>
      </c>
      <c r="F381" s="3">
        <v>1256.2</v>
      </c>
      <c r="G381" s="3">
        <v>1244.9000000000001</v>
      </c>
      <c r="H381" s="3">
        <v>1242.8</v>
      </c>
      <c r="I381" s="3">
        <v>1247.9100000000001</v>
      </c>
      <c r="J381" s="3">
        <v>1405.9</v>
      </c>
      <c r="K381" s="3">
        <v>1020</v>
      </c>
      <c r="L381" s="4">
        <v>1215477</v>
      </c>
      <c r="M381" s="3">
        <v>1516803433</v>
      </c>
      <c r="N381" s="4">
        <v>38856</v>
      </c>
      <c r="O381">
        <f t="shared" si="5"/>
        <v>-1.0667091227511616E-2</v>
      </c>
    </row>
    <row r="382" spans="1:15" ht="14.25" customHeight="1" x14ac:dyDescent="0.3">
      <c r="A382" s="2">
        <v>46030</v>
      </c>
      <c r="B382" t="s">
        <v>15</v>
      </c>
      <c r="C382" s="3">
        <v>1241.5999999999999</v>
      </c>
      <c r="D382" s="3">
        <v>1241.5999999999999</v>
      </c>
      <c r="E382" s="3">
        <v>1202.2</v>
      </c>
      <c r="F382" s="3">
        <v>1242.8</v>
      </c>
      <c r="G382" s="3">
        <v>1206.5</v>
      </c>
      <c r="H382" s="3">
        <v>1206.9000000000001</v>
      </c>
      <c r="I382" s="3">
        <v>1220.8699999999999</v>
      </c>
      <c r="J382" s="3">
        <v>1405.9</v>
      </c>
      <c r="K382" s="3">
        <v>1020</v>
      </c>
      <c r="L382" s="4">
        <v>2000942</v>
      </c>
      <c r="M382" s="3">
        <v>2442892764.8000002</v>
      </c>
      <c r="N382" s="4">
        <v>62968</v>
      </c>
      <c r="O382">
        <f t="shared" si="5"/>
        <v>-2.8886385580946142E-2</v>
      </c>
    </row>
    <row r="383" spans="1:15" ht="14.25" customHeight="1" x14ac:dyDescent="0.3">
      <c r="A383" s="2">
        <v>46031</v>
      </c>
      <c r="B383" t="s">
        <v>15</v>
      </c>
      <c r="C383" s="3">
        <v>1207</v>
      </c>
      <c r="D383" s="3">
        <v>1216.4000000000001</v>
      </c>
      <c r="E383" s="3">
        <v>1203.5999999999999</v>
      </c>
      <c r="F383" s="3">
        <v>1206.9000000000001</v>
      </c>
      <c r="G383" s="3">
        <v>1212.9000000000001</v>
      </c>
      <c r="H383" s="3">
        <v>1210.0999999999999</v>
      </c>
      <c r="I383" s="3">
        <v>1210.67</v>
      </c>
      <c r="J383" s="3">
        <v>1405.9</v>
      </c>
      <c r="K383" s="3">
        <v>1020</v>
      </c>
      <c r="L383" s="4">
        <v>1390935</v>
      </c>
      <c r="M383" s="3">
        <v>1683959293.7</v>
      </c>
      <c r="N383" s="4">
        <v>51500</v>
      </c>
      <c r="O383">
        <f t="shared" si="5"/>
        <v>2.6514209959398608E-3</v>
      </c>
    </row>
    <row r="384" spans="1:15" ht="14.25" customHeight="1" x14ac:dyDescent="0.3">
      <c r="A384" s="2">
        <v>46034</v>
      </c>
      <c r="B384" t="s">
        <v>15</v>
      </c>
      <c r="C384" s="3">
        <v>1210</v>
      </c>
      <c r="D384" s="3">
        <v>1218.7</v>
      </c>
      <c r="E384" s="3">
        <v>1199.9000000000001</v>
      </c>
      <c r="F384" s="3">
        <v>1210.0999999999999</v>
      </c>
      <c r="G384" s="3">
        <v>1216.5</v>
      </c>
      <c r="H384" s="3">
        <v>1215.5</v>
      </c>
      <c r="I384" s="3">
        <v>1210.4100000000001</v>
      </c>
      <c r="J384" s="3">
        <v>1379.7</v>
      </c>
      <c r="K384" s="3">
        <v>1020</v>
      </c>
      <c r="L384" s="4">
        <v>707317</v>
      </c>
      <c r="M384" s="3">
        <v>856146278.29999995</v>
      </c>
      <c r="N384" s="4">
        <v>34195</v>
      </c>
      <c r="O384">
        <f t="shared" si="5"/>
        <v>4.4624411205686238E-3</v>
      </c>
    </row>
    <row r="385" spans="1:15" ht="14.25" customHeight="1" x14ac:dyDescent="0.3">
      <c r="A385" s="2">
        <v>46035</v>
      </c>
      <c r="B385" t="s">
        <v>15</v>
      </c>
      <c r="C385" s="3">
        <v>1215.5999999999999</v>
      </c>
      <c r="D385" s="3">
        <v>1215.9000000000001</v>
      </c>
      <c r="E385" s="3">
        <v>1185.5</v>
      </c>
      <c r="F385" s="3">
        <v>1215.5</v>
      </c>
      <c r="G385" s="3">
        <v>1187.9000000000001</v>
      </c>
      <c r="H385" s="3">
        <v>1191.3</v>
      </c>
      <c r="I385" s="3">
        <v>1196.01</v>
      </c>
      <c r="J385" s="3">
        <v>1379.7</v>
      </c>
      <c r="K385" s="3">
        <v>1020</v>
      </c>
      <c r="L385" s="4">
        <v>2071117</v>
      </c>
      <c r="M385" s="3">
        <v>2477070587.6999998</v>
      </c>
      <c r="N385" s="4">
        <v>92502</v>
      </c>
      <c r="O385">
        <f t="shared" si="5"/>
        <v>-1.9909502262443476E-2</v>
      </c>
    </row>
    <row r="386" spans="1:15" ht="14.25" customHeight="1" x14ac:dyDescent="0.3">
      <c r="A386" s="2">
        <v>46036</v>
      </c>
      <c r="B386" t="s">
        <v>15</v>
      </c>
      <c r="C386" s="3">
        <v>1191.0999999999999</v>
      </c>
      <c r="D386" s="3">
        <v>1195</v>
      </c>
      <c r="E386" s="3">
        <v>1176.0999999999999</v>
      </c>
      <c r="F386" s="3">
        <v>1191.3</v>
      </c>
      <c r="G386" s="3">
        <v>1191.5</v>
      </c>
      <c r="H386" s="3">
        <v>1186.5</v>
      </c>
      <c r="I386" s="3">
        <v>1185.25</v>
      </c>
      <c r="J386" s="3">
        <v>1379.7</v>
      </c>
      <c r="K386" s="3">
        <v>1020</v>
      </c>
      <c r="L386" s="4">
        <v>2834908</v>
      </c>
      <c r="M386" s="3">
        <v>3360069097.5999999</v>
      </c>
      <c r="N386" s="4">
        <v>63293</v>
      </c>
      <c r="O386">
        <f t="shared" si="5"/>
        <v>-4.0292117854444347E-3</v>
      </c>
    </row>
    <row r="387" spans="1:15" ht="14.25" customHeight="1" x14ac:dyDescent="0.3">
      <c r="A387" s="2">
        <v>46038</v>
      </c>
      <c r="B387" t="s">
        <v>15</v>
      </c>
      <c r="C387" s="3">
        <v>1184</v>
      </c>
      <c r="D387" s="3">
        <v>1197</v>
      </c>
      <c r="E387" s="3">
        <v>1171.5</v>
      </c>
      <c r="F387" s="3">
        <v>1186.5</v>
      </c>
      <c r="G387" s="3">
        <v>1177.7</v>
      </c>
      <c r="H387" s="3">
        <v>1175.5</v>
      </c>
      <c r="I387" s="3">
        <v>1182.6500000000001</v>
      </c>
      <c r="J387" s="3">
        <v>1379.7</v>
      </c>
      <c r="K387" s="3">
        <v>1020</v>
      </c>
      <c r="L387" s="4">
        <v>2214792</v>
      </c>
      <c r="M387" s="3">
        <v>2619319444.5999999</v>
      </c>
      <c r="N387" s="4">
        <v>77994</v>
      </c>
      <c r="O387">
        <f t="shared" ref="O387:O450" si="6">(H387-H386)/H386</f>
        <v>-9.2709650231774122E-3</v>
      </c>
    </row>
    <row r="388" spans="1:15" ht="14.25" customHeight="1" x14ac:dyDescent="0.3">
      <c r="A388" s="2">
        <v>46041</v>
      </c>
      <c r="B388" t="s">
        <v>15</v>
      </c>
      <c r="C388" s="3">
        <v>1170</v>
      </c>
      <c r="D388" s="3">
        <v>1177.5</v>
      </c>
      <c r="E388" s="3">
        <v>1164.7</v>
      </c>
      <c r="F388" s="3">
        <v>1175.5</v>
      </c>
      <c r="G388" s="3">
        <v>1169.9000000000001</v>
      </c>
      <c r="H388" s="3">
        <v>1167.2</v>
      </c>
      <c r="I388" s="3">
        <v>1170.67</v>
      </c>
      <c r="J388" s="3">
        <v>1379.7</v>
      </c>
      <c r="K388" s="3">
        <v>1020</v>
      </c>
      <c r="L388" s="4">
        <v>1253443</v>
      </c>
      <c r="M388" s="3">
        <v>1467370909.8</v>
      </c>
      <c r="N388" s="4">
        <v>45326</v>
      </c>
      <c r="O388">
        <f t="shared" si="6"/>
        <v>-7.0608251807741003E-3</v>
      </c>
    </row>
    <row r="389" spans="1:15" ht="14.25" customHeight="1" x14ac:dyDescent="0.3">
      <c r="A389" s="2">
        <v>46042</v>
      </c>
      <c r="B389" t="s">
        <v>15</v>
      </c>
      <c r="C389" s="3">
        <v>1168.4000000000001</v>
      </c>
      <c r="D389" s="3">
        <v>1192.8</v>
      </c>
      <c r="E389" s="3">
        <v>1161.4000000000001</v>
      </c>
      <c r="F389" s="3">
        <v>1167.2</v>
      </c>
      <c r="G389" s="3">
        <v>1172.5999999999999</v>
      </c>
      <c r="H389" s="3">
        <v>1166.7</v>
      </c>
      <c r="I389" s="3">
        <v>1174.51</v>
      </c>
      <c r="J389" s="3">
        <v>1379.7</v>
      </c>
      <c r="K389" s="3">
        <v>1020</v>
      </c>
      <c r="L389" s="4">
        <v>2790934</v>
      </c>
      <c r="M389" s="3">
        <v>3277983081.8000002</v>
      </c>
      <c r="N389" s="4">
        <v>76135</v>
      </c>
      <c r="O389">
        <f t="shared" si="6"/>
        <v>-4.2837559972583962E-4</v>
      </c>
    </row>
    <row r="390" spans="1:15" ht="14.25" customHeight="1" x14ac:dyDescent="0.3">
      <c r="A390" s="2">
        <v>46043</v>
      </c>
      <c r="B390" t="s">
        <v>15</v>
      </c>
      <c r="C390" s="3">
        <v>1170</v>
      </c>
      <c r="D390" s="3">
        <v>1193.8</v>
      </c>
      <c r="E390" s="3">
        <v>1148.4000000000001</v>
      </c>
      <c r="F390" s="3">
        <v>1166.7</v>
      </c>
      <c r="G390" s="3">
        <v>1156</v>
      </c>
      <c r="H390" s="3">
        <v>1157.2</v>
      </c>
      <c r="I390" s="3">
        <v>1167.42</v>
      </c>
      <c r="J390" s="3">
        <v>1379.7</v>
      </c>
      <c r="K390" s="3">
        <v>1020</v>
      </c>
      <c r="L390" s="4">
        <v>2322066</v>
      </c>
      <c r="M390" s="3">
        <v>2710822147.5999999</v>
      </c>
      <c r="N390" s="4">
        <v>88195</v>
      </c>
      <c r="O390">
        <f t="shared" si="6"/>
        <v>-8.142624496442959E-3</v>
      </c>
    </row>
    <row r="391" spans="1:15" ht="14.25" customHeight="1" x14ac:dyDescent="0.3">
      <c r="A391" s="2">
        <v>46044</v>
      </c>
      <c r="B391" t="s">
        <v>15</v>
      </c>
      <c r="C391" s="3">
        <v>1195</v>
      </c>
      <c r="D391" s="3">
        <v>1225</v>
      </c>
      <c r="E391" s="3">
        <v>1187.7</v>
      </c>
      <c r="F391" s="3">
        <v>1157.2</v>
      </c>
      <c r="G391" s="3">
        <v>1218.5999999999999</v>
      </c>
      <c r="H391" s="3">
        <v>1217.5</v>
      </c>
      <c r="I391" s="3">
        <v>1214.95</v>
      </c>
      <c r="J391" s="3">
        <v>1379.7</v>
      </c>
      <c r="K391" s="3">
        <v>1020</v>
      </c>
      <c r="L391" s="4">
        <v>6464461</v>
      </c>
      <c r="M391" s="3">
        <v>7853991043</v>
      </c>
      <c r="N391" s="4">
        <v>153062</v>
      </c>
      <c r="O391">
        <f t="shared" si="6"/>
        <v>5.2108537849982678E-2</v>
      </c>
    </row>
    <row r="392" spans="1:15" ht="14.25" customHeight="1" x14ac:dyDescent="0.3">
      <c r="A392" s="2">
        <v>46045</v>
      </c>
      <c r="B392" t="s">
        <v>15</v>
      </c>
      <c r="C392" s="3">
        <v>1230</v>
      </c>
      <c r="D392" s="3">
        <v>1250.8</v>
      </c>
      <c r="E392" s="3">
        <v>1225</v>
      </c>
      <c r="F392" s="3">
        <v>1217.5</v>
      </c>
      <c r="G392" s="3">
        <v>1238.4000000000001</v>
      </c>
      <c r="H392" s="3">
        <v>1235.5999999999999</v>
      </c>
      <c r="I392" s="3">
        <v>1239.8800000000001</v>
      </c>
      <c r="J392" s="3">
        <v>1379.7</v>
      </c>
      <c r="K392" s="3">
        <v>1020</v>
      </c>
      <c r="L392" s="4">
        <v>3888860</v>
      </c>
      <c r="M392" s="3">
        <v>4821725992.3999996</v>
      </c>
      <c r="N392" s="4">
        <v>87168</v>
      </c>
      <c r="O392">
        <f t="shared" si="6"/>
        <v>1.4866529774127236E-2</v>
      </c>
    </row>
    <row r="393" spans="1:15" ht="14.25" customHeight="1" x14ac:dyDescent="0.3">
      <c r="A393" s="2">
        <v>46049</v>
      </c>
      <c r="B393" t="s">
        <v>15</v>
      </c>
      <c r="C393" s="3">
        <v>1251</v>
      </c>
      <c r="D393" s="3">
        <v>1252.3</v>
      </c>
      <c r="E393" s="3">
        <v>1233.5</v>
      </c>
      <c r="F393" s="3">
        <v>1235.5999999999999</v>
      </c>
      <c r="G393" s="3">
        <v>1238</v>
      </c>
      <c r="H393" s="3">
        <v>1239.8</v>
      </c>
      <c r="I393" s="3">
        <v>1240.5</v>
      </c>
      <c r="J393" s="3">
        <v>1379.7</v>
      </c>
      <c r="K393" s="3">
        <v>1020</v>
      </c>
      <c r="L393" s="4">
        <v>2159137</v>
      </c>
      <c r="M393" s="3">
        <v>2678414573.5999999</v>
      </c>
      <c r="N393" s="4">
        <v>80944</v>
      </c>
      <c r="O393">
        <f t="shared" si="6"/>
        <v>3.3991583036581787E-3</v>
      </c>
    </row>
    <row r="394" spans="1:15" ht="14.25" customHeight="1" x14ac:dyDescent="0.3">
      <c r="A394" s="2">
        <v>46050</v>
      </c>
      <c r="B394" t="s">
        <v>15</v>
      </c>
      <c r="C394" s="3">
        <v>1241.9000000000001</v>
      </c>
      <c r="D394" s="3">
        <v>1243.2</v>
      </c>
      <c r="E394" s="3">
        <v>1219</v>
      </c>
      <c r="F394" s="3">
        <v>1239.8</v>
      </c>
      <c r="G394" s="3">
        <v>1221</v>
      </c>
      <c r="H394" s="3">
        <v>1222.5</v>
      </c>
      <c r="I394" s="3">
        <v>1225.5</v>
      </c>
      <c r="J394" s="3">
        <v>1379.7</v>
      </c>
      <c r="K394" s="3">
        <v>1020</v>
      </c>
      <c r="L394" s="4">
        <v>1740662</v>
      </c>
      <c r="M394" s="3">
        <v>2133174542.4000001</v>
      </c>
      <c r="N394" s="4">
        <v>53141</v>
      </c>
      <c r="O394">
        <f t="shared" si="6"/>
        <v>-1.3953863526375185E-2</v>
      </c>
    </row>
    <row r="395" spans="1:15" ht="14.25" customHeight="1" x14ac:dyDescent="0.3">
      <c r="A395" s="2">
        <v>46051</v>
      </c>
      <c r="B395" t="s">
        <v>15</v>
      </c>
      <c r="C395" s="3">
        <v>1215.3</v>
      </c>
      <c r="D395" s="3">
        <v>1218</v>
      </c>
      <c r="E395" s="3">
        <v>1191.2</v>
      </c>
      <c r="F395" s="3">
        <v>1222.5</v>
      </c>
      <c r="G395" s="3">
        <v>1209</v>
      </c>
      <c r="H395" s="3">
        <v>1208.9000000000001</v>
      </c>
      <c r="I395" s="3">
        <v>1203.3900000000001</v>
      </c>
      <c r="J395" s="3">
        <v>1379.7</v>
      </c>
      <c r="K395" s="3">
        <v>1020</v>
      </c>
      <c r="L395" s="4">
        <v>1626394</v>
      </c>
      <c r="M395" s="3">
        <v>1957191716.4000001</v>
      </c>
      <c r="N395" s="4">
        <v>68737</v>
      </c>
      <c r="O395">
        <f t="shared" si="6"/>
        <v>-1.1124744376278044E-2</v>
      </c>
    </row>
    <row r="396" spans="1:15" ht="14.25" customHeight="1" x14ac:dyDescent="0.3">
      <c r="A396" s="2">
        <v>46052</v>
      </c>
      <c r="B396" t="s">
        <v>15</v>
      </c>
      <c r="C396" s="3">
        <v>1200</v>
      </c>
      <c r="D396" s="3">
        <v>1224.8</v>
      </c>
      <c r="E396" s="3">
        <v>1200</v>
      </c>
      <c r="F396" s="3">
        <v>1208.9000000000001</v>
      </c>
      <c r="G396" s="3">
        <v>1213.2</v>
      </c>
      <c r="H396" s="3">
        <v>1218.0999999999999</v>
      </c>
      <c r="I396" s="3">
        <v>1217.82</v>
      </c>
      <c r="J396" s="3">
        <v>1379.7</v>
      </c>
      <c r="K396" s="3">
        <v>1020</v>
      </c>
      <c r="L396" s="4">
        <v>1672460</v>
      </c>
      <c r="M396" s="3">
        <v>2036747839.2</v>
      </c>
      <c r="N396" s="4">
        <v>47875</v>
      </c>
      <c r="O396">
        <f t="shared" si="6"/>
        <v>7.6102241707335736E-3</v>
      </c>
    </row>
    <row r="397" spans="1:15" ht="14.25" customHeight="1" x14ac:dyDescent="0.3">
      <c r="A397" s="2">
        <v>46054</v>
      </c>
      <c r="B397" t="s">
        <v>15</v>
      </c>
      <c r="C397" s="3">
        <v>1220.2</v>
      </c>
      <c r="D397" s="3">
        <v>1235.5999999999999</v>
      </c>
      <c r="E397" s="3">
        <v>1169</v>
      </c>
      <c r="F397" s="3">
        <v>1218.0999999999999</v>
      </c>
      <c r="G397" s="3">
        <v>1191.8</v>
      </c>
      <c r="H397" s="3">
        <v>1178.7</v>
      </c>
      <c r="I397" s="3">
        <v>1210.57</v>
      </c>
      <c r="J397" s="3">
        <v>1379.7</v>
      </c>
      <c r="K397" s="3">
        <v>1020</v>
      </c>
      <c r="L397" s="4">
        <v>555385</v>
      </c>
      <c r="M397" s="3">
        <v>672331483.10000002</v>
      </c>
      <c r="N397" s="4">
        <v>27260</v>
      </c>
      <c r="O397">
        <f t="shared" si="6"/>
        <v>-3.2345456038092003E-2</v>
      </c>
    </row>
    <row r="398" spans="1:15" ht="14.25" customHeight="1" x14ac:dyDescent="0.3">
      <c r="A398" s="2">
        <v>46055</v>
      </c>
      <c r="B398" t="s">
        <v>15</v>
      </c>
      <c r="C398" s="3">
        <v>1189.5</v>
      </c>
      <c r="D398" s="3">
        <v>1195</v>
      </c>
      <c r="E398" s="3">
        <v>1167.0999999999999</v>
      </c>
      <c r="F398" s="3">
        <v>1178.7</v>
      </c>
      <c r="G398" s="3">
        <v>1182.8</v>
      </c>
      <c r="H398" s="3">
        <v>1182.5</v>
      </c>
      <c r="I398" s="3">
        <v>1181.68</v>
      </c>
      <c r="J398" s="3">
        <v>1379.7</v>
      </c>
      <c r="K398" s="3">
        <v>1020</v>
      </c>
      <c r="L398" s="4">
        <v>1207638</v>
      </c>
      <c r="M398" s="3">
        <v>1427044656.5</v>
      </c>
      <c r="N398" s="4">
        <v>47986</v>
      </c>
      <c r="O398">
        <f t="shared" si="6"/>
        <v>3.2238907270721595E-3</v>
      </c>
    </row>
    <row r="399" spans="1:15" ht="14.25" customHeight="1" x14ac:dyDescent="0.3">
      <c r="A399" s="2">
        <v>46056</v>
      </c>
      <c r="B399" t="s">
        <v>15</v>
      </c>
      <c r="C399" s="3">
        <v>1265</v>
      </c>
      <c r="D399" s="3">
        <v>1265.9000000000001</v>
      </c>
      <c r="E399" s="3">
        <v>1218.0999999999999</v>
      </c>
      <c r="F399" s="3">
        <v>1182.5</v>
      </c>
      <c r="G399" s="3">
        <v>1228.9000000000001</v>
      </c>
      <c r="H399" s="3">
        <v>1235.4000000000001</v>
      </c>
      <c r="I399" s="3">
        <v>1233.6099999999999</v>
      </c>
      <c r="J399" s="3">
        <v>1379.7</v>
      </c>
      <c r="K399" s="3">
        <v>1020</v>
      </c>
      <c r="L399" s="4">
        <v>1521425</v>
      </c>
      <c r="M399" s="3">
        <v>1876850348.5999999</v>
      </c>
      <c r="N399" s="4">
        <v>63063</v>
      </c>
      <c r="O399">
        <f t="shared" si="6"/>
        <v>4.4735729386892256E-2</v>
      </c>
    </row>
    <row r="400" spans="1:15" ht="14.25" customHeight="1" x14ac:dyDescent="0.3">
      <c r="A400" s="2">
        <v>46057</v>
      </c>
      <c r="B400" t="s">
        <v>15</v>
      </c>
      <c r="C400" s="3">
        <v>1235.5</v>
      </c>
      <c r="D400" s="3">
        <v>1248.3</v>
      </c>
      <c r="E400" s="3">
        <v>1230.0999999999999</v>
      </c>
      <c r="F400" s="3">
        <v>1235.4000000000001</v>
      </c>
      <c r="G400" s="3">
        <v>1239.8</v>
      </c>
      <c r="H400" s="3">
        <v>1240.2</v>
      </c>
      <c r="I400" s="3">
        <v>1242.45</v>
      </c>
      <c r="J400" s="3">
        <v>1379.7</v>
      </c>
      <c r="K400" s="3">
        <v>1020</v>
      </c>
      <c r="L400" s="4">
        <v>947684</v>
      </c>
      <c r="M400" s="3">
        <v>1177447810.3</v>
      </c>
      <c r="N400" s="4">
        <v>37948</v>
      </c>
      <c r="O400">
        <f t="shared" si="6"/>
        <v>3.8853812530354171E-3</v>
      </c>
    </row>
    <row r="401" spans="1:15" ht="14.25" customHeight="1" x14ac:dyDescent="0.3">
      <c r="A401" s="2">
        <v>46058</v>
      </c>
      <c r="B401" t="s">
        <v>15</v>
      </c>
      <c r="C401" s="3">
        <v>1242</v>
      </c>
      <c r="D401" s="3">
        <v>1253.5999999999999</v>
      </c>
      <c r="E401" s="3">
        <v>1237</v>
      </c>
      <c r="F401" s="3">
        <v>1240.2</v>
      </c>
      <c r="G401" s="3">
        <v>1245</v>
      </c>
      <c r="H401" s="3">
        <v>1244.9000000000001</v>
      </c>
      <c r="I401" s="3">
        <v>1246.6600000000001</v>
      </c>
      <c r="J401" s="3">
        <v>1379.7</v>
      </c>
      <c r="K401" s="3">
        <v>1020</v>
      </c>
      <c r="L401" s="4">
        <v>953241</v>
      </c>
      <c r="M401" s="3">
        <v>1188367065.9000001</v>
      </c>
      <c r="N401" s="4">
        <v>34697</v>
      </c>
      <c r="O401">
        <f t="shared" si="6"/>
        <v>3.7897113368811847E-3</v>
      </c>
    </row>
    <row r="402" spans="1:15" ht="14.25" customHeight="1" x14ac:dyDescent="0.3">
      <c r="A402" s="2">
        <v>46059</v>
      </c>
      <c r="B402" t="s">
        <v>15</v>
      </c>
      <c r="C402" s="3">
        <v>1244.9000000000001</v>
      </c>
      <c r="D402" s="3">
        <v>1248.9000000000001</v>
      </c>
      <c r="E402" s="3">
        <v>1225</v>
      </c>
      <c r="F402" s="3">
        <v>1244.9000000000001</v>
      </c>
      <c r="G402" s="3">
        <v>1237.5999999999999</v>
      </c>
      <c r="H402" s="3">
        <v>1241.2</v>
      </c>
      <c r="I402" s="3">
        <v>1234.03</v>
      </c>
      <c r="J402" s="3">
        <v>1379.7</v>
      </c>
      <c r="K402" s="3">
        <v>1020</v>
      </c>
      <c r="L402" s="4">
        <v>1324651</v>
      </c>
      <c r="M402" s="3">
        <v>1634656278</v>
      </c>
      <c r="N402" s="4">
        <v>43673</v>
      </c>
      <c r="O402">
        <f t="shared" si="6"/>
        <v>-2.9721262752028638E-3</v>
      </c>
    </row>
    <row r="403" spans="1:15" ht="14.25" customHeight="1" x14ac:dyDescent="0.3">
      <c r="A403" s="2">
        <v>46062</v>
      </c>
      <c r="B403" t="s">
        <v>15</v>
      </c>
      <c r="C403" s="3">
        <v>1260</v>
      </c>
      <c r="D403" s="3">
        <v>1278.8</v>
      </c>
      <c r="E403" s="3">
        <v>1243.5</v>
      </c>
      <c r="F403" s="3">
        <v>1241.2</v>
      </c>
      <c r="G403" s="3">
        <v>1276</v>
      </c>
      <c r="H403" s="3">
        <v>1275.5</v>
      </c>
      <c r="I403" s="3">
        <v>1266.73</v>
      </c>
      <c r="J403" s="3">
        <v>1379.7</v>
      </c>
      <c r="K403" s="3">
        <v>1020</v>
      </c>
      <c r="L403" s="4">
        <v>2111316</v>
      </c>
      <c r="M403" s="3">
        <v>2674467694.5999999</v>
      </c>
      <c r="N403" s="4">
        <v>60588</v>
      </c>
      <c r="O403">
        <f t="shared" si="6"/>
        <v>2.7634547212375082E-2</v>
      </c>
    </row>
    <row r="404" spans="1:15" ht="14.25" customHeight="1" x14ac:dyDescent="0.3">
      <c r="A404" s="2">
        <v>46063</v>
      </c>
      <c r="B404" t="s">
        <v>15</v>
      </c>
      <c r="C404" s="3">
        <v>1279</v>
      </c>
      <c r="D404" s="3">
        <v>1283.5</v>
      </c>
      <c r="E404" s="3">
        <v>1253</v>
      </c>
      <c r="F404" s="3">
        <v>1275.5</v>
      </c>
      <c r="G404" s="3">
        <v>1255.7</v>
      </c>
      <c r="H404" s="3">
        <v>1256</v>
      </c>
      <c r="I404" s="3">
        <v>1265.45</v>
      </c>
      <c r="J404" s="3">
        <v>1379.7</v>
      </c>
      <c r="K404" s="3">
        <v>1020</v>
      </c>
      <c r="L404" s="4">
        <v>1412804</v>
      </c>
      <c r="M404" s="3">
        <v>1787831996</v>
      </c>
      <c r="N404" s="4">
        <v>46039</v>
      </c>
      <c r="O404">
        <f t="shared" si="6"/>
        <v>-1.528812230497844E-2</v>
      </c>
    </row>
    <row r="405" spans="1:15" ht="14.25" customHeight="1" x14ac:dyDescent="0.3">
      <c r="A405" s="2">
        <v>46064</v>
      </c>
      <c r="B405" t="s">
        <v>15</v>
      </c>
      <c r="C405" s="3">
        <v>1263.9000000000001</v>
      </c>
      <c r="D405" s="3">
        <v>1273.5</v>
      </c>
      <c r="E405" s="3">
        <v>1253.2</v>
      </c>
      <c r="F405" s="3">
        <v>1256</v>
      </c>
      <c r="G405" s="3">
        <v>1267.0999999999999</v>
      </c>
      <c r="H405" s="3">
        <v>1270.3</v>
      </c>
      <c r="I405" s="3">
        <v>1267.3699999999999</v>
      </c>
      <c r="J405" s="3">
        <v>1379.7</v>
      </c>
      <c r="K405" s="3">
        <v>1020</v>
      </c>
      <c r="L405" s="4">
        <v>855888</v>
      </c>
      <c r="M405" s="3">
        <v>1084723429.2</v>
      </c>
      <c r="N405" s="4">
        <v>44366</v>
      </c>
      <c r="O405">
        <f t="shared" si="6"/>
        <v>1.1385350318471302E-2</v>
      </c>
    </row>
    <row r="406" spans="1:15" ht="14.25" customHeight="1" x14ac:dyDescent="0.3">
      <c r="A406" s="2">
        <v>46065</v>
      </c>
      <c r="B406" t="s">
        <v>15</v>
      </c>
      <c r="C406" s="3">
        <v>1268.9000000000001</v>
      </c>
      <c r="D406" s="3">
        <v>1277.5999999999999</v>
      </c>
      <c r="E406" s="3">
        <v>1261.5</v>
      </c>
      <c r="F406" s="3">
        <v>1270.3</v>
      </c>
      <c r="G406" s="3">
        <v>1272</v>
      </c>
      <c r="H406" s="3">
        <v>1274.9000000000001</v>
      </c>
      <c r="I406" s="3">
        <v>1271.9100000000001</v>
      </c>
      <c r="J406" s="3">
        <v>1379.7</v>
      </c>
      <c r="K406" s="3">
        <v>1020</v>
      </c>
      <c r="L406" s="4">
        <v>981247</v>
      </c>
      <c r="M406" s="3">
        <v>1248061689.2</v>
      </c>
      <c r="N406" s="4">
        <v>57021</v>
      </c>
      <c r="O406">
        <f t="shared" si="6"/>
        <v>3.6211918444463012E-3</v>
      </c>
    </row>
    <row r="407" spans="1:15" ht="14.25" customHeight="1" x14ac:dyDescent="0.3">
      <c r="A407" s="2">
        <v>46066</v>
      </c>
      <c r="B407" t="s">
        <v>15</v>
      </c>
      <c r="C407" s="3">
        <v>1274</v>
      </c>
      <c r="D407" s="3">
        <v>1279.3</v>
      </c>
      <c r="E407" s="3">
        <v>1263.5999999999999</v>
      </c>
      <c r="F407" s="3">
        <v>1274.9000000000001</v>
      </c>
      <c r="G407" s="3">
        <v>1269.7</v>
      </c>
      <c r="H407" s="3">
        <v>1268.0999999999999</v>
      </c>
      <c r="I407" s="3">
        <v>1270.55</v>
      </c>
      <c r="J407" s="3">
        <v>1379.7</v>
      </c>
      <c r="K407" s="3">
        <v>1020</v>
      </c>
      <c r="L407" s="4">
        <v>838946</v>
      </c>
      <c r="M407" s="3">
        <v>1065919362</v>
      </c>
      <c r="N407" s="4">
        <v>39616</v>
      </c>
      <c r="O407">
        <f t="shared" si="6"/>
        <v>-5.3337516667975385E-3</v>
      </c>
    </row>
    <row r="408" spans="1:15" ht="14.25" customHeight="1" x14ac:dyDescent="0.3">
      <c r="A408" s="2">
        <v>46069</v>
      </c>
      <c r="B408" t="s">
        <v>15</v>
      </c>
      <c r="C408" s="3">
        <v>1257.0999999999999</v>
      </c>
      <c r="D408" s="3">
        <v>1275.2</v>
      </c>
      <c r="E408" s="3">
        <v>1257.0999999999999</v>
      </c>
      <c r="F408" s="3">
        <v>1268.0999999999999</v>
      </c>
      <c r="G408" s="3">
        <v>1268</v>
      </c>
      <c r="H408" s="3">
        <v>1269.4000000000001</v>
      </c>
      <c r="I408" s="3">
        <v>1267.95</v>
      </c>
      <c r="J408" s="3">
        <v>1379.7</v>
      </c>
      <c r="K408" s="3">
        <v>1020</v>
      </c>
      <c r="L408" s="4">
        <v>469592</v>
      </c>
      <c r="M408" s="3">
        <v>595420112.20000005</v>
      </c>
      <c r="N408" s="4">
        <v>29597</v>
      </c>
      <c r="O408">
        <f t="shared" si="6"/>
        <v>1.0251557448152213E-3</v>
      </c>
    </row>
    <row r="409" spans="1:15" ht="14.25" customHeight="1" x14ac:dyDescent="0.3">
      <c r="A409" s="2">
        <v>46070</v>
      </c>
      <c r="B409" t="s">
        <v>15</v>
      </c>
      <c r="C409" s="3">
        <v>1266</v>
      </c>
      <c r="D409" s="3">
        <v>1286.8</v>
      </c>
      <c r="E409" s="3">
        <v>1258.2</v>
      </c>
      <c r="F409" s="3">
        <v>1269.4000000000001</v>
      </c>
      <c r="G409" s="3">
        <v>1281.3</v>
      </c>
      <c r="H409" s="3">
        <v>1284.8</v>
      </c>
      <c r="I409" s="3">
        <v>1276.53</v>
      </c>
      <c r="J409" s="3">
        <v>1379.7</v>
      </c>
      <c r="K409" s="3">
        <v>1020</v>
      </c>
      <c r="L409" s="4">
        <v>687326</v>
      </c>
      <c r="M409" s="3">
        <v>877389514.39999998</v>
      </c>
      <c r="N409" s="4">
        <v>39557</v>
      </c>
      <c r="O409">
        <f t="shared" si="6"/>
        <v>1.2131715771230395E-2</v>
      </c>
    </row>
    <row r="410" spans="1:15" ht="14.25" customHeight="1" x14ac:dyDescent="0.3">
      <c r="A410" s="2">
        <v>46071</v>
      </c>
      <c r="B410" t="s">
        <v>15</v>
      </c>
      <c r="C410" s="3">
        <v>1289</v>
      </c>
      <c r="D410" s="3">
        <v>1291.5</v>
      </c>
      <c r="E410" s="3">
        <v>1276.5999999999999</v>
      </c>
      <c r="F410" s="3">
        <v>1284.8</v>
      </c>
      <c r="G410" s="3">
        <v>1282.9000000000001</v>
      </c>
      <c r="H410" s="3">
        <v>1280.3</v>
      </c>
      <c r="I410" s="3">
        <v>1282.53</v>
      </c>
      <c r="J410" s="3">
        <v>1379.7</v>
      </c>
      <c r="K410" s="3">
        <v>1020</v>
      </c>
      <c r="L410" s="4">
        <v>689997</v>
      </c>
      <c r="M410" s="3">
        <v>884942113.89999998</v>
      </c>
      <c r="N410" s="4">
        <v>43087</v>
      </c>
      <c r="O410">
        <f t="shared" si="6"/>
        <v>-3.5024906600249067E-3</v>
      </c>
    </row>
    <row r="411" spans="1:15" ht="14.25" customHeight="1" x14ac:dyDescent="0.3">
      <c r="A411" s="2">
        <v>46072</v>
      </c>
      <c r="B411" t="s">
        <v>15</v>
      </c>
      <c r="C411" s="3">
        <v>1290</v>
      </c>
      <c r="D411" s="3">
        <v>1295.7</v>
      </c>
      <c r="E411" s="3">
        <v>1276.5</v>
      </c>
      <c r="F411" s="3">
        <v>1280.3</v>
      </c>
      <c r="G411" s="3">
        <v>1277.5999999999999</v>
      </c>
      <c r="H411" s="3">
        <v>1282.3</v>
      </c>
      <c r="I411" s="3">
        <v>1287</v>
      </c>
      <c r="J411" s="3">
        <v>1379.7</v>
      </c>
      <c r="K411" s="3">
        <v>1020</v>
      </c>
      <c r="L411" s="4">
        <v>1333838</v>
      </c>
      <c r="M411" s="3">
        <v>1716648381.9000001</v>
      </c>
      <c r="N411" s="4">
        <v>47653</v>
      </c>
      <c r="O411">
        <f t="shared" si="6"/>
        <v>1.5621338748730766E-3</v>
      </c>
    </row>
    <row r="412" spans="1:15" ht="14.25" customHeight="1" x14ac:dyDescent="0.3">
      <c r="A412" s="2">
        <v>46073</v>
      </c>
      <c r="B412" t="s">
        <v>15</v>
      </c>
      <c r="C412" s="3">
        <v>1281.9000000000001</v>
      </c>
      <c r="D412" s="3">
        <v>1292.4000000000001</v>
      </c>
      <c r="E412" s="3">
        <v>1275</v>
      </c>
      <c r="F412" s="3">
        <v>1282.3</v>
      </c>
      <c r="G412" s="3">
        <v>1277.8</v>
      </c>
      <c r="H412" s="3">
        <v>1280.4000000000001</v>
      </c>
      <c r="I412" s="3">
        <v>1282.83</v>
      </c>
      <c r="J412" s="3">
        <v>1379.7</v>
      </c>
      <c r="K412" s="3">
        <v>1020</v>
      </c>
      <c r="L412" s="4">
        <v>1753200</v>
      </c>
      <c r="M412" s="3">
        <v>2249053135.3000002</v>
      </c>
      <c r="N412" s="4">
        <v>32495</v>
      </c>
      <c r="O412">
        <f t="shared" si="6"/>
        <v>-1.4817125477656272E-3</v>
      </c>
    </row>
    <row r="413" spans="1:15" ht="14.25" customHeight="1" x14ac:dyDescent="0.3">
      <c r="A413" s="2">
        <v>46076</v>
      </c>
      <c r="B413" t="s">
        <v>15</v>
      </c>
      <c r="C413" s="3">
        <v>1290</v>
      </c>
      <c r="D413" s="3">
        <v>1313.5</v>
      </c>
      <c r="E413" s="3">
        <v>1282.0999999999999</v>
      </c>
      <c r="F413" s="3">
        <v>1280.4000000000001</v>
      </c>
      <c r="G413" s="3">
        <v>1305.0999999999999</v>
      </c>
      <c r="H413" s="3">
        <v>1307.4000000000001</v>
      </c>
      <c r="I413" s="3">
        <v>1300.9000000000001</v>
      </c>
      <c r="J413" s="3">
        <v>1379.7</v>
      </c>
      <c r="K413" s="3">
        <v>1020</v>
      </c>
      <c r="L413" s="4">
        <v>1849756</v>
      </c>
      <c r="M413" s="3">
        <v>2406353328.8000002</v>
      </c>
      <c r="N413" s="4">
        <v>69316</v>
      </c>
      <c r="O413">
        <f t="shared" si="6"/>
        <v>2.1087160262417994E-2</v>
      </c>
    </row>
    <row r="414" spans="1:15" ht="14.25" customHeight="1" x14ac:dyDescent="0.3">
      <c r="A414" s="2">
        <v>46077</v>
      </c>
      <c r="B414" t="s">
        <v>15</v>
      </c>
      <c r="C414" s="3">
        <v>1307.5</v>
      </c>
      <c r="D414" s="3">
        <v>1315</v>
      </c>
      <c r="E414" s="3">
        <v>1297.0999999999999</v>
      </c>
      <c r="F414" s="3">
        <v>1307.4000000000001</v>
      </c>
      <c r="G414" s="3">
        <v>1300</v>
      </c>
      <c r="H414" s="3">
        <v>1300.2</v>
      </c>
      <c r="I414" s="3">
        <v>1304.4000000000001</v>
      </c>
      <c r="J414" s="3">
        <v>1379.7</v>
      </c>
      <c r="K414" s="3">
        <v>1020</v>
      </c>
      <c r="L414" s="4">
        <v>1803242</v>
      </c>
      <c r="M414" s="3">
        <v>2352142698.3000002</v>
      </c>
      <c r="N414" s="4">
        <v>65945</v>
      </c>
      <c r="O414">
        <f t="shared" si="6"/>
        <v>-5.5071133547499197E-3</v>
      </c>
    </row>
    <row r="415" spans="1:15" ht="14.25" customHeight="1" x14ac:dyDescent="0.3">
      <c r="A415" s="2">
        <v>46078</v>
      </c>
      <c r="B415" t="s">
        <v>15</v>
      </c>
      <c r="C415" s="3">
        <v>1281</v>
      </c>
      <c r="D415" s="3">
        <v>1324</v>
      </c>
      <c r="E415" s="3">
        <v>1266.9000000000001</v>
      </c>
      <c r="F415" s="3">
        <v>1300.2</v>
      </c>
      <c r="G415" s="3">
        <v>1305</v>
      </c>
      <c r="H415" s="3">
        <v>1306.5</v>
      </c>
      <c r="I415" s="3">
        <v>1300.21</v>
      </c>
      <c r="J415" s="3">
        <v>1379.7</v>
      </c>
      <c r="K415" s="3">
        <v>1020</v>
      </c>
      <c r="L415" s="4">
        <v>2296240</v>
      </c>
      <c r="M415" s="3">
        <v>2985603626.6999998</v>
      </c>
      <c r="N415" s="4">
        <v>82106</v>
      </c>
      <c r="O415">
        <f t="shared" si="6"/>
        <v>4.8454083987078556E-3</v>
      </c>
    </row>
    <row r="416" spans="1:15" ht="14.25" customHeight="1" x14ac:dyDescent="0.3">
      <c r="A416" s="2">
        <v>46079</v>
      </c>
      <c r="B416" t="s">
        <v>15</v>
      </c>
      <c r="C416" s="3">
        <v>1311.2</v>
      </c>
      <c r="D416" s="3">
        <v>1327</v>
      </c>
      <c r="E416" s="3">
        <v>1305</v>
      </c>
      <c r="F416" s="3">
        <v>1306.5</v>
      </c>
      <c r="G416" s="3">
        <v>1316</v>
      </c>
      <c r="H416" s="3">
        <v>1319.3</v>
      </c>
      <c r="I416" s="3">
        <v>1316.69</v>
      </c>
      <c r="J416" s="3">
        <v>1379.7</v>
      </c>
      <c r="K416" s="3">
        <v>1020</v>
      </c>
      <c r="L416" s="4">
        <v>1511598</v>
      </c>
      <c r="M416" s="3">
        <v>1990311482.0999999</v>
      </c>
      <c r="N416" s="4">
        <v>60588</v>
      </c>
      <c r="O416">
        <f t="shared" si="6"/>
        <v>9.7971680061231959E-3</v>
      </c>
    </row>
    <row r="417" spans="1:15" ht="14.25" customHeight="1" x14ac:dyDescent="0.3">
      <c r="A417" s="2">
        <v>46080</v>
      </c>
      <c r="B417" t="s">
        <v>15</v>
      </c>
      <c r="C417" s="3">
        <v>1313.8</v>
      </c>
      <c r="D417" s="3">
        <v>1317.2</v>
      </c>
      <c r="E417" s="3">
        <v>1278.2</v>
      </c>
      <c r="F417" s="3">
        <v>1319.3</v>
      </c>
      <c r="G417" s="3">
        <v>1290</v>
      </c>
      <c r="H417" s="3">
        <v>1286.3</v>
      </c>
      <c r="I417" s="3">
        <v>1288.07</v>
      </c>
      <c r="J417" s="3">
        <v>1379.7</v>
      </c>
      <c r="K417" s="3">
        <v>1020</v>
      </c>
      <c r="L417" s="4">
        <v>3510396</v>
      </c>
      <c r="M417" s="3">
        <v>4521642364.3000002</v>
      </c>
      <c r="N417" s="4">
        <v>68073</v>
      </c>
      <c r="O417">
        <f t="shared" si="6"/>
        <v>-2.5013264610020465E-2</v>
      </c>
    </row>
    <row r="418" spans="1:15" ht="14.25" customHeight="1" x14ac:dyDescent="0.3">
      <c r="A418" s="2">
        <v>46083</v>
      </c>
      <c r="B418" t="s">
        <v>15</v>
      </c>
      <c r="C418" s="3">
        <v>1252.5999999999999</v>
      </c>
      <c r="D418" s="3">
        <v>1300</v>
      </c>
      <c r="E418" s="3">
        <v>1221.2</v>
      </c>
      <c r="F418" s="3">
        <v>1286.3</v>
      </c>
      <c r="G418" s="3">
        <v>1288.0999999999999</v>
      </c>
      <c r="H418" s="3">
        <v>1294.4000000000001</v>
      </c>
      <c r="I418" s="3">
        <v>1282.1199999999999</v>
      </c>
      <c r="J418" s="3">
        <v>1379.7</v>
      </c>
      <c r="K418" s="3">
        <v>1020</v>
      </c>
      <c r="L418" s="4">
        <v>1052234</v>
      </c>
      <c r="M418" s="3">
        <v>1349089234.0999999</v>
      </c>
      <c r="N418" s="4">
        <v>63759</v>
      </c>
      <c r="O418">
        <f t="shared" si="6"/>
        <v>6.2971313068492085E-3</v>
      </c>
    </row>
    <row r="419" spans="1:15" ht="14.25" customHeight="1" x14ac:dyDescent="0.3">
      <c r="A419" s="2">
        <v>46085</v>
      </c>
      <c r="B419" t="s">
        <v>15</v>
      </c>
      <c r="C419" s="3">
        <v>1274.4000000000001</v>
      </c>
      <c r="D419" s="3">
        <v>1299.2</v>
      </c>
      <c r="E419" s="3">
        <v>1272.0999999999999</v>
      </c>
      <c r="F419" s="3">
        <v>1294.4000000000001</v>
      </c>
      <c r="G419" s="3">
        <v>1291.3</v>
      </c>
      <c r="H419" s="3">
        <v>1291.2</v>
      </c>
      <c r="I419" s="3">
        <v>1286.56</v>
      </c>
      <c r="J419" s="3">
        <v>1379.7</v>
      </c>
      <c r="K419" s="3">
        <v>1020</v>
      </c>
      <c r="L419" s="4">
        <v>1890939</v>
      </c>
      <c r="M419" s="3">
        <v>2432799009.8000002</v>
      </c>
      <c r="N419" s="4">
        <v>78401</v>
      </c>
      <c r="O419">
        <f t="shared" si="6"/>
        <v>-2.4721878862793921E-3</v>
      </c>
    </row>
    <row r="420" spans="1:15" ht="14.25" customHeight="1" x14ac:dyDescent="0.3">
      <c r="A420" s="2">
        <v>46086</v>
      </c>
      <c r="B420" t="s">
        <v>15</v>
      </c>
      <c r="C420" s="3">
        <v>1292.5</v>
      </c>
      <c r="D420" s="3">
        <v>1322.1</v>
      </c>
      <c r="E420" s="3">
        <v>1292.5</v>
      </c>
      <c r="F420" s="3">
        <v>1291.2</v>
      </c>
      <c r="G420" s="3">
        <v>1309</v>
      </c>
      <c r="H420" s="3">
        <v>1313.5</v>
      </c>
      <c r="I420" s="3">
        <v>1311.05</v>
      </c>
      <c r="J420" s="3">
        <v>1379.7</v>
      </c>
      <c r="K420" s="3">
        <v>1020</v>
      </c>
      <c r="L420" s="4">
        <v>1060509</v>
      </c>
      <c r="M420" s="3">
        <v>1390375314.9000001</v>
      </c>
      <c r="N420" s="4">
        <v>71525</v>
      </c>
      <c r="O420">
        <f t="shared" si="6"/>
        <v>1.7270755885997486E-2</v>
      </c>
    </row>
    <row r="421" spans="1:15" ht="14.25" customHeight="1" x14ac:dyDescent="0.3">
      <c r="A421" s="2">
        <v>46087</v>
      </c>
      <c r="B421" t="s">
        <v>15</v>
      </c>
      <c r="C421" s="3">
        <v>1313.5</v>
      </c>
      <c r="D421" s="3">
        <v>1316.4</v>
      </c>
      <c r="E421" s="3">
        <v>1290.8</v>
      </c>
      <c r="F421" s="3">
        <v>1313.5</v>
      </c>
      <c r="G421" s="3">
        <v>1309</v>
      </c>
      <c r="H421" s="3">
        <v>1303.8</v>
      </c>
      <c r="I421" s="3">
        <v>1305.95</v>
      </c>
      <c r="J421" s="3">
        <v>1379.7</v>
      </c>
      <c r="K421" s="3">
        <v>1020</v>
      </c>
      <c r="L421" s="4">
        <v>963701</v>
      </c>
      <c r="M421" s="3">
        <v>1258547201.0999999</v>
      </c>
      <c r="N421" s="4">
        <v>57720</v>
      </c>
      <c r="O421">
        <f t="shared" si="6"/>
        <v>-7.3848496383707996E-3</v>
      </c>
    </row>
    <row r="422" spans="1:15" ht="14.25" customHeight="1" x14ac:dyDescent="0.3">
      <c r="A422" s="2">
        <v>46090</v>
      </c>
      <c r="B422" t="s">
        <v>15</v>
      </c>
      <c r="C422" s="3">
        <v>1285.5</v>
      </c>
      <c r="D422" s="3">
        <v>1294.9000000000001</v>
      </c>
      <c r="E422" s="3">
        <v>1273.5999999999999</v>
      </c>
      <c r="F422" s="3">
        <v>1303.8</v>
      </c>
      <c r="G422" s="3">
        <v>1284.0999999999999</v>
      </c>
      <c r="H422" s="3">
        <v>1287</v>
      </c>
      <c r="I422" s="3">
        <v>1285.67</v>
      </c>
      <c r="J422" s="3">
        <v>1379.7</v>
      </c>
      <c r="K422" s="3">
        <v>1020</v>
      </c>
      <c r="L422" s="4">
        <v>1597730</v>
      </c>
      <c r="M422" s="3">
        <v>2054149874.7</v>
      </c>
      <c r="N422" s="4">
        <v>80365</v>
      </c>
      <c r="O422">
        <f t="shared" si="6"/>
        <v>-1.288541187298662E-2</v>
      </c>
    </row>
    <row r="423" spans="1:15" ht="14.25" customHeight="1" x14ac:dyDescent="0.3">
      <c r="A423" s="2">
        <v>46091</v>
      </c>
      <c r="B423" t="s">
        <v>15</v>
      </c>
      <c r="C423" s="3">
        <v>1288</v>
      </c>
      <c r="D423" s="3">
        <v>1329.6</v>
      </c>
      <c r="E423" s="3">
        <v>1288</v>
      </c>
      <c r="F423" s="3">
        <v>1287</v>
      </c>
      <c r="G423" s="3">
        <v>1311.1</v>
      </c>
      <c r="H423" s="3">
        <v>1314.6</v>
      </c>
      <c r="I423" s="3">
        <v>1316.16</v>
      </c>
      <c r="J423" s="3">
        <v>1379.7</v>
      </c>
      <c r="K423" s="3">
        <v>1020</v>
      </c>
      <c r="L423" s="4">
        <v>2329349</v>
      </c>
      <c r="M423" s="3">
        <v>3065789666.5999999</v>
      </c>
      <c r="N423" s="4">
        <v>77888</v>
      </c>
      <c r="O423">
        <f t="shared" si="6"/>
        <v>2.1445221445221374E-2</v>
      </c>
    </row>
    <row r="424" spans="1:15" ht="14.25" customHeight="1" x14ac:dyDescent="0.3">
      <c r="A424" s="2">
        <v>46092</v>
      </c>
      <c r="B424" t="s">
        <v>15</v>
      </c>
      <c r="C424" s="3">
        <v>1311.1</v>
      </c>
      <c r="D424" s="3">
        <v>1336</v>
      </c>
      <c r="E424" s="3">
        <v>1311.1</v>
      </c>
      <c r="F424" s="3">
        <v>1314.6</v>
      </c>
      <c r="G424" s="3">
        <v>1322.4</v>
      </c>
      <c r="H424" s="3">
        <v>1325.5</v>
      </c>
      <c r="I424" s="3">
        <v>1326.58</v>
      </c>
      <c r="J424" s="3">
        <v>1379.7</v>
      </c>
      <c r="K424" s="3">
        <v>1020</v>
      </c>
      <c r="L424" s="4">
        <v>2454389</v>
      </c>
      <c r="M424" s="3">
        <v>3255947181.5999999</v>
      </c>
      <c r="N424" s="4">
        <v>64963</v>
      </c>
      <c r="O424">
        <f t="shared" si="6"/>
        <v>8.291495511942866E-3</v>
      </c>
    </row>
    <row r="425" spans="1:15" ht="14.25" customHeight="1" x14ac:dyDescent="0.3">
      <c r="A425" s="2">
        <v>46093</v>
      </c>
      <c r="B425" t="s">
        <v>15</v>
      </c>
      <c r="C425" s="3">
        <v>1321</v>
      </c>
      <c r="D425" s="3">
        <v>1337.3</v>
      </c>
      <c r="E425" s="3">
        <v>1303.5999999999999</v>
      </c>
      <c r="F425" s="3">
        <v>1325.5</v>
      </c>
      <c r="G425" s="3">
        <v>1319</v>
      </c>
      <c r="H425" s="3">
        <v>1319</v>
      </c>
      <c r="I425" s="3">
        <v>1321.4</v>
      </c>
      <c r="J425" s="3">
        <v>1379.7</v>
      </c>
      <c r="K425" s="3">
        <v>1020</v>
      </c>
      <c r="L425" s="4">
        <v>1969692</v>
      </c>
      <c r="M425" s="3">
        <v>2602743481.1999998</v>
      </c>
      <c r="N425" s="4">
        <v>94198</v>
      </c>
      <c r="O425">
        <f t="shared" si="6"/>
        <v>-4.9038098830629954E-3</v>
      </c>
    </row>
    <row r="426" spans="1:15" ht="14.25" customHeight="1" x14ac:dyDescent="0.3">
      <c r="A426" s="2">
        <v>46094</v>
      </c>
      <c r="B426" t="s">
        <v>15</v>
      </c>
      <c r="C426" s="3">
        <v>1310</v>
      </c>
      <c r="D426" s="3">
        <v>1319.9</v>
      </c>
      <c r="E426" s="3">
        <v>1280.9000000000001</v>
      </c>
      <c r="F426" s="3">
        <v>1319</v>
      </c>
      <c r="G426" s="3">
        <v>1290</v>
      </c>
      <c r="H426" s="3">
        <v>1292.3</v>
      </c>
      <c r="I426" s="3">
        <v>1296.6600000000001</v>
      </c>
      <c r="J426" s="3">
        <v>1379.7</v>
      </c>
      <c r="K426" s="3">
        <v>1020</v>
      </c>
      <c r="L426" s="4">
        <v>1574522</v>
      </c>
      <c r="M426" s="3">
        <v>2041612097.4000001</v>
      </c>
      <c r="N426" s="4">
        <v>86166</v>
      </c>
      <c r="O426">
        <f t="shared" si="6"/>
        <v>-2.0242608036391239E-2</v>
      </c>
    </row>
    <row r="427" spans="1:15" ht="14.25" customHeight="1" x14ac:dyDescent="0.3">
      <c r="A427" s="2">
        <v>46097</v>
      </c>
      <c r="B427" t="s">
        <v>15</v>
      </c>
      <c r="C427" s="3">
        <v>1292.0999999999999</v>
      </c>
      <c r="D427" s="3">
        <v>1297</v>
      </c>
      <c r="E427" s="3">
        <v>1264</v>
      </c>
      <c r="F427" s="3">
        <v>1292.3</v>
      </c>
      <c r="G427" s="3">
        <v>1273</v>
      </c>
      <c r="H427" s="3">
        <v>1276.9000000000001</v>
      </c>
      <c r="I427" s="3">
        <v>1277.74</v>
      </c>
      <c r="J427" s="3">
        <v>1379.7</v>
      </c>
      <c r="K427" s="3">
        <v>1020</v>
      </c>
      <c r="L427" s="4">
        <v>1294975</v>
      </c>
      <c r="M427" s="3">
        <v>1654638787</v>
      </c>
      <c r="N427" s="4">
        <v>60368</v>
      </c>
      <c r="O427">
        <f t="shared" si="6"/>
        <v>-1.1916737599628463E-2</v>
      </c>
    </row>
    <row r="428" spans="1:15" ht="14.25" customHeight="1" x14ac:dyDescent="0.3">
      <c r="A428" s="2">
        <v>46098</v>
      </c>
      <c r="B428" t="s">
        <v>15</v>
      </c>
      <c r="C428" s="3">
        <v>1279.9000000000001</v>
      </c>
      <c r="D428" s="3">
        <v>1291.4000000000001</v>
      </c>
      <c r="E428" s="3">
        <v>1265</v>
      </c>
      <c r="F428" s="3">
        <v>1276.9000000000001</v>
      </c>
      <c r="G428" s="3">
        <v>1281.9000000000001</v>
      </c>
      <c r="H428" s="3">
        <v>1283.8</v>
      </c>
      <c r="I428" s="3">
        <v>1280.17</v>
      </c>
      <c r="J428" s="3">
        <v>1379.7</v>
      </c>
      <c r="K428" s="3">
        <v>1020</v>
      </c>
      <c r="L428" s="4">
        <v>1003677</v>
      </c>
      <c r="M428" s="3">
        <v>1284880324.2</v>
      </c>
      <c r="N428" s="4">
        <v>57531</v>
      </c>
      <c r="O428">
        <f t="shared" si="6"/>
        <v>5.4037121152790846E-3</v>
      </c>
    </row>
    <row r="429" spans="1:15" ht="14.25" customHeight="1" x14ac:dyDescent="0.3">
      <c r="A429" s="2">
        <v>46099</v>
      </c>
      <c r="B429" t="s">
        <v>15</v>
      </c>
      <c r="C429" s="3">
        <v>1283.8</v>
      </c>
      <c r="D429" s="3">
        <v>1299.3</v>
      </c>
      <c r="E429" s="3">
        <v>1280.0999999999999</v>
      </c>
      <c r="F429" s="3">
        <v>1283.8</v>
      </c>
      <c r="G429" s="3">
        <v>1286.9000000000001</v>
      </c>
      <c r="H429" s="3">
        <v>1294.8</v>
      </c>
      <c r="I429" s="3">
        <v>1294.95</v>
      </c>
      <c r="J429" s="3">
        <v>1379.7</v>
      </c>
      <c r="K429" s="3">
        <v>1020</v>
      </c>
      <c r="L429" s="4">
        <v>849938</v>
      </c>
      <c r="M429" s="3">
        <v>1100624599.7</v>
      </c>
      <c r="N429" s="4">
        <v>60525</v>
      </c>
      <c r="O429">
        <f t="shared" si="6"/>
        <v>8.568312821311732E-3</v>
      </c>
    </row>
    <row r="430" spans="1:15" ht="14.25" customHeight="1" x14ac:dyDescent="0.3">
      <c r="A430" s="2">
        <v>46100</v>
      </c>
      <c r="B430" t="s">
        <v>15</v>
      </c>
      <c r="C430" s="3">
        <v>1278.7</v>
      </c>
      <c r="D430" s="3">
        <v>1286.4000000000001</v>
      </c>
      <c r="E430" s="3">
        <v>1266.7</v>
      </c>
      <c r="F430" s="3">
        <v>1294.8</v>
      </c>
      <c r="G430" s="3">
        <v>1280</v>
      </c>
      <c r="H430" s="3">
        <v>1274.5</v>
      </c>
      <c r="I430" s="3">
        <v>1274.43</v>
      </c>
      <c r="J430" s="3">
        <v>1379.7</v>
      </c>
      <c r="K430" s="3">
        <v>1020</v>
      </c>
      <c r="L430" s="4">
        <v>1035491</v>
      </c>
      <c r="M430" s="3">
        <v>1319665231.7</v>
      </c>
      <c r="N430" s="4">
        <v>54902</v>
      </c>
      <c r="O430">
        <f t="shared" si="6"/>
        <v>-1.5678097003398173E-2</v>
      </c>
    </row>
    <row r="431" spans="1:15" ht="14.25" customHeight="1" x14ac:dyDescent="0.3">
      <c r="A431" s="2">
        <v>46101</v>
      </c>
      <c r="B431" t="s">
        <v>15</v>
      </c>
      <c r="C431" s="3">
        <v>1289</v>
      </c>
      <c r="D431" s="3">
        <v>1307.5</v>
      </c>
      <c r="E431" s="3">
        <v>1288.2</v>
      </c>
      <c r="F431" s="3">
        <v>1274.5</v>
      </c>
      <c r="G431" s="3">
        <v>1296</v>
      </c>
      <c r="H431" s="3">
        <v>1298.9000000000001</v>
      </c>
      <c r="I431" s="3">
        <v>1298.9000000000001</v>
      </c>
      <c r="J431" s="3">
        <v>1379.7</v>
      </c>
      <c r="K431" s="3">
        <v>1020</v>
      </c>
      <c r="L431" s="4">
        <v>3359706</v>
      </c>
      <c r="M431" s="3">
        <v>4363927735</v>
      </c>
      <c r="N431" s="4">
        <v>71697</v>
      </c>
      <c r="O431">
        <f t="shared" si="6"/>
        <v>1.9144762652020472E-2</v>
      </c>
    </row>
    <row r="432" spans="1:15" ht="14.25" customHeight="1" x14ac:dyDescent="0.3">
      <c r="A432" s="2">
        <v>46104</v>
      </c>
      <c r="B432" t="s">
        <v>15</v>
      </c>
      <c r="C432" s="3">
        <v>1293</v>
      </c>
      <c r="D432" s="3">
        <v>1293</v>
      </c>
      <c r="E432" s="3">
        <v>1244.2</v>
      </c>
      <c r="F432" s="3">
        <v>1298.9000000000001</v>
      </c>
      <c r="G432" s="3">
        <v>1248.8</v>
      </c>
      <c r="H432" s="3">
        <v>1253.3</v>
      </c>
      <c r="I432" s="3">
        <v>1270.07</v>
      </c>
      <c r="J432" s="3">
        <v>1379.7</v>
      </c>
      <c r="K432" s="3">
        <v>1020</v>
      </c>
      <c r="L432" s="4">
        <v>2112613</v>
      </c>
      <c r="M432" s="3">
        <v>2683165089.0999999</v>
      </c>
      <c r="N432" s="4">
        <v>70019</v>
      </c>
      <c r="O432">
        <f t="shared" si="6"/>
        <v>-3.5106628685811173E-2</v>
      </c>
    </row>
    <row r="433" spans="1:15" ht="14.25" customHeight="1" x14ac:dyDescent="0.3">
      <c r="A433" s="2">
        <v>46105</v>
      </c>
      <c r="B433" t="s">
        <v>15</v>
      </c>
      <c r="C433" s="3">
        <v>1267.2</v>
      </c>
      <c r="D433" s="3">
        <v>1279.8</v>
      </c>
      <c r="E433" s="3">
        <v>1248.4000000000001</v>
      </c>
      <c r="F433" s="3">
        <v>1253.3</v>
      </c>
      <c r="G433" s="3">
        <v>1256.5999999999999</v>
      </c>
      <c r="H433" s="3">
        <v>1259.5999999999999</v>
      </c>
      <c r="I433" s="3">
        <v>1258.46</v>
      </c>
      <c r="J433" s="3">
        <v>1379.7</v>
      </c>
      <c r="K433" s="3">
        <v>1020</v>
      </c>
      <c r="L433" s="4">
        <v>3166135</v>
      </c>
      <c r="M433" s="3">
        <v>3984454665</v>
      </c>
      <c r="N433" s="4">
        <v>85477</v>
      </c>
      <c r="O433">
        <f t="shared" si="6"/>
        <v>5.0267294342934291E-3</v>
      </c>
    </row>
    <row r="434" spans="1:15" ht="14.25" customHeight="1" x14ac:dyDescent="0.3">
      <c r="A434" s="2">
        <v>46106</v>
      </c>
      <c r="B434" t="s">
        <v>15</v>
      </c>
      <c r="C434" s="3">
        <v>1268.9000000000001</v>
      </c>
      <c r="D434" s="3">
        <v>1309</v>
      </c>
      <c r="E434" s="3">
        <v>1260.0999999999999</v>
      </c>
      <c r="F434" s="3">
        <v>1259.5999999999999</v>
      </c>
      <c r="G434" s="3">
        <v>1307.9000000000001</v>
      </c>
      <c r="H434" s="3">
        <v>1300.7</v>
      </c>
      <c r="I434" s="3">
        <v>1295.3399999999999</v>
      </c>
      <c r="J434" s="3">
        <v>1379.7</v>
      </c>
      <c r="K434" s="3">
        <v>1020</v>
      </c>
      <c r="L434" s="4">
        <v>1577150</v>
      </c>
      <c r="M434" s="3">
        <v>2042948119.9000001</v>
      </c>
      <c r="N434" s="4">
        <v>74468</v>
      </c>
      <c r="O434">
        <f t="shared" si="6"/>
        <v>3.2629406160686041E-2</v>
      </c>
    </row>
    <row r="435" spans="1:15" ht="14.25" customHeight="1" x14ac:dyDescent="0.3">
      <c r="A435" s="2">
        <v>46108</v>
      </c>
      <c r="B435" t="s">
        <v>15</v>
      </c>
      <c r="C435" s="3">
        <v>1297</v>
      </c>
      <c r="D435" s="3">
        <v>1302.9000000000001</v>
      </c>
      <c r="E435" s="3">
        <v>1278.2</v>
      </c>
      <c r="F435" s="3">
        <v>1300.7</v>
      </c>
      <c r="G435" s="3">
        <v>1281.0999999999999</v>
      </c>
      <c r="H435" s="3">
        <v>1281.7</v>
      </c>
      <c r="I435" s="3">
        <v>1288.43</v>
      </c>
      <c r="J435" s="3">
        <v>1379.7</v>
      </c>
      <c r="K435" s="3">
        <v>1020</v>
      </c>
      <c r="L435" s="4">
        <v>2165113</v>
      </c>
      <c r="M435" s="3">
        <v>2789594698.4000001</v>
      </c>
      <c r="N435" s="4">
        <v>87336</v>
      </c>
      <c r="O435">
        <f t="shared" si="6"/>
        <v>-1.4607519028215575E-2</v>
      </c>
    </row>
    <row r="436" spans="1:15" ht="14.25" customHeight="1" x14ac:dyDescent="0.3">
      <c r="A436" s="2">
        <v>46111</v>
      </c>
      <c r="B436" t="s">
        <v>15</v>
      </c>
      <c r="C436" s="3">
        <v>1265</v>
      </c>
      <c r="D436" s="3">
        <v>1276.2</v>
      </c>
      <c r="E436" s="3">
        <v>1251.0999999999999</v>
      </c>
      <c r="F436" s="3">
        <v>1281.7</v>
      </c>
      <c r="G436" s="3">
        <v>1252</v>
      </c>
      <c r="H436" s="3">
        <v>1254.9000000000001</v>
      </c>
      <c r="I436" s="3">
        <v>1258.08</v>
      </c>
      <c r="J436" s="3">
        <v>1379.7</v>
      </c>
      <c r="K436" s="3">
        <v>1020</v>
      </c>
      <c r="L436" s="4">
        <v>1991442</v>
      </c>
      <c r="M436" s="3">
        <v>2505393268</v>
      </c>
      <c r="N436" s="4">
        <v>52591</v>
      </c>
      <c r="O436">
        <f t="shared" si="6"/>
        <v>-2.0909729265818799E-2</v>
      </c>
    </row>
    <row r="437" spans="1:15" ht="14.25" customHeight="1" x14ac:dyDescent="0.3">
      <c r="A437" s="2">
        <v>46113</v>
      </c>
      <c r="B437" t="s">
        <v>15</v>
      </c>
      <c r="C437" s="3">
        <v>1280</v>
      </c>
      <c r="D437" s="3">
        <v>1284.8</v>
      </c>
      <c r="E437" s="3">
        <v>1206.0999999999999</v>
      </c>
      <c r="F437" s="3">
        <v>1254.9000000000001</v>
      </c>
      <c r="G437" s="3">
        <v>1207.5</v>
      </c>
      <c r="H437" s="3">
        <v>1209.5999999999999</v>
      </c>
      <c r="I437" s="3">
        <v>1231.79</v>
      </c>
      <c r="J437" s="3">
        <v>1379.7</v>
      </c>
      <c r="K437" s="3">
        <v>1020</v>
      </c>
      <c r="L437" s="4">
        <v>2240507</v>
      </c>
      <c r="M437" s="3">
        <v>2759845010.1999998</v>
      </c>
      <c r="N437" s="4">
        <v>90797</v>
      </c>
      <c r="O437">
        <f t="shared" si="6"/>
        <v>-3.6098493903896869E-2</v>
      </c>
    </row>
    <row r="438" spans="1:15" ht="14.25" customHeight="1" x14ac:dyDescent="0.3">
      <c r="A438" s="2">
        <v>46114</v>
      </c>
      <c r="B438" t="s">
        <v>15</v>
      </c>
      <c r="C438" s="3">
        <v>1187.5</v>
      </c>
      <c r="D438" s="3">
        <v>1222.5999999999999</v>
      </c>
      <c r="E438" s="3">
        <v>1167.5</v>
      </c>
      <c r="F438" s="3">
        <v>1209.5999999999999</v>
      </c>
      <c r="G438" s="3">
        <v>1214</v>
      </c>
      <c r="H438" s="3">
        <v>1217.3</v>
      </c>
      <c r="I438" s="3">
        <v>1207.6099999999999</v>
      </c>
      <c r="J438" s="3">
        <v>1379.7</v>
      </c>
      <c r="K438" s="3">
        <v>1020</v>
      </c>
      <c r="L438" s="4">
        <v>3560727</v>
      </c>
      <c r="M438" s="3">
        <v>4299985448.3999996</v>
      </c>
      <c r="N438" s="4">
        <v>90397</v>
      </c>
      <c r="O438">
        <f t="shared" si="6"/>
        <v>6.3657407407407786E-3</v>
      </c>
    </row>
    <row r="439" spans="1:15" ht="14.25" customHeight="1" x14ac:dyDescent="0.3">
      <c r="A439" s="2">
        <v>46118</v>
      </c>
      <c r="B439" t="s">
        <v>15</v>
      </c>
      <c r="C439" s="3">
        <v>1220.0999999999999</v>
      </c>
      <c r="D439" s="3">
        <v>1223.2</v>
      </c>
      <c r="E439" s="3">
        <v>1196.3</v>
      </c>
      <c r="F439" s="3">
        <v>1217.3</v>
      </c>
      <c r="G439" s="3">
        <v>1217</v>
      </c>
      <c r="H439" s="3">
        <v>1217.8</v>
      </c>
      <c r="I439" s="3">
        <v>1208.58</v>
      </c>
      <c r="J439" s="3">
        <v>1379.7</v>
      </c>
      <c r="K439" s="3">
        <v>1020</v>
      </c>
      <c r="L439" s="4">
        <v>1099471</v>
      </c>
      <c r="M439" s="3">
        <v>1328801084.2</v>
      </c>
      <c r="N439" s="4">
        <v>54298</v>
      </c>
      <c r="O439">
        <f t="shared" si="6"/>
        <v>4.1074509159615542E-4</v>
      </c>
    </row>
    <row r="440" spans="1:15" ht="14.25" customHeight="1" x14ac:dyDescent="0.3">
      <c r="A440" s="2">
        <v>46119</v>
      </c>
      <c r="B440" t="s">
        <v>15</v>
      </c>
      <c r="C440" s="3">
        <v>1208</v>
      </c>
      <c r="D440" s="3">
        <v>1211</v>
      </c>
      <c r="E440" s="3">
        <v>1179</v>
      </c>
      <c r="F440" s="3">
        <v>1217.8</v>
      </c>
      <c r="G440" s="3">
        <v>1198</v>
      </c>
      <c r="H440" s="3">
        <v>1196.0999999999999</v>
      </c>
      <c r="I440" s="3">
        <v>1191.5899999999999</v>
      </c>
      <c r="J440" s="3">
        <v>1379.7</v>
      </c>
      <c r="K440" s="3">
        <v>1020</v>
      </c>
      <c r="L440" s="4">
        <v>2330512</v>
      </c>
      <c r="M440" s="3">
        <v>2777009950.1999998</v>
      </c>
      <c r="N440" s="4">
        <v>100108</v>
      </c>
      <c r="O440">
        <f t="shared" si="6"/>
        <v>-1.781901790113323E-2</v>
      </c>
    </row>
    <row r="441" spans="1:15" ht="14.25" customHeight="1" x14ac:dyDescent="0.3">
      <c r="A441" s="2">
        <v>46120</v>
      </c>
      <c r="B441" t="s">
        <v>15</v>
      </c>
      <c r="C441" s="3">
        <v>1210</v>
      </c>
      <c r="D441" s="3">
        <v>1219.9000000000001</v>
      </c>
      <c r="E441" s="3">
        <v>1185.4000000000001</v>
      </c>
      <c r="F441" s="3">
        <v>1196.0999999999999</v>
      </c>
      <c r="G441" s="3">
        <v>1193</v>
      </c>
      <c r="H441" s="3">
        <v>1191.4000000000001</v>
      </c>
      <c r="I441" s="3">
        <v>1193.3699999999999</v>
      </c>
      <c r="J441" s="3">
        <v>1379.7</v>
      </c>
      <c r="K441" s="3">
        <v>1020</v>
      </c>
      <c r="L441" s="4">
        <v>2063229</v>
      </c>
      <c r="M441" s="3">
        <v>2462199834.1999998</v>
      </c>
      <c r="N441" s="4">
        <v>76501</v>
      </c>
      <c r="O441">
        <f t="shared" si="6"/>
        <v>-3.9294373380150648E-3</v>
      </c>
    </row>
    <row r="442" spans="1:15" ht="14.25" customHeight="1" x14ac:dyDescent="0.3">
      <c r="A442" s="2">
        <v>46121</v>
      </c>
      <c r="B442" t="s">
        <v>15</v>
      </c>
      <c r="C442" s="3">
        <v>1189</v>
      </c>
      <c r="D442" s="3">
        <v>1214.7</v>
      </c>
      <c r="E442" s="3">
        <v>1189</v>
      </c>
      <c r="F442" s="3">
        <v>1191.4000000000001</v>
      </c>
      <c r="G442" s="3">
        <v>1210</v>
      </c>
      <c r="H442" s="3">
        <v>1211.9000000000001</v>
      </c>
      <c r="I442" s="3">
        <v>1207.81</v>
      </c>
      <c r="J442" s="3">
        <v>1379.7</v>
      </c>
      <c r="K442" s="3">
        <v>1020</v>
      </c>
      <c r="L442" s="4">
        <v>2746602</v>
      </c>
      <c r="M442" s="3">
        <v>3317374640.5</v>
      </c>
      <c r="N442" s="4">
        <v>84154</v>
      </c>
      <c r="O442">
        <f t="shared" si="6"/>
        <v>1.7206647641430248E-2</v>
      </c>
    </row>
    <row r="443" spans="1:15" ht="14.25" customHeight="1" x14ac:dyDescent="0.3">
      <c r="A443" s="2">
        <v>46122</v>
      </c>
      <c r="B443" t="s">
        <v>15</v>
      </c>
      <c r="C443" s="3">
        <v>1212.8</v>
      </c>
      <c r="D443" s="3">
        <v>1236.8</v>
      </c>
      <c r="E443" s="3">
        <v>1208.8</v>
      </c>
      <c r="F443" s="3">
        <v>1211.9000000000001</v>
      </c>
      <c r="G443" s="3">
        <v>1229.7</v>
      </c>
      <c r="H443" s="3">
        <v>1232.2</v>
      </c>
      <c r="I443" s="3">
        <v>1227.8</v>
      </c>
      <c r="J443" s="3">
        <v>1379.7</v>
      </c>
      <c r="K443" s="3">
        <v>1020</v>
      </c>
      <c r="L443" s="4">
        <v>1931448</v>
      </c>
      <c r="M443" s="3">
        <v>2371424490</v>
      </c>
      <c r="N443" s="4">
        <v>72850</v>
      </c>
      <c r="O443">
        <f t="shared" si="6"/>
        <v>1.67505569766482E-2</v>
      </c>
    </row>
    <row r="444" spans="1:15" ht="14.25" customHeight="1" x14ac:dyDescent="0.3">
      <c r="A444" s="2">
        <v>46125</v>
      </c>
      <c r="B444" t="s">
        <v>15</v>
      </c>
      <c r="C444" s="3">
        <v>1218</v>
      </c>
      <c r="D444" s="3">
        <v>1239.0999999999999</v>
      </c>
      <c r="E444" s="3">
        <v>1204</v>
      </c>
      <c r="F444" s="3">
        <v>1232.2</v>
      </c>
      <c r="G444" s="3">
        <v>1234.3</v>
      </c>
      <c r="H444" s="3">
        <v>1235.9000000000001</v>
      </c>
      <c r="I444" s="3">
        <v>1226.8699999999999</v>
      </c>
      <c r="J444" s="3">
        <v>1379.7</v>
      </c>
      <c r="K444" s="3">
        <v>1129</v>
      </c>
      <c r="L444" s="4">
        <v>1463269</v>
      </c>
      <c r="M444" s="3">
        <v>1795241664.9000001</v>
      </c>
      <c r="N444" s="4">
        <v>49290</v>
      </c>
      <c r="O444">
        <f t="shared" si="6"/>
        <v>3.0027592923227119E-3</v>
      </c>
    </row>
    <row r="445" spans="1:15" ht="14.25" customHeight="1" x14ac:dyDescent="0.3">
      <c r="A445" s="2">
        <v>46127</v>
      </c>
      <c r="B445" t="s">
        <v>15</v>
      </c>
      <c r="C445" s="3">
        <v>1220</v>
      </c>
      <c r="D445" s="3">
        <v>1222</v>
      </c>
      <c r="E445" s="3">
        <v>1195.4000000000001</v>
      </c>
      <c r="F445" s="3">
        <v>1235.9000000000001</v>
      </c>
      <c r="G445" s="3">
        <v>1220.7</v>
      </c>
      <c r="H445" s="3">
        <v>1217.8</v>
      </c>
      <c r="I445" s="3">
        <v>1213.25</v>
      </c>
      <c r="J445" s="3">
        <v>1379.7</v>
      </c>
      <c r="K445" s="3">
        <v>1129</v>
      </c>
      <c r="L445" s="4">
        <v>4693413</v>
      </c>
      <c r="M445" s="3">
        <v>5694304481.5</v>
      </c>
      <c r="N445" s="4">
        <v>108061</v>
      </c>
      <c r="O445">
        <f t="shared" si="6"/>
        <v>-1.4645197831539877E-2</v>
      </c>
    </row>
    <row r="446" spans="1:15" ht="14.25" customHeight="1" x14ac:dyDescent="0.3">
      <c r="A446" s="2">
        <v>46128</v>
      </c>
      <c r="B446" t="s">
        <v>15</v>
      </c>
      <c r="C446" s="3">
        <v>1222</v>
      </c>
      <c r="D446" s="3">
        <v>1227.5999999999999</v>
      </c>
      <c r="E446" s="3">
        <v>1214.0999999999999</v>
      </c>
      <c r="F446" s="3">
        <v>1217.8</v>
      </c>
      <c r="G446" s="3">
        <v>1221.5</v>
      </c>
      <c r="H446" s="3">
        <v>1221.4000000000001</v>
      </c>
      <c r="I446" s="3">
        <v>1221.5899999999999</v>
      </c>
      <c r="J446" s="3">
        <v>1379.7</v>
      </c>
      <c r="K446" s="3">
        <v>1129</v>
      </c>
      <c r="L446" s="4">
        <v>2014236</v>
      </c>
      <c r="M446" s="3">
        <v>2460572528.1999998</v>
      </c>
      <c r="N446" s="4">
        <v>56460</v>
      </c>
      <c r="O446">
        <f t="shared" si="6"/>
        <v>2.9561504352111486E-3</v>
      </c>
    </row>
    <row r="447" spans="1:15" ht="14.25" customHeight="1" x14ac:dyDescent="0.3">
      <c r="A447" s="2">
        <v>46129</v>
      </c>
      <c r="B447" t="s">
        <v>15</v>
      </c>
      <c r="C447" s="3">
        <v>1215.2</v>
      </c>
      <c r="D447" s="3">
        <v>1242</v>
      </c>
      <c r="E447" s="3">
        <v>1212.4000000000001</v>
      </c>
      <c r="F447" s="3">
        <v>1221.4000000000001</v>
      </c>
      <c r="G447" s="3">
        <v>1238</v>
      </c>
      <c r="H447" s="3">
        <v>1235.7</v>
      </c>
      <c r="I447" s="3">
        <v>1229.52</v>
      </c>
      <c r="J447" s="3">
        <v>1379.7</v>
      </c>
      <c r="K447" s="3">
        <v>1129</v>
      </c>
      <c r="L447" s="4">
        <v>2564061</v>
      </c>
      <c r="M447" s="3">
        <v>3152557696.5</v>
      </c>
      <c r="N447" s="4">
        <v>82530</v>
      </c>
      <c r="O447">
        <f t="shared" si="6"/>
        <v>1.1707876207630549E-2</v>
      </c>
    </row>
    <row r="448" spans="1:15" ht="14.25" customHeight="1" x14ac:dyDescent="0.3">
      <c r="A448" s="2">
        <v>46132</v>
      </c>
      <c r="B448" t="s">
        <v>15</v>
      </c>
      <c r="C448" s="3">
        <v>1235</v>
      </c>
      <c r="D448" s="3">
        <v>1243</v>
      </c>
      <c r="E448" s="3">
        <v>1223</v>
      </c>
      <c r="F448" s="3">
        <v>1235.7</v>
      </c>
      <c r="G448" s="3">
        <v>1230.9000000000001</v>
      </c>
      <c r="H448" s="3">
        <v>1232.5999999999999</v>
      </c>
      <c r="I448" s="3">
        <v>1235.5</v>
      </c>
      <c r="J448" s="3">
        <v>1379.7</v>
      </c>
      <c r="K448" s="3">
        <v>1129.4000000000001</v>
      </c>
      <c r="L448" s="4">
        <v>1605279</v>
      </c>
      <c r="M448" s="3">
        <v>1983327953.2</v>
      </c>
      <c r="N448" s="4">
        <v>56087</v>
      </c>
      <c r="O448">
        <f t="shared" si="6"/>
        <v>-2.5086995225379431E-3</v>
      </c>
    </row>
    <row r="449" spans="1:15" ht="14.25" customHeight="1" x14ac:dyDescent="0.3">
      <c r="A449" s="2">
        <v>46133</v>
      </c>
      <c r="B449" t="s">
        <v>15</v>
      </c>
      <c r="C449" s="3">
        <v>1232.5999999999999</v>
      </c>
      <c r="D449" s="3">
        <v>1234.9000000000001</v>
      </c>
      <c r="E449" s="3">
        <v>1218.4000000000001</v>
      </c>
      <c r="F449" s="3">
        <v>1232.5999999999999</v>
      </c>
      <c r="G449" s="3">
        <v>1220.9000000000001</v>
      </c>
      <c r="H449" s="3">
        <v>1220.5999999999999</v>
      </c>
      <c r="I449" s="3">
        <v>1222.1199999999999</v>
      </c>
      <c r="J449" s="3">
        <v>1379.7</v>
      </c>
      <c r="K449" s="3">
        <v>1129.4000000000001</v>
      </c>
      <c r="L449" s="4">
        <v>1230733</v>
      </c>
      <c r="M449" s="3">
        <v>1504097285</v>
      </c>
      <c r="N449" s="4">
        <v>35906</v>
      </c>
      <c r="O449">
        <f t="shared" si="6"/>
        <v>-9.7355184163556725E-3</v>
      </c>
    </row>
    <row r="450" spans="1:15" ht="14.25" customHeight="1" x14ac:dyDescent="0.3">
      <c r="A450" s="2">
        <v>46134</v>
      </c>
      <c r="B450" t="s">
        <v>15</v>
      </c>
      <c r="C450" s="3">
        <v>1214.0999999999999</v>
      </c>
      <c r="D450" s="3">
        <v>1226</v>
      </c>
      <c r="E450" s="3">
        <v>1208.0999999999999</v>
      </c>
      <c r="F450" s="3">
        <v>1220.5999999999999</v>
      </c>
      <c r="G450" s="3">
        <v>1217.4000000000001</v>
      </c>
      <c r="H450" s="3">
        <v>1217</v>
      </c>
      <c r="I450" s="3">
        <v>1218.18</v>
      </c>
      <c r="J450" s="3">
        <v>1379.7</v>
      </c>
      <c r="K450" s="3">
        <v>1129.4000000000001</v>
      </c>
      <c r="L450" s="4">
        <v>1573272</v>
      </c>
      <c r="M450" s="3">
        <v>1916530788.3</v>
      </c>
      <c r="N450" s="4">
        <v>38558</v>
      </c>
      <c r="O450">
        <f t="shared" si="6"/>
        <v>-2.949369162706791E-3</v>
      </c>
    </row>
    <row r="451" spans="1:15" ht="14.25" customHeight="1" x14ac:dyDescent="0.3">
      <c r="A451" s="2">
        <v>46135</v>
      </c>
      <c r="B451" t="s">
        <v>15</v>
      </c>
      <c r="C451" s="3">
        <v>1230</v>
      </c>
      <c r="D451" s="3">
        <v>1357</v>
      </c>
      <c r="E451" s="3">
        <v>1217.5</v>
      </c>
      <c r="F451" s="3">
        <v>1217</v>
      </c>
      <c r="G451" s="3">
        <v>1325</v>
      </c>
      <c r="H451" s="3">
        <v>1331</v>
      </c>
      <c r="I451" s="3">
        <v>1314.74</v>
      </c>
      <c r="J451" s="3">
        <v>1379.7</v>
      </c>
      <c r="K451" s="3">
        <v>1129.4000000000001</v>
      </c>
      <c r="L451" s="4">
        <v>16407707</v>
      </c>
      <c r="M451" s="3">
        <v>21571929788.700001</v>
      </c>
      <c r="N451" s="4">
        <v>298119</v>
      </c>
      <c r="O451">
        <f t="shared" ref="O451:O496" si="7">(H451-H450)/H450</f>
        <v>9.3672966310599834E-2</v>
      </c>
    </row>
    <row r="452" spans="1:15" ht="14.25" customHeight="1" x14ac:dyDescent="0.3">
      <c r="A452" s="2">
        <v>46136</v>
      </c>
      <c r="B452" t="s">
        <v>15</v>
      </c>
      <c r="C452" s="3">
        <v>1293</v>
      </c>
      <c r="D452" s="3">
        <v>1348.8</v>
      </c>
      <c r="E452" s="3">
        <v>1293</v>
      </c>
      <c r="F452" s="3">
        <v>1331</v>
      </c>
      <c r="G452" s="3">
        <v>1313</v>
      </c>
      <c r="H452" s="3">
        <v>1317.1</v>
      </c>
      <c r="I452" s="3">
        <v>1320.37</v>
      </c>
      <c r="J452" s="3">
        <v>1379.7</v>
      </c>
      <c r="K452" s="3">
        <v>1129.4000000000001</v>
      </c>
      <c r="L452" s="4">
        <v>5638719</v>
      </c>
      <c r="M452" s="3">
        <v>7445174397.1999998</v>
      </c>
      <c r="N452" s="4">
        <v>143629</v>
      </c>
      <c r="O452">
        <f t="shared" si="7"/>
        <v>-1.0443275732531999E-2</v>
      </c>
    </row>
    <row r="453" spans="1:15" ht="14.25" customHeight="1" x14ac:dyDescent="0.3">
      <c r="A453" s="2">
        <v>46139</v>
      </c>
      <c r="B453" t="s">
        <v>15</v>
      </c>
      <c r="C453" s="3">
        <v>1320.4</v>
      </c>
      <c r="D453" s="3">
        <v>1350</v>
      </c>
      <c r="E453" s="3">
        <v>1309</v>
      </c>
      <c r="F453" s="3">
        <v>1317.1</v>
      </c>
      <c r="G453" s="3">
        <v>1335.5</v>
      </c>
      <c r="H453" s="3">
        <v>1334.5</v>
      </c>
      <c r="I453" s="3">
        <v>1333.12</v>
      </c>
      <c r="J453" s="3">
        <v>1379.7</v>
      </c>
      <c r="K453" s="3">
        <v>1129.4000000000001</v>
      </c>
      <c r="L453" s="4">
        <v>1940454</v>
      </c>
      <c r="M453" s="3">
        <v>2586861925.5</v>
      </c>
      <c r="N453" s="4">
        <v>83721</v>
      </c>
      <c r="O453">
        <f t="shared" si="7"/>
        <v>1.3210842001366709E-2</v>
      </c>
    </row>
    <row r="454" spans="1:15" ht="14.25" customHeight="1" x14ac:dyDescent="0.3">
      <c r="A454" s="2">
        <v>46140</v>
      </c>
      <c r="B454" t="s">
        <v>15</v>
      </c>
      <c r="C454" s="3">
        <v>1342.4</v>
      </c>
      <c r="D454" s="3">
        <v>1367.9</v>
      </c>
      <c r="E454" s="3">
        <v>1327.4</v>
      </c>
      <c r="F454" s="3">
        <v>1334.5</v>
      </c>
      <c r="G454" s="3">
        <v>1347.4</v>
      </c>
      <c r="H454" s="3">
        <v>1354.6</v>
      </c>
      <c r="I454" s="3">
        <v>1352.7</v>
      </c>
      <c r="J454" s="3">
        <v>1379.7</v>
      </c>
      <c r="K454" s="3">
        <v>1129.4000000000001</v>
      </c>
      <c r="L454" s="4">
        <v>2336352</v>
      </c>
      <c r="M454" s="3">
        <v>3160386399.5999999</v>
      </c>
      <c r="N454" s="4">
        <v>75983</v>
      </c>
      <c r="O454">
        <f t="shared" si="7"/>
        <v>1.5061820906706564E-2</v>
      </c>
    </row>
    <row r="455" spans="1:15" ht="14.25" customHeight="1" x14ac:dyDescent="0.3">
      <c r="A455" s="2">
        <v>46141</v>
      </c>
      <c r="B455" t="s">
        <v>15</v>
      </c>
      <c r="C455" s="3">
        <v>1367</v>
      </c>
      <c r="D455" s="3">
        <v>1375.9</v>
      </c>
      <c r="E455" s="3">
        <v>1321.5</v>
      </c>
      <c r="F455" s="3">
        <v>1354.6</v>
      </c>
      <c r="G455" s="3">
        <v>1327.7</v>
      </c>
      <c r="H455" s="3">
        <v>1329.8</v>
      </c>
      <c r="I455" s="3">
        <v>1344.65</v>
      </c>
      <c r="J455" s="3">
        <v>1379.7</v>
      </c>
      <c r="K455" s="3">
        <v>1129.4000000000001</v>
      </c>
      <c r="L455" s="4">
        <v>4545837</v>
      </c>
      <c r="M455" s="3">
        <v>6112569948.8999996</v>
      </c>
      <c r="N455" s="4">
        <v>112849</v>
      </c>
      <c r="O455">
        <f t="shared" si="7"/>
        <v>-1.830798759781482E-2</v>
      </c>
    </row>
    <row r="456" spans="1:15" ht="14.25" customHeight="1" x14ac:dyDescent="0.3">
      <c r="A456" s="2">
        <v>46142</v>
      </c>
      <c r="B456" t="s">
        <v>15</v>
      </c>
      <c r="C456" s="3">
        <v>1327</v>
      </c>
      <c r="D456" s="3">
        <v>1340.3</v>
      </c>
      <c r="E456" s="3">
        <v>1313.6</v>
      </c>
      <c r="F456" s="3">
        <v>1329.8</v>
      </c>
      <c r="G456" s="3">
        <v>1325</v>
      </c>
      <c r="H456" s="3">
        <v>1322.9</v>
      </c>
      <c r="I456" s="3">
        <v>1325.05</v>
      </c>
      <c r="J456" s="3">
        <v>1379.7</v>
      </c>
      <c r="K456" s="3">
        <v>1129.4000000000001</v>
      </c>
      <c r="L456" s="4">
        <v>1227007</v>
      </c>
      <c r="M456" s="3">
        <v>1625841692.0999999</v>
      </c>
      <c r="N456" s="4">
        <v>34614</v>
      </c>
      <c r="O456">
        <f t="shared" si="7"/>
        <v>-5.1887501879980926E-3</v>
      </c>
    </row>
    <row r="457" spans="1:15" ht="14.25" customHeight="1" x14ac:dyDescent="0.3">
      <c r="A457" s="2">
        <v>46146</v>
      </c>
      <c r="B457" t="s">
        <v>15</v>
      </c>
      <c r="C457" s="3">
        <v>1320</v>
      </c>
      <c r="D457" s="3">
        <v>1320</v>
      </c>
      <c r="E457" s="3">
        <v>1280.5999999999999</v>
      </c>
      <c r="F457" s="3">
        <v>1322.9</v>
      </c>
      <c r="G457" s="3">
        <v>1288.4000000000001</v>
      </c>
      <c r="H457" s="3">
        <v>1287.2</v>
      </c>
      <c r="I457" s="3">
        <v>1292.99</v>
      </c>
      <c r="J457" s="3">
        <v>1379.7</v>
      </c>
      <c r="K457" s="3">
        <v>1129.4000000000001</v>
      </c>
      <c r="L457" s="4">
        <v>2285506</v>
      </c>
      <c r="M457" s="3">
        <v>2955146932.0999999</v>
      </c>
      <c r="N457" s="4">
        <v>94306</v>
      </c>
      <c r="O457">
        <f t="shared" si="7"/>
        <v>-2.6986166754856787E-2</v>
      </c>
    </row>
    <row r="458" spans="1:15" ht="14.25" customHeight="1" x14ac:dyDescent="0.3">
      <c r="A458" s="2">
        <v>46147</v>
      </c>
      <c r="B458" t="s">
        <v>15</v>
      </c>
      <c r="C458" s="3">
        <v>1287.5999999999999</v>
      </c>
      <c r="D458" s="3">
        <v>1292.4000000000001</v>
      </c>
      <c r="E458" s="3">
        <v>1268.5</v>
      </c>
      <c r="F458" s="3">
        <v>1287.2</v>
      </c>
      <c r="G458" s="3">
        <v>1272.0999999999999</v>
      </c>
      <c r="H458" s="3">
        <v>1271.2</v>
      </c>
      <c r="I458" s="3">
        <v>1276.78</v>
      </c>
      <c r="J458" s="3">
        <v>1379.7</v>
      </c>
      <c r="K458" s="3">
        <v>1129.4000000000001</v>
      </c>
      <c r="L458" s="4">
        <v>986348</v>
      </c>
      <c r="M458" s="3">
        <v>1259353628.5999999</v>
      </c>
      <c r="N458" s="4">
        <v>51196</v>
      </c>
      <c r="O458">
        <f t="shared" si="7"/>
        <v>-1.243008079552517E-2</v>
      </c>
    </row>
    <row r="459" spans="1:15" ht="14.25" customHeight="1" x14ac:dyDescent="0.3">
      <c r="A459" s="2">
        <v>46148</v>
      </c>
      <c r="B459" t="s">
        <v>15</v>
      </c>
      <c r="C459" s="3">
        <v>1282</v>
      </c>
      <c r="D459" s="3">
        <v>1328.6</v>
      </c>
      <c r="E459" s="3">
        <v>1277.0999999999999</v>
      </c>
      <c r="F459" s="3">
        <v>1271.2</v>
      </c>
      <c r="G459" s="3">
        <v>1308</v>
      </c>
      <c r="H459" s="3">
        <v>1311</v>
      </c>
      <c r="I459" s="3">
        <v>1310.55</v>
      </c>
      <c r="J459" s="3">
        <v>1379.7</v>
      </c>
      <c r="K459" s="3">
        <v>1129.4000000000001</v>
      </c>
      <c r="L459" s="4">
        <v>3340410</v>
      </c>
      <c r="M459" s="3">
        <v>4377772654.3000002</v>
      </c>
      <c r="N459" s="4">
        <v>75908</v>
      </c>
      <c r="O459">
        <f t="shared" si="7"/>
        <v>3.1308999370673343E-2</v>
      </c>
    </row>
    <row r="460" spans="1:15" ht="14.25" customHeight="1" x14ac:dyDescent="0.3">
      <c r="A460" s="2">
        <v>46149</v>
      </c>
      <c r="B460" t="s">
        <v>15</v>
      </c>
      <c r="C460" s="3">
        <v>1309.0999999999999</v>
      </c>
      <c r="D460" s="3">
        <v>1315.7</v>
      </c>
      <c r="E460" s="3">
        <v>1297.3</v>
      </c>
      <c r="F460" s="3">
        <v>1311</v>
      </c>
      <c r="G460" s="3">
        <v>1306.5</v>
      </c>
      <c r="H460" s="3">
        <v>1307.5999999999999</v>
      </c>
      <c r="I460" s="3">
        <v>1307.6199999999999</v>
      </c>
      <c r="J460" s="3">
        <v>1379.7</v>
      </c>
      <c r="K460" s="3">
        <v>1129.4000000000001</v>
      </c>
      <c r="L460" s="4">
        <v>2530096</v>
      </c>
      <c r="M460" s="3">
        <v>3308399528.4000001</v>
      </c>
      <c r="N460" s="4">
        <v>64014</v>
      </c>
      <c r="O460">
        <f t="shared" si="7"/>
        <v>-2.5934401220443102E-3</v>
      </c>
    </row>
    <row r="461" spans="1:15" ht="14.25" customHeight="1" x14ac:dyDescent="0.3">
      <c r="A461" s="2">
        <v>46150</v>
      </c>
      <c r="B461" t="s">
        <v>15</v>
      </c>
      <c r="C461" s="3">
        <v>1303.5</v>
      </c>
      <c r="D461" s="3">
        <v>1310.2</v>
      </c>
      <c r="E461" s="3">
        <v>1290</v>
      </c>
      <c r="F461" s="3">
        <v>1307.5999999999999</v>
      </c>
      <c r="G461" s="3">
        <v>1295</v>
      </c>
      <c r="H461" s="3">
        <v>1293.9000000000001</v>
      </c>
      <c r="I461" s="3">
        <v>1297.71</v>
      </c>
      <c r="J461" s="3">
        <v>1379.7</v>
      </c>
      <c r="K461" s="3">
        <v>1129.4000000000001</v>
      </c>
      <c r="L461" s="4">
        <v>964903</v>
      </c>
      <c r="M461" s="3">
        <v>1252160641.8</v>
      </c>
      <c r="N461" s="4">
        <v>45836</v>
      </c>
      <c r="O461">
        <f t="shared" si="7"/>
        <v>-1.0477210156010873E-2</v>
      </c>
    </row>
    <row r="462" spans="1:15" ht="14.25" customHeight="1" x14ac:dyDescent="0.3">
      <c r="A462" s="2">
        <v>46153</v>
      </c>
      <c r="B462" t="s">
        <v>15</v>
      </c>
      <c r="C462" s="3">
        <v>1288</v>
      </c>
      <c r="D462" s="3">
        <v>1299.9000000000001</v>
      </c>
      <c r="E462" s="3">
        <v>1272.5</v>
      </c>
      <c r="F462" s="3">
        <v>1293.9000000000001</v>
      </c>
      <c r="G462" s="3">
        <v>1282</v>
      </c>
      <c r="H462" s="3">
        <v>1279.9000000000001</v>
      </c>
      <c r="I462" s="3">
        <v>1286.5999999999999</v>
      </c>
      <c r="J462" s="3">
        <v>1379.7</v>
      </c>
      <c r="K462" s="3">
        <v>1143.9000000000001</v>
      </c>
      <c r="L462" s="4">
        <v>1506740</v>
      </c>
      <c r="M462" s="3">
        <v>1938569118.3</v>
      </c>
      <c r="N462" s="4">
        <v>88734</v>
      </c>
      <c r="O462">
        <f t="shared" si="7"/>
        <v>-1.0820001545714506E-2</v>
      </c>
    </row>
    <row r="463" spans="1:15" ht="14.25" customHeight="1" x14ac:dyDescent="0.3">
      <c r="A463" s="2">
        <v>46154</v>
      </c>
      <c r="B463" t="s">
        <v>15</v>
      </c>
      <c r="C463" s="3">
        <v>1278.9000000000001</v>
      </c>
      <c r="D463" s="3">
        <v>1288.3</v>
      </c>
      <c r="E463" s="3">
        <v>1264.5</v>
      </c>
      <c r="F463" s="3">
        <v>1279.9000000000001</v>
      </c>
      <c r="G463" s="3">
        <v>1267.5</v>
      </c>
      <c r="H463" s="3">
        <v>1270</v>
      </c>
      <c r="I463" s="3">
        <v>1277.6500000000001</v>
      </c>
      <c r="J463" s="3">
        <v>1379.7</v>
      </c>
      <c r="K463" s="3">
        <v>1143.9000000000001</v>
      </c>
      <c r="L463" s="4">
        <v>1946195</v>
      </c>
      <c r="M463" s="3">
        <v>2486558295.9000001</v>
      </c>
      <c r="N463" s="4">
        <v>78949</v>
      </c>
      <c r="O463">
        <f t="shared" si="7"/>
        <v>-7.7349792952575123E-3</v>
      </c>
    </row>
    <row r="464" spans="1:15" ht="14.25" customHeight="1" x14ac:dyDescent="0.3">
      <c r="A464" s="2">
        <v>46155</v>
      </c>
      <c r="B464" t="s">
        <v>15</v>
      </c>
      <c r="C464" s="3">
        <v>1245.5999999999999</v>
      </c>
      <c r="D464" s="3">
        <v>1303.8</v>
      </c>
      <c r="E464" s="3">
        <v>1230</v>
      </c>
      <c r="F464" s="3">
        <v>1270</v>
      </c>
      <c r="G464" s="3">
        <v>1269.9000000000001</v>
      </c>
      <c r="H464" s="3">
        <v>1265.3</v>
      </c>
      <c r="I464" s="3">
        <v>1269.1500000000001</v>
      </c>
      <c r="J464" s="3">
        <v>1379.7</v>
      </c>
      <c r="K464" s="3">
        <v>1143.9000000000001</v>
      </c>
      <c r="L464" s="4">
        <v>9276074</v>
      </c>
      <c r="M464" s="3">
        <v>11772767039</v>
      </c>
      <c r="N464" s="4">
        <v>182488</v>
      </c>
      <c r="O464">
        <f t="shared" si="7"/>
        <v>-3.700787401574839E-3</v>
      </c>
    </row>
    <row r="465" spans="1:15" ht="14.25" customHeight="1" x14ac:dyDescent="0.3">
      <c r="A465" s="2">
        <v>46156</v>
      </c>
      <c r="B465" t="s">
        <v>15</v>
      </c>
      <c r="C465" s="3">
        <v>1265.3</v>
      </c>
      <c r="D465" s="3">
        <v>1307.7</v>
      </c>
      <c r="E465" s="3">
        <v>1255</v>
      </c>
      <c r="F465" s="3">
        <v>1265.3</v>
      </c>
      <c r="G465" s="3">
        <v>1301.2</v>
      </c>
      <c r="H465" s="3">
        <v>1303.5999999999999</v>
      </c>
      <c r="I465" s="3">
        <v>1291.06</v>
      </c>
      <c r="J465" s="3">
        <v>1379.7</v>
      </c>
      <c r="K465" s="3">
        <v>1143.9000000000001</v>
      </c>
      <c r="L465" s="4">
        <v>2362951</v>
      </c>
      <c r="M465" s="3">
        <v>3050721860.5999999</v>
      </c>
      <c r="N465" s="4">
        <v>85065</v>
      </c>
      <c r="O465">
        <f t="shared" si="7"/>
        <v>3.0269501304038535E-2</v>
      </c>
    </row>
    <row r="466" spans="1:15" ht="14.25" customHeight="1" x14ac:dyDescent="0.3">
      <c r="A466" s="2">
        <v>46157</v>
      </c>
      <c r="B466" t="s">
        <v>15</v>
      </c>
      <c r="C466" s="3">
        <v>1303.5999999999999</v>
      </c>
      <c r="D466" s="3">
        <v>1344.9</v>
      </c>
      <c r="E466" s="3">
        <v>1303.5999999999999</v>
      </c>
      <c r="F466" s="3">
        <v>1303.5999999999999</v>
      </c>
      <c r="G466" s="3">
        <v>1343.2</v>
      </c>
      <c r="H466" s="3">
        <v>1336.7</v>
      </c>
      <c r="I466" s="3">
        <v>1326.84</v>
      </c>
      <c r="J466" s="3">
        <v>1379.7</v>
      </c>
      <c r="K466" s="3">
        <v>1143.9000000000001</v>
      </c>
      <c r="L466" s="4">
        <v>3982549</v>
      </c>
      <c r="M466" s="3">
        <v>5284214498.6999998</v>
      </c>
      <c r="N466" s="4">
        <v>85881</v>
      </c>
      <c r="O466">
        <f t="shared" si="7"/>
        <v>2.5391224301933215E-2</v>
      </c>
    </row>
    <row r="467" spans="1:15" ht="14.25" customHeight="1" x14ac:dyDescent="0.3">
      <c r="A467" s="2">
        <v>46160</v>
      </c>
      <c r="B467" t="s">
        <v>15</v>
      </c>
      <c r="C467" s="3">
        <v>1336.5</v>
      </c>
      <c r="D467" s="3">
        <v>1341.9</v>
      </c>
      <c r="E467" s="3">
        <v>1322</v>
      </c>
      <c r="F467" s="3">
        <v>1336.7</v>
      </c>
      <c r="G467" s="3">
        <v>1330.5</v>
      </c>
      <c r="H467" s="3">
        <v>1331.2</v>
      </c>
      <c r="I467" s="3">
        <v>1331.38</v>
      </c>
      <c r="J467" s="3">
        <v>1379.7</v>
      </c>
      <c r="K467" s="3">
        <v>1148.4000000000001</v>
      </c>
      <c r="L467" s="4">
        <v>1926791</v>
      </c>
      <c r="M467" s="3">
        <v>2565286253.5</v>
      </c>
      <c r="N467" s="4">
        <v>75892</v>
      </c>
      <c r="O467">
        <f t="shared" si="7"/>
        <v>-4.1146106082142588E-3</v>
      </c>
    </row>
    <row r="468" spans="1:15" ht="14.25" customHeight="1" x14ac:dyDescent="0.3">
      <c r="A468" s="2">
        <v>46161</v>
      </c>
      <c r="B468" t="s">
        <v>15</v>
      </c>
      <c r="C468" s="3">
        <v>1332</v>
      </c>
      <c r="D468" s="3">
        <v>1345</v>
      </c>
      <c r="E468" s="3">
        <v>1318.9</v>
      </c>
      <c r="F468" s="3">
        <v>1331.2</v>
      </c>
      <c r="G468" s="3">
        <v>1334</v>
      </c>
      <c r="H468" s="3">
        <v>1335.2</v>
      </c>
      <c r="I468" s="3">
        <v>1332.06</v>
      </c>
      <c r="J468" s="3">
        <v>1379.7</v>
      </c>
      <c r="K468" s="3">
        <v>1148.4000000000001</v>
      </c>
      <c r="L468" s="4">
        <v>2488019</v>
      </c>
      <c r="M468" s="3">
        <v>3314188733.9000001</v>
      </c>
      <c r="N468" s="4">
        <v>52160</v>
      </c>
      <c r="O468">
        <f t="shared" si="7"/>
        <v>3.004807692307692E-3</v>
      </c>
    </row>
    <row r="469" spans="1:15" ht="14.25" customHeight="1" x14ac:dyDescent="0.3">
      <c r="A469" s="2">
        <v>46162</v>
      </c>
      <c r="B469" t="s">
        <v>15</v>
      </c>
      <c r="C469" s="3">
        <v>1323.6</v>
      </c>
      <c r="D469" s="3">
        <v>1336</v>
      </c>
      <c r="E469" s="3">
        <v>1319.6</v>
      </c>
      <c r="F469" s="3">
        <v>1335.2</v>
      </c>
      <c r="G469" s="3">
        <v>1320.9</v>
      </c>
      <c r="H469" s="3">
        <v>1321.9</v>
      </c>
      <c r="I469" s="3">
        <v>1327.19</v>
      </c>
      <c r="J469" s="3">
        <v>1379.7</v>
      </c>
      <c r="K469" s="3">
        <v>1148.4000000000001</v>
      </c>
      <c r="L469" s="4">
        <v>1277182</v>
      </c>
      <c r="M469" s="3">
        <v>1695067290.3</v>
      </c>
      <c r="N469" s="4">
        <v>51554</v>
      </c>
      <c r="O469">
        <f t="shared" si="7"/>
        <v>-9.9610545236668326E-3</v>
      </c>
    </row>
    <row r="470" spans="1:15" ht="14.25" customHeight="1" x14ac:dyDescent="0.3">
      <c r="A470" s="2">
        <v>46163</v>
      </c>
      <c r="B470" t="s">
        <v>15</v>
      </c>
      <c r="C470" s="3">
        <v>1325</v>
      </c>
      <c r="D470" s="3">
        <v>1331.6</v>
      </c>
      <c r="E470" s="3">
        <v>1314.2</v>
      </c>
      <c r="F470" s="3">
        <v>1321.9</v>
      </c>
      <c r="G470" s="3">
        <v>1320</v>
      </c>
      <c r="H470" s="3">
        <v>1318.5</v>
      </c>
      <c r="I470" s="3">
        <v>1323.47</v>
      </c>
      <c r="J470" s="3">
        <v>1379.7</v>
      </c>
      <c r="K470" s="3">
        <v>1148.4000000000001</v>
      </c>
      <c r="L470" s="4">
        <v>2183121</v>
      </c>
      <c r="M470" s="3">
        <v>2889289862.3000002</v>
      </c>
      <c r="N470" s="4">
        <v>42779</v>
      </c>
      <c r="O470">
        <f t="shared" si="7"/>
        <v>-2.5720553748393151E-3</v>
      </c>
    </row>
    <row r="471" spans="1:15" ht="14.25" customHeight="1" x14ac:dyDescent="0.3">
      <c r="A471" s="2">
        <v>46164</v>
      </c>
      <c r="B471" t="s">
        <v>15</v>
      </c>
      <c r="C471" s="3">
        <v>1319</v>
      </c>
      <c r="D471" s="3">
        <v>1329.6</v>
      </c>
      <c r="E471" s="3">
        <v>1305.0999999999999</v>
      </c>
      <c r="F471" s="3">
        <v>1318.5</v>
      </c>
      <c r="G471" s="3">
        <v>1310</v>
      </c>
      <c r="H471" s="3">
        <v>1307.2</v>
      </c>
      <c r="I471" s="3">
        <v>1311.97</v>
      </c>
      <c r="J471" s="3">
        <v>1379.7</v>
      </c>
      <c r="K471" s="3">
        <v>1148.4000000000001</v>
      </c>
      <c r="L471" s="4">
        <v>2002451</v>
      </c>
      <c r="M471" s="3">
        <v>2627152849.9000001</v>
      </c>
      <c r="N471" s="4">
        <v>40657</v>
      </c>
      <c r="O471">
        <f t="shared" si="7"/>
        <v>-8.5703450891163862E-3</v>
      </c>
    </row>
    <row r="472" spans="1:15" ht="14.25" customHeight="1" x14ac:dyDescent="0.3">
      <c r="A472" s="2">
        <v>46167</v>
      </c>
      <c r="B472" t="s">
        <v>15</v>
      </c>
      <c r="C472" s="3">
        <v>1320</v>
      </c>
      <c r="D472" s="3">
        <v>1340.5</v>
      </c>
      <c r="E472" s="3">
        <v>1298.7</v>
      </c>
      <c r="F472" s="3">
        <v>1307.2</v>
      </c>
      <c r="G472" s="3">
        <v>1333</v>
      </c>
      <c r="H472" s="3">
        <v>1331.4</v>
      </c>
      <c r="I472" s="3">
        <v>1324.12</v>
      </c>
      <c r="J472" s="3">
        <v>1379.7</v>
      </c>
      <c r="K472" s="3">
        <v>1148.4000000000001</v>
      </c>
      <c r="L472" s="4">
        <v>4659781</v>
      </c>
      <c r="M472" s="3">
        <v>6170099293</v>
      </c>
      <c r="N472" s="4">
        <v>39210</v>
      </c>
      <c r="O472">
        <f t="shared" si="7"/>
        <v>1.8512851897184858E-2</v>
      </c>
    </row>
    <row r="473" spans="1:15" ht="14.25" customHeight="1" x14ac:dyDescent="0.3">
      <c r="A473" s="2">
        <v>46168</v>
      </c>
      <c r="B473" t="s">
        <v>15</v>
      </c>
      <c r="C473" s="3">
        <v>1333</v>
      </c>
      <c r="D473" s="3">
        <v>1341</v>
      </c>
      <c r="E473" s="3">
        <v>1321.6</v>
      </c>
      <c r="F473" s="3">
        <v>1331.4</v>
      </c>
      <c r="G473" s="3">
        <v>1329.6</v>
      </c>
      <c r="H473" s="3">
        <v>1327.9</v>
      </c>
      <c r="I473" s="3">
        <v>1332.87</v>
      </c>
      <c r="J473" s="3">
        <v>1379.7</v>
      </c>
      <c r="K473" s="3">
        <v>1148.4000000000001</v>
      </c>
      <c r="L473" s="4">
        <v>1909354</v>
      </c>
      <c r="M473" s="3">
        <v>2544927628.3000002</v>
      </c>
      <c r="N473" s="4">
        <v>40304</v>
      </c>
      <c r="O473">
        <f t="shared" si="7"/>
        <v>-2.628811777076761E-3</v>
      </c>
    </row>
    <row r="474" spans="1:15" ht="14.25" customHeight="1" x14ac:dyDescent="0.3">
      <c r="A474" s="2">
        <v>46169</v>
      </c>
      <c r="B474" t="s">
        <v>15</v>
      </c>
      <c r="C474" s="3">
        <v>1329.6</v>
      </c>
      <c r="D474" s="3">
        <v>1346.8</v>
      </c>
      <c r="E474" s="3">
        <v>1316.7</v>
      </c>
      <c r="F474" s="3">
        <v>1327.9</v>
      </c>
      <c r="G474" s="3">
        <v>1320</v>
      </c>
      <c r="H474" s="3">
        <v>1319</v>
      </c>
      <c r="I474" s="3">
        <v>1326.38</v>
      </c>
      <c r="J474" s="3">
        <v>1379.7</v>
      </c>
      <c r="K474" s="3">
        <v>1148.4000000000001</v>
      </c>
      <c r="L474" s="4">
        <v>959327</v>
      </c>
      <c r="M474" s="3">
        <v>1272428585</v>
      </c>
      <c r="N474" s="4">
        <v>33399</v>
      </c>
      <c r="O474">
        <f t="shared" si="7"/>
        <v>-6.7023119210784625E-3</v>
      </c>
    </row>
    <row r="475" spans="1:15" ht="14.25" customHeight="1" x14ac:dyDescent="0.3">
      <c r="A475" s="2">
        <v>46171</v>
      </c>
      <c r="B475" t="s">
        <v>15</v>
      </c>
      <c r="C475" s="3">
        <v>1318.8</v>
      </c>
      <c r="D475" s="3">
        <v>1328.6</v>
      </c>
      <c r="E475" s="3">
        <v>1297.5</v>
      </c>
      <c r="F475" s="3">
        <v>1319</v>
      </c>
      <c r="G475" s="3">
        <v>1320</v>
      </c>
      <c r="H475" s="3">
        <v>1303.5</v>
      </c>
      <c r="I475" s="3">
        <v>1305.08</v>
      </c>
      <c r="J475" s="3">
        <v>1379.7</v>
      </c>
      <c r="K475" s="3">
        <v>1148.4000000000001</v>
      </c>
      <c r="L475" s="4">
        <v>5424483</v>
      </c>
      <c r="M475" s="3">
        <v>7079395557.6999998</v>
      </c>
      <c r="N475" s="4">
        <v>77145</v>
      </c>
      <c r="O475">
        <f t="shared" si="7"/>
        <v>-1.1751326762699014E-2</v>
      </c>
    </row>
    <row r="476" spans="1:15" ht="14.25" customHeight="1" x14ac:dyDescent="0.3">
      <c r="A476" s="2">
        <v>46174</v>
      </c>
      <c r="B476" t="s">
        <v>15</v>
      </c>
      <c r="C476" s="3">
        <v>1310.0999999999999</v>
      </c>
      <c r="D476" s="3">
        <v>1319.6</v>
      </c>
      <c r="E476" s="3">
        <v>1284.8</v>
      </c>
      <c r="F476" s="3">
        <v>1303.5</v>
      </c>
      <c r="G476" s="3">
        <v>1286.5</v>
      </c>
      <c r="H476" s="3">
        <v>1290.4000000000001</v>
      </c>
      <c r="I476" s="3">
        <v>1293.08</v>
      </c>
      <c r="J476" s="3">
        <v>1379.7</v>
      </c>
      <c r="K476" s="3">
        <v>1148.4000000000001</v>
      </c>
      <c r="L476" s="4">
        <v>1379034</v>
      </c>
      <c r="M476" s="3">
        <v>1783206084.4000001</v>
      </c>
      <c r="N476" s="4">
        <v>47503</v>
      </c>
      <c r="O476">
        <f t="shared" si="7"/>
        <v>-1.0049865746068209E-2</v>
      </c>
    </row>
    <row r="477" spans="1:15" ht="14.25" customHeight="1" x14ac:dyDescent="0.3">
      <c r="A477" s="2">
        <v>46175</v>
      </c>
      <c r="B477" t="s">
        <v>15</v>
      </c>
      <c r="C477" s="3">
        <v>1280.2</v>
      </c>
      <c r="D477" s="3">
        <v>1284.7</v>
      </c>
      <c r="E477" s="3">
        <v>1264.0999999999999</v>
      </c>
      <c r="F477" s="3">
        <v>1290.4000000000001</v>
      </c>
      <c r="G477" s="3">
        <v>1277</v>
      </c>
      <c r="H477" s="3">
        <v>1274</v>
      </c>
      <c r="I477" s="3">
        <v>1272.83</v>
      </c>
      <c r="J477" s="3">
        <v>1379.7</v>
      </c>
      <c r="K477" s="3">
        <v>1148.4000000000001</v>
      </c>
      <c r="L477" s="4">
        <v>2021793</v>
      </c>
      <c r="M477" s="3">
        <v>2573399173</v>
      </c>
      <c r="N477" s="4">
        <v>67544</v>
      </c>
      <c r="O477">
        <f t="shared" si="7"/>
        <v>-1.2709237445753325E-2</v>
      </c>
    </row>
    <row r="478" spans="1:15" ht="14.25" customHeight="1" x14ac:dyDescent="0.3">
      <c r="A478" s="2">
        <v>46176</v>
      </c>
      <c r="B478" t="s">
        <v>15</v>
      </c>
      <c r="C478" s="3">
        <v>1269.5</v>
      </c>
      <c r="D478" s="3">
        <v>1275.2</v>
      </c>
      <c r="E478" s="3">
        <v>1256.9000000000001</v>
      </c>
      <c r="F478" s="3">
        <v>1274</v>
      </c>
      <c r="G478" s="3">
        <v>1261.9000000000001</v>
      </c>
      <c r="H478" s="3">
        <v>1263.3</v>
      </c>
      <c r="I478" s="3">
        <v>1264.55</v>
      </c>
      <c r="J478" s="3">
        <v>1379.7</v>
      </c>
      <c r="K478" s="3">
        <v>1148.4000000000001</v>
      </c>
      <c r="L478" s="4">
        <v>1226407</v>
      </c>
      <c r="M478" s="3">
        <v>1550849660.3</v>
      </c>
      <c r="N478" s="4">
        <v>46744</v>
      </c>
      <c r="O478">
        <f t="shared" si="7"/>
        <v>-8.3987441130298629E-3</v>
      </c>
    </row>
    <row r="479" spans="1:15" ht="14.25" customHeight="1" x14ac:dyDescent="0.3">
      <c r="A479" s="2">
        <v>46177</v>
      </c>
      <c r="B479" t="s">
        <v>15</v>
      </c>
      <c r="C479" s="3">
        <v>1257.3</v>
      </c>
      <c r="D479" s="3">
        <v>1274.9000000000001</v>
      </c>
      <c r="E479" s="3">
        <v>1248.4000000000001</v>
      </c>
      <c r="F479" s="3">
        <v>1263.3</v>
      </c>
      <c r="G479" s="3">
        <v>1268.7</v>
      </c>
      <c r="H479" s="3">
        <v>1267.5</v>
      </c>
      <c r="I479" s="3">
        <v>1265.1099999999999</v>
      </c>
      <c r="J479" s="3">
        <v>1379.7</v>
      </c>
      <c r="K479" s="3">
        <v>1148.4000000000001</v>
      </c>
      <c r="L479" s="4">
        <v>944045</v>
      </c>
      <c r="M479" s="3">
        <v>1194320700.9000001</v>
      </c>
      <c r="N479" s="4">
        <v>32138</v>
      </c>
      <c r="O479">
        <f t="shared" si="7"/>
        <v>3.3246259795773336E-3</v>
      </c>
    </row>
    <row r="480" spans="1:15" ht="14.25" customHeight="1" x14ac:dyDescent="0.3">
      <c r="A480" s="2">
        <v>46178</v>
      </c>
      <c r="B480" t="s">
        <v>15</v>
      </c>
      <c r="C480" s="3">
        <v>1273</v>
      </c>
      <c r="D480" s="3">
        <v>1289.4000000000001</v>
      </c>
      <c r="E480" s="3">
        <v>1268.5</v>
      </c>
      <c r="F480" s="3">
        <v>1267.5</v>
      </c>
      <c r="G480" s="3">
        <v>1283</v>
      </c>
      <c r="H480" s="3">
        <v>1278.2</v>
      </c>
      <c r="I480" s="3">
        <v>1279.6400000000001</v>
      </c>
      <c r="J480" s="3">
        <v>1379.7</v>
      </c>
      <c r="K480" s="3">
        <v>1148.4000000000001</v>
      </c>
      <c r="L480" s="4">
        <v>774687</v>
      </c>
      <c r="M480" s="3">
        <v>991323808.20000005</v>
      </c>
      <c r="N480" s="4">
        <v>37715</v>
      </c>
      <c r="O480">
        <f t="shared" si="7"/>
        <v>8.4418145956607852E-3</v>
      </c>
    </row>
    <row r="481" spans="1:15" ht="14.25" customHeight="1" x14ac:dyDescent="0.3">
      <c r="A481" s="2">
        <v>46181</v>
      </c>
      <c r="B481" t="s">
        <v>15</v>
      </c>
      <c r="C481" s="3">
        <v>1270</v>
      </c>
      <c r="D481" s="3">
        <v>1293.7</v>
      </c>
      <c r="E481" s="3">
        <v>1270</v>
      </c>
      <c r="F481" s="3">
        <v>1278.2</v>
      </c>
      <c r="G481" s="3">
        <v>1275</v>
      </c>
      <c r="H481" s="3">
        <v>1275.5999999999999</v>
      </c>
      <c r="I481" s="3">
        <v>1284.4000000000001</v>
      </c>
      <c r="J481" s="3">
        <v>1379.7</v>
      </c>
      <c r="K481" s="3">
        <v>1148.4000000000001</v>
      </c>
      <c r="L481" s="4">
        <v>862999</v>
      </c>
      <c r="M481" s="3">
        <v>1108432304.8</v>
      </c>
      <c r="N481" s="4">
        <v>42434</v>
      </c>
      <c r="O481">
        <f t="shared" si="7"/>
        <v>-2.0341104678455141E-3</v>
      </c>
    </row>
    <row r="482" spans="1:15" ht="14.25" customHeight="1" x14ac:dyDescent="0.3">
      <c r="A482" s="2">
        <v>46182</v>
      </c>
      <c r="B482" t="s">
        <v>15</v>
      </c>
      <c r="C482" s="3">
        <v>1277</v>
      </c>
      <c r="D482" s="3">
        <v>1287.5999999999999</v>
      </c>
      <c r="E482" s="3">
        <v>1261.4000000000001</v>
      </c>
      <c r="F482" s="3">
        <v>1275.5999999999999</v>
      </c>
      <c r="G482" s="3">
        <v>1270.3</v>
      </c>
      <c r="H482" s="3">
        <v>1268.5</v>
      </c>
      <c r="I482" s="3">
        <v>1271.8</v>
      </c>
      <c r="J482" s="3">
        <v>1379.7</v>
      </c>
      <c r="K482" s="3">
        <v>1148.4000000000001</v>
      </c>
      <c r="L482" s="4">
        <v>871896</v>
      </c>
      <c r="M482" s="3">
        <v>1108877148.2</v>
      </c>
      <c r="N482" s="4">
        <v>32788</v>
      </c>
      <c r="O482">
        <f t="shared" si="7"/>
        <v>-5.5660081530259564E-3</v>
      </c>
    </row>
    <row r="483" spans="1:15" ht="14.25" customHeight="1" x14ac:dyDescent="0.3">
      <c r="A483" s="2">
        <v>46183</v>
      </c>
      <c r="B483" t="s">
        <v>15</v>
      </c>
      <c r="C483" s="3">
        <v>1268.5999999999999</v>
      </c>
      <c r="D483" s="3">
        <v>1283.7</v>
      </c>
      <c r="E483" s="3">
        <v>1266.7</v>
      </c>
      <c r="F483" s="3">
        <v>1268.5</v>
      </c>
      <c r="G483" s="3">
        <v>1272</v>
      </c>
      <c r="H483" s="3">
        <v>1271.7</v>
      </c>
      <c r="I483" s="3">
        <v>1273.8499999999999</v>
      </c>
      <c r="J483" s="3">
        <v>1379.7</v>
      </c>
      <c r="K483" s="3">
        <v>1148.4000000000001</v>
      </c>
      <c r="L483" s="4">
        <v>1172155</v>
      </c>
      <c r="M483" s="3">
        <v>1493145410.9000001</v>
      </c>
      <c r="N483" s="4">
        <v>37131</v>
      </c>
      <c r="O483">
        <f t="shared" si="7"/>
        <v>2.5226645644462324E-3</v>
      </c>
    </row>
    <row r="484" spans="1:15" ht="14.25" customHeight="1" x14ac:dyDescent="0.3">
      <c r="A484" s="2">
        <v>46184</v>
      </c>
      <c r="B484" t="s">
        <v>15</v>
      </c>
      <c r="C484" s="3">
        <v>1271.0999999999999</v>
      </c>
      <c r="D484" s="3">
        <v>1285.7</v>
      </c>
      <c r="E484" s="3">
        <v>1266.4000000000001</v>
      </c>
      <c r="F484" s="3">
        <v>1271.7</v>
      </c>
      <c r="G484" s="3">
        <v>1277.7</v>
      </c>
      <c r="H484" s="3">
        <v>1276</v>
      </c>
      <c r="I484" s="3">
        <v>1277.69</v>
      </c>
      <c r="J484" s="3">
        <v>1379.7</v>
      </c>
      <c r="K484" s="3">
        <v>1148.4000000000001</v>
      </c>
      <c r="L484" s="4">
        <v>1057772</v>
      </c>
      <c r="M484" s="3">
        <v>1351504722.4000001</v>
      </c>
      <c r="N484" s="4">
        <v>37079</v>
      </c>
      <c r="O484">
        <f t="shared" si="7"/>
        <v>3.3813006212156595E-3</v>
      </c>
    </row>
    <row r="485" spans="1:15" ht="14.25" customHeight="1" x14ac:dyDescent="0.3">
      <c r="A485" s="2">
        <v>46185</v>
      </c>
      <c r="B485" t="s">
        <v>15</v>
      </c>
      <c r="C485" s="3">
        <v>1291</v>
      </c>
      <c r="D485" s="3">
        <v>1291</v>
      </c>
      <c r="E485" s="3">
        <v>1266</v>
      </c>
      <c r="F485" s="3">
        <v>1276</v>
      </c>
      <c r="G485" s="3">
        <v>1272.9000000000001</v>
      </c>
      <c r="H485" s="3">
        <v>1275.4000000000001</v>
      </c>
      <c r="I485" s="3">
        <v>1273.93</v>
      </c>
      <c r="J485" s="3">
        <v>1379.7</v>
      </c>
      <c r="K485" s="3">
        <v>1148.4000000000001</v>
      </c>
      <c r="L485" s="4">
        <v>1645027</v>
      </c>
      <c r="M485" s="3">
        <v>2095641682.8</v>
      </c>
      <c r="N485" s="4">
        <v>30581</v>
      </c>
      <c r="O485">
        <f t="shared" si="7"/>
        <v>-4.7021943573660583E-4</v>
      </c>
    </row>
    <row r="486" spans="1:15" ht="14.25" customHeight="1" x14ac:dyDescent="0.3">
      <c r="A486" s="2">
        <v>46188</v>
      </c>
      <c r="B486" t="s">
        <v>15</v>
      </c>
      <c r="C486" s="3">
        <v>1296.2</v>
      </c>
      <c r="D486" s="3">
        <v>1296.2</v>
      </c>
      <c r="E486" s="3">
        <v>1275.3</v>
      </c>
      <c r="F486" s="3">
        <v>1275.4000000000001</v>
      </c>
      <c r="G486" s="3">
        <v>1279</v>
      </c>
      <c r="H486" s="3">
        <v>1279.5</v>
      </c>
      <c r="I486" s="3">
        <v>1283.8599999999999</v>
      </c>
      <c r="J486" s="3">
        <v>1375.9</v>
      </c>
      <c r="K486" s="3">
        <v>1148.4000000000001</v>
      </c>
      <c r="L486" s="4">
        <v>1178640</v>
      </c>
      <c r="M486" s="3">
        <v>1513204395.5</v>
      </c>
      <c r="N486" s="4">
        <v>38100</v>
      </c>
      <c r="O486">
        <f t="shared" si="7"/>
        <v>3.2146777481573694E-3</v>
      </c>
    </row>
    <row r="487" spans="1:15" ht="14.25" customHeight="1" x14ac:dyDescent="0.3">
      <c r="A487" s="2">
        <v>46189</v>
      </c>
      <c r="B487" t="s">
        <v>15</v>
      </c>
      <c r="C487" s="3">
        <v>1279</v>
      </c>
      <c r="D487" s="3">
        <v>1286</v>
      </c>
      <c r="E487" s="3">
        <v>1269.0999999999999</v>
      </c>
      <c r="F487" s="3">
        <v>1279.5</v>
      </c>
      <c r="G487" s="3">
        <v>1277.5</v>
      </c>
      <c r="H487" s="3">
        <v>1276.9000000000001</v>
      </c>
      <c r="I487" s="3">
        <v>1277.27</v>
      </c>
      <c r="J487" s="3">
        <v>1375.9</v>
      </c>
      <c r="K487" s="3">
        <v>1148.4000000000001</v>
      </c>
      <c r="L487" s="4">
        <v>430918</v>
      </c>
      <c r="M487" s="3">
        <v>550400455.10000002</v>
      </c>
      <c r="N487" s="4">
        <v>23257</v>
      </c>
      <c r="O487">
        <f t="shared" si="7"/>
        <v>-2.0320437670964509E-3</v>
      </c>
    </row>
    <row r="488" spans="1:15" ht="14.25" customHeight="1" x14ac:dyDescent="0.3">
      <c r="A488" s="2">
        <v>46190</v>
      </c>
      <c r="B488" t="s">
        <v>15</v>
      </c>
      <c r="C488" s="3">
        <v>1276</v>
      </c>
      <c r="D488" s="3">
        <v>1277.4000000000001</v>
      </c>
      <c r="E488" s="3">
        <v>1260.9000000000001</v>
      </c>
      <c r="F488" s="3">
        <v>1276.9000000000001</v>
      </c>
      <c r="G488" s="3">
        <v>1269</v>
      </c>
      <c r="H488" s="3">
        <v>1269</v>
      </c>
      <c r="I488" s="3">
        <v>1267.83</v>
      </c>
      <c r="J488" s="3">
        <v>1375.9</v>
      </c>
      <c r="K488" s="3">
        <v>1148.4000000000001</v>
      </c>
      <c r="L488" s="4">
        <v>683616</v>
      </c>
      <c r="M488" s="3">
        <v>866705834.10000002</v>
      </c>
      <c r="N488" s="4">
        <v>38178</v>
      </c>
      <c r="O488">
        <f t="shared" si="7"/>
        <v>-6.1868587986530586E-3</v>
      </c>
    </row>
    <row r="489" spans="1:15" ht="14.25" customHeight="1" x14ac:dyDescent="0.3">
      <c r="A489" s="2">
        <v>46191</v>
      </c>
      <c r="B489" t="s">
        <v>15</v>
      </c>
      <c r="C489" s="3">
        <v>1269</v>
      </c>
      <c r="D489" s="3">
        <v>1279.9000000000001</v>
      </c>
      <c r="E489" s="3">
        <v>1261.7</v>
      </c>
      <c r="F489" s="3">
        <v>1269</v>
      </c>
      <c r="G489" s="3">
        <v>1272</v>
      </c>
      <c r="H489" s="3">
        <v>1267.5</v>
      </c>
      <c r="I489" s="3">
        <v>1267.71</v>
      </c>
      <c r="J489" s="3">
        <v>1375.9</v>
      </c>
      <c r="K489" s="3">
        <v>1148.4000000000001</v>
      </c>
      <c r="L489" s="4">
        <v>774093</v>
      </c>
      <c r="M489" s="3">
        <v>981323012.89999998</v>
      </c>
      <c r="N489" s="4">
        <v>36571</v>
      </c>
      <c r="O489">
        <f t="shared" si="7"/>
        <v>-1.1820330969267139E-3</v>
      </c>
    </row>
    <row r="490" spans="1:15" ht="14.25" customHeight="1" x14ac:dyDescent="0.3">
      <c r="A490" s="2">
        <v>46192</v>
      </c>
      <c r="B490" t="s">
        <v>15</v>
      </c>
      <c r="C490" s="3">
        <v>1267</v>
      </c>
      <c r="D490" s="3">
        <v>1275</v>
      </c>
      <c r="E490" s="3">
        <v>1261</v>
      </c>
      <c r="F490" s="3">
        <v>1267.5</v>
      </c>
      <c r="G490" s="3">
        <v>1267.0999999999999</v>
      </c>
      <c r="H490" s="3">
        <v>1272.0999999999999</v>
      </c>
      <c r="I490" s="3">
        <v>1269.7</v>
      </c>
      <c r="J490" s="3">
        <v>1375.9</v>
      </c>
      <c r="K490" s="3">
        <v>1148.4000000000001</v>
      </c>
      <c r="L490" s="4">
        <v>1312877</v>
      </c>
      <c r="M490" s="3">
        <v>1666960033.7</v>
      </c>
      <c r="N490" s="4">
        <v>30751</v>
      </c>
      <c r="O490">
        <f t="shared" si="7"/>
        <v>3.629191321498942E-3</v>
      </c>
    </row>
    <row r="491" spans="1:15" ht="14.25" customHeight="1" x14ac:dyDescent="0.3">
      <c r="A491" s="2">
        <v>46195</v>
      </c>
      <c r="B491" t="s">
        <v>15</v>
      </c>
      <c r="C491" s="3">
        <v>1278.0999999999999</v>
      </c>
      <c r="D491" s="3">
        <v>1306</v>
      </c>
      <c r="E491" s="3">
        <v>1271.2</v>
      </c>
      <c r="F491" s="3">
        <v>1272.0999999999999</v>
      </c>
      <c r="G491" s="3">
        <v>1292</v>
      </c>
      <c r="H491" s="3">
        <v>1290.7</v>
      </c>
      <c r="I491" s="3">
        <v>1292.74</v>
      </c>
      <c r="J491" s="3">
        <v>1375.9</v>
      </c>
      <c r="K491" s="3">
        <v>1148.4000000000001</v>
      </c>
      <c r="L491" s="4">
        <v>1618251</v>
      </c>
      <c r="M491" s="3">
        <v>2091981394</v>
      </c>
      <c r="N491" s="4">
        <v>44383</v>
      </c>
      <c r="O491">
        <f t="shared" si="7"/>
        <v>1.4621492021067634E-2</v>
      </c>
    </row>
    <row r="492" spans="1:15" ht="14.25" customHeight="1" x14ac:dyDescent="0.3">
      <c r="A492" s="2">
        <v>46196</v>
      </c>
      <c r="B492" t="s">
        <v>15</v>
      </c>
      <c r="C492" s="3">
        <v>1297.2</v>
      </c>
      <c r="D492" s="3">
        <v>1329.5</v>
      </c>
      <c r="E492" s="3">
        <v>1294.9000000000001</v>
      </c>
      <c r="F492" s="3">
        <v>1290.7</v>
      </c>
      <c r="G492" s="3">
        <v>1300.9000000000001</v>
      </c>
      <c r="H492" s="3">
        <v>1301.3</v>
      </c>
      <c r="I492" s="3">
        <v>1310.27</v>
      </c>
      <c r="J492" s="3">
        <v>1375.9</v>
      </c>
      <c r="K492" s="3">
        <v>1148.4000000000001</v>
      </c>
      <c r="L492" s="4">
        <v>2878800</v>
      </c>
      <c r="M492" s="3">
        <v>3771991678.8000002</v>
      </c>
      <c r="N492" s="4">
        <v>69894</v>
      </c>
      <c r="O492">
        <f t="shared" si="7"/>
        <v>8.2125978151390017E-3</v>
      </c>
    </row>
    <row r="493" spans="1:15" ht="14.25" customHeight="1" x14ac:dyDescent="0.3">
      <c r="A493" s="2">
        <v>46197</v>
      </c>
      <c r="B493" t="s">
        <v>15</v>
      </c>
      <c r="C493" s="3">
        <v>1310</v>
      </c>
      <c r="D493" s="3">
        <v>1343</v>
      </c>
      <c r="E493" s="3">
        <v>1306.2</v>
      </c>
      <c r="F493" s="3">
        <v>1301.3</v>
      </c>
      <c r="G493" s="3">
        <v>1327.3</v>
      </c>
      <c r="H493" s="3">
        <v>1328.4</v>
      </c>
      <c r="I493" s="3">
        <v>1333.02</v>
      </c>
      <c r="J493" s="3">
        <v>1375.9</v>
      </c>
      <c r="K493" s="3">
        <v>1148.4000000000001</v>
      </c>
      <c r="L493" s="4">
        <v>3346371</v>
      </c>
      <c r="M493" s="3">
        <v>4460787375.1999998</v>
      </c>
      <c r="N493" s="4">
        <v>88474</v>
      </c>
      <c r="O493">
        <f t="shared" si="7"/>
        <v>2.0825328517636316E-2</v>
      </c>
    </row>
    <row r="494" spans="1:15" ht="14.25" customHeight="1" x14ac:dyDescent="0.3">
      <c r="A494" s="2">
        <v>46198</v>
      </c>
      <c r="B494" t="s">
        <v>15</v>
      </c>
      <c r="C494" s="3">
        <v>1331.9</v>
      </c>
      <c r="D494" s="3">
        <v>1363</v>
      </c>
      <c r="E494" s="3">
        <v>1331.9</v>
      </c>
      <c r="F494" s="3">
        <v>1328.4</v>
      </c>
      <c r="G494" s="3">
        <v>1349.5</v>
      </c>
      <c r="H494" s="3">
        <v>1350.5</v>
      </c>
      <c r="I494" s="3">
        <v>1351.57</v>
      </c>
      <c r="J494" s="3">
        <v>1375.9</v>
      </c>
      <c r="K494" s="3">
        <v>1148.4000000000001</v>
      </c>
      <c r="L494" s="4">
        <v>1699744</v>
      </c>
      <c r="M494" s="3">
        <v>2297331067.3000002</v>
      </c>
      <c r="N494" s="4">
        <v>79376</v>
      </c>
      <c r="O494">
        <f t="shared" si="7"/>
        <v>1.6636555254441365E-2</v>
      </c>
    </row>
    <row r="495" spans="1:15" ht="14.25" customHeight="1" x14ac:dyDescent="0.3">
      <c r="A495" s="2">
        <v>46202</v>
      </c>
      <c r="B495" t="s">
        <v>15</v>
      </c>
      <c r="C495" s="3">
        <v>1388.4</v>
      </c>
      <c r="D495" s="3">
        <v>1414.9</v>
      </c>
      <c r="E495" s="3">
        <v>1355.8</v>
      </c>
      <c r="F495" s="3">
        <v>1350.5</v>
      </c>
      <c r="G495" s="3">
        <v>1381</v>
      </c>
      <c r="H495" s="3">
        <v>1375.7</v>
      </c>
      <c r="I495" s="3">
        <v>1391.61</v>
      </c>
      <c r="J495" s="3">
        <v>1414.9</v>
      </c>
      <c r="K495" s="3">
        <v>1148.4000000000001</v>
      </c>
      <c r="L495" s="4">
        <v>8857211</v>
      </c>
      <c r="M495" s="3">
        <v>12325754131.6</v>
      </c>
      <c r="N495" s="4">
        <v>183945</v>
      </c>
      <c r="O495">
        <f t="shared" si="7"/>
        <v>1.8659755646057048E-2</v>
      </c>
    </row>
    <row r="496" spans="1:15" ht="14.25" customHeight="1" x14ac:dyDescent="0.3">
      <c r="A496" s="2">
        <v>46203</v>
      </c>
      <c r="B496" t="s">
        <v>15</v>
      </c>
      <c r="C496" s="3">
        <v>1375</v>
      </c>
      <c r="D496" s="3">
        <v>1375</v>
      </c>
      <c r="E496" s="3">
        <v>1347.1</v>
      </c>
      <c r="F496" s="3">
        <v>1375.7</v>
      </c>
      <c r="G496" s="3">
        <v>1361</v>
      </c>
      <c r="H496" s="3">
        <v>1357.1</v>
      </c>
      <c r="I496" s="3">
        <v>1359.97</v>
      </c>
      <c r="J496" s="3">
        <v>1414.9</v>
      </c>
      <c r="K496" s="3">
        <v>1148.4000000000001</v>
      </c>
      <c r="L496" s="4">
        <v>2446438</v>
      </c>
      <c r="M496" s="3">
        <v>3327081771.0999999</v>
      </c>
      <c r="N496" s="4">
        <v>80649</v>
      </c>
      <c r="O496">
        <f t="shared" si="7"/>
        <v>-1.3520389619830004E-2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6"/>
  <sheetViews>
    <sheetView tabSelected="1" zoomScaleNormal="100" workbookViewId="0">
      <selection activeCell="M17" sqref="M17"/>
    </sheetView>
  </sheetViews>
  <sheetFormatPr defaultColWidth="8.6640625" defaultRowHeight="14.4" x14ac:dyDescent="0.3"/>
  <cols>
    <col min="1" max="1" width="9.88671875" customWidth="1"/>
    <col min="2" max="5" width="9" customWidth="1"/>
    <col min="6" max="6" width="12.88671875" customWidth="1"/>
    <col min="7" max="7" width="13.109375" customWidth="1"/>
    <col min="8" max="8" width="12.6640625" bestFit="1" customWidth="1"/>
  </cols>
  <sheetData>
    <row r="1" spans="1:8" s="10" customFormat="1" ht="14.25" customHeight="1" x14ac:dyDescent="0.3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14</v>
      </c>
    </row>
    <row r="2" spans="1:8" ht="14.25" customHeight="1" x14ac:dyDescent="0.3">
      <c r="A2" s="2">
        <v>45474</v>
      </c>
      <c r="B2">
        <v>23992.95</v>
      </c>
      <c r="C2">
        <v>24164</v>
      </c>
      <c r="D2">
        <v>23992.7</v>
      </c>
      <c r="E2">
        <v>24141.95</v>
      </c>
      <c r="F2">
        <v>242468081</v>
      </c>
      <c r="G2">
        <v>28204.06</v>
      </c>
    </row>
    <row r="3" spans="1:8" ht="14.25" customHeight="1" x14ac:dyDescent="0.3">
      <c r="A3" s="2">
        <v>45475</v>
      </c>
      <c r="B3">
        <v>24228.75</v>
      </c>
      <c r="C3">
        <v>24236.35</v>
      </c>
      <c r="D3">
        <v>24056.400000000001</v>
      </c>
      <c r="E3">
        <v>24123.85</v>
      </c>
      <c r="F3">
        <v>309629240</v>
      </c>
      <c r="G3">
        <v>34838.65</v>
      </c>
      <c r="H3">
        <f t="shared" ref="H3:H66" si="0">(E3-E2)/E2</f>
        <v>-7.4973231242721412E-4</v>
      </c>
    </row>
    <row r="4" spans="1:8" ht="14.25" customHeight="1" x14ac:dyDescent="0.3">
      <c r="A4" s="2">
        <v>45476</v>
      </c>
      <c r="B4">
        <v>24291.75</v>
      </c>
      <c r="C4">
        <v>24309.15</v>
      </c>
      <c r="D4">
        <v>24207.1</v>
      </c>
      <c r="E4">
        <v>24286.5</v>
      </c>
      <c r="F4">
        <v>289201551</v>
      </c>
      <c r="G4">
        <v>36661.17</v>
      </c>
      <c r="H4">
        <f t="shared" si="0"/>
        <v>6.7422903060664636E-3</v>
      </c>
    </row>
    <row r="5" spans="1:8" ht="14.25" customHeight="1" x14ac:dyDescent="0.3">
      <c r="A5" s="2">
        <v>45477</v>
      </c>
      <c r="B5">
        <v>24369.95</v>
      </c>
      <c r="C5">
        <v>24401</v>
      </c>
      <c r="D5">
        <v>24281</v>
      </c>
      <c r="E5">
        <v>24302.15</v>
      </c>
      <c r="F5">
        <v>251189844</v>
      </c>
      <c r="G5">
        <v>28466.6</v>
      </c>
      <c r="H5">
        <f t="shared" si="0"/>
        <v>6.4439091676451749E-4</v>
      </c>
    </row>
    <row r="6" spans="1:8" ht="14.25" customHeight="1" x14ac:dyDescent="0.3">
      <c r="A6" s="2">
        <v>45478</v>
      </c>
      <c r="B6">
        <v>24213.35</v>
      </c>
      <c r="C6">
        <v>24363</v>
      </c>
      <c r="D6">
        <v>24168.85</v>
      </c>
      <c r="E6">
        <v>24323.85</v>
      </c>
      <c r="F6">
        <v>298381204</v>
      </c>
      <c r="G6">
        <v>32052.48</v>
      </c>
      <c r="H6">
        <f t="shared" si="0"/>
        <v>8.9292511156408331E-4</v>
      </c>
    </row>
    <row r="7" spans="1:8" ht="14.25" customHeight="1" x14ac:dyDescent="0.3">
      <c r="A7" s="2">
        <v>45481</v>
      </c>
      <c r="B7">
        <v>24329.45</v>
      </c>
      <c r="C7">
        <v>24344.6</v>
      </c>
      <c r="D7">
        <v>24240.55</v>
      </c>
      <c r="E7">
        <v>24320.55</v>
      </c>
      <c r="F7">
        <v>266299131</v>
      </c>
      <c r="G7">
        <v>26356.03</v>
      </c>
      <c r="H7">
        <f t="shared" si="0"/>
        <v>-1.3566931221822501E-4</v>
      </c>
    </row>
    <row r="8" spans="1:8" ht="14.25" customHeight="1" x14ac:dyDescent="0.3">
      <c r="A8" s="2">
        <v>45482</v>
      </c>
      <c r="B8">
        <v>24351</v>
      </c>
      <c r="C8">
        <v>24443.599999999999</v>
      </c>
      <c r="D8">
        <v>24331.9</v>
      </c>
      <c r="E8">
        <v>24433.200000000001</v>
      </c>
      <c r="F8">
        <v>250537091</v>
      </c>
      <c r="G8">
        <v>29361.08</v>
      </c>
      <c r="H8">
        <f t="shared" si="0"/>
        <v>4.6318853808816601E-3</v>
      </c>
    </row>
    <row r="9" spans="1:8" ht="14.25" customHeight="1" x14ac:dyDescent="0.3">
      <c r="A9" s="2">
        <v>45483</v>
      </c>
      <c r="B9">
        <v>24459.85</v>
      </c>
      <c r="C9">
        <v>24461.05</v>
      </c>
      <c r="D9">
        <v>24141.8</v>
      </c>
      <c r="E9">
        <v>24324.45</v>
      </c>
      <c r="F9">
        <v>292263786</v>
      </c>
      <c r="G9">
        <v>35358.54</v>
      </c>
      <c r="H9">
        <f t="shared" si="0"/>
        <v>-4.4509110554491428E-3</v>
      </c>
    </row>
    <row r="10" spans="1:8" ht="14.25" customHeight="1" x14ac:dyDescent="0.3">
      <c r="A10" s="2">
        <v>45484</v>
      </c>
      <c r="B10">
        <v>24396.55</v>
      </c>
      <c r="C10">
        <v>24402.65</v>
      </c>
      <c r="D10">
        <v>24193.75</v>
      </c>
      <c r="E10">
        <v>24315.95</v>
      </c>
      <c r="F10">
        <v>306404194</v>
      </c>
      <c r="G10">
        <v>32115.439999999999</v>
      </c>
      <c r="H10">
        <f t="shared" si="0"/>
        <v>-3.4944263899080964E-4</v>
      </c>
    </row>
    <row r="11" spans="1:8" ht="14.25" customHeight="1" x14ac:dyDescent="0.3">
      <c r="A11" s="2">
        <v>45485</v>
      </c>
      <c r="B11">
        <v>24387.95</v>
      </c>
      <c r="C11">
        <v>24592.2</v>
      </c>
      <c r="D11">
        <v>24331.15</v>
      </c>
      <c r="E11">
        <v>24502.15</v>
      </c>
      <c r="F11">
        <v>325823474</v>
      </c>
      <c r="G11">
        <v>39565.33</v>
      </c>
      <c r="H11">
        <f t="shared" si="0"/>
        <v>7.6575252046496524E-3</v>
      </c>
    </row>
    <row r="12" spans="1:8" ht="14.25" customHeight="1" x14ac:dyDescent="0.3">
      <c r="A12" s="2">
        <v>45488</v>
      </c>
      <c r="B12">
        <v>24587.599999999999</v>
      </c>
      <c r="C12">
        <v>24635.05</v>
      </c>
      <c r="D12">
        <v>24522.75</v>
      </c>
      <c r="E12">
        <v>24586.7</v>
      </c>
      <c r="F12">
        <v>305395934</v>
      </c>
      <c r="G12">
        <v>31593.040000000001</v>
      </c>
      <c r="H12">
        <f t="shared" si="0"/>
        <v>3.4507175900890031E-3</v>
      </c>
    </row>
    <row r="13" spans="1:8" ht="14.25" customHeight="1" x14ac:dyDescent="0.3">
      <c r="A13" s="2">
        <v>45489</v>
      </c>
      <c r="B13">
        <v>24615.9</v>
      </c>
      <c r="C13">
        <v>24661.25</v>
      </c>
      <c r="D13">
        <v>24587.65</v>
      </c>
      <c r="E13">
        <v>24613</v>
      </c>
      <c r="F13">
        <v>283212233</v>
      </c>
      <c r="G13">
        <v>28668.71</v>
      </c>
      <c r="H13">
        <f t="shared" si="0"/>
        <v>1.0696840161550461E-3</v>
      </c>
    </row>
    <row r="14" spans="1:8" ht="14.25" customHeight="1" x14ac:dyDescent="0.3">
      <c r="A14" s="2">
        <v>45491</v>
      </c>
      <c r="B14">
        <v>24543.8</v>
      </c>
      <c r="C14">
        <v>24837.75</v>
      </c>
      <c r="D14">
        <v>24504.45</v>
      </c>
      <c r="E14">
        <v>24800.85</v>
      </c>
      <c r="F14">
        <v>350924425</v>
      </c>
      <c r="G14">
        <v>40477.17</v>
      </c>
      <c r="H14">
        <f t="shared" si="0"/>
        <v>7.6321456141063074E-3</v>
      </c>
    </row>
    <row r="15" spans="1:8" ht="14.25" customHeight="1" x14ac:dyDescent="0.3">
      <c r="A15" s="2">
        <v>45492</v>
      </c>
      <c r="B15">
        <v>24853.8</v>
      </c>
      <c r="C15">
        <v>24854.799999999999</v>
      </c>
      <c r="D15">
        <v>24508.15</v>
      </c>
      <c r="E15">
        <v>24530.9</v>
      </c>
      <c r="F15">
        <v>343772965</v>
      </c>
      <c r="G15">
        <v>33588.080000000002</v>
      </c>
      <c r="H15">
        <f t="shared" si="0"/>
        <v>-1.0884707580586839E-2</v>
      </c>
    </row>
    <row r="16" spans="1:8" ht="14.25" customHeight="1" x14ac:dyDescent="0.3">
      <c r="A16" s="2">
        <v>45495</v>
      </c>
      <c r="B16">
        <v>24445.75</v>
      </c>
      <c r="C16">
        <v>24595.200000000001</v>
      </c>
      <c r="D16">
        <v>24362.3</v>
      </c>
      <c r="E16">
        <v>24509.25</v>
      </c>
      <c r="F16">
        <v>324190553</v>
      </c>
      <c r="G16">
        <v>32496.23</v>
      </c>
      <c r="H16">
        <f t="shared" si="0"/>
        <v>-8.8256036264472372E-4</v>
      </c>
    </row>
    <row r="17" spans="1:8" ht="14.25" customHeight="1" x14ac:dyDescent="0.3">
      <c r="A17" s="2">
        <v>45496</v>
      </c>
      <c r="B17">
        <v>24568.9</v>
      </c>
      <c r="C17">
        <v>24582.55</v>
      </c>
      <c r="D17">
        <v>24074.2</v>
      </c>
      <c r="E17">
        <v>24479.05</v>
      </c>
      <c r="F17">
        <v>436408768</v>
      </c>
      <c r="G17">
        <v>44921.42</v>
      </c>
      <c r="H17">
        <f t="shared" si="0"/>
        <v>-1.2321878474453819E-3</v>
      </c>
    </row>
    <row r="18" spans="1:8" ht="14.25" customHeight="1" x14ac:dyDescent="0.3">
      <c r="A18" s="2">
        <v>45497</v>
      </c>
      <c r="B18">
        <v>24444.95</v>
      </c>
      <c r="C18">
        <v>24504.25</v>
      </c>
      <c r="D18">
        <v>24307.25</v>
      </c>
      <c r="E18">
        <v>24413.5</v>
      </c>
      <c r="F18">
        <v>366616574</v>
      </c>
      <c r="G18">
        <v>39538.11</v>
      </c>
      <c r="H18">
        <f t="shared" si="0"/>
        <v>-2.677799996323357E-3</v>
      </c>
    </row>
    <row r="19" spans="1:8" ht="14.25" customHeight="1" x14ac:dyDescent="0.3">
      <c r="A19" s="2">
        <v>45498</v>
      </c>
      <c r="B19">
        <v>24230.95</v>
      </c>
      <c r="C19">
        <v>24426.15</v>
      </c>
      <c r="D19">
        <v>24210.799999999999</v>
      </c>
      <c r="E19">
        <v>24406.1</v>
      </c>
      <c r="F19">
        <v>391821970</v>
      </c>
      <c r="G19">
        <v>37853.620000000003</v>
      </c>
      <c r="H19">
        <f t="shared" si="0"/>
        <v>-3.0311098367712352E-4</v>
      </c>
    </row>
    <row r="20" spans="1:8" ht="14.25" customHeight="1" x14ac:dyDescent="0.3">
      <c r="A20" s="2">
        <v>45499</v>
      </c>
      <c r="B20">
        <v>24423.35</v>
      </c>
      <c r="C20">
        <v>24861.15</v>
      </c>
      <c r="D20">
        <v>24410.9</v>
      </c>
      <c r="E20">
        <v>24834.85</v>
      </c>
      <c r="F20">
        <v>383826136</v>
      </c>
      <c r="G20">
        <v>42118.36</v>
      </c>
      <c r="H20">
        <f t="shared" si="0"/>
        <v>1.7567329479105633E-2</v>
      </c>
    </row>
    <row r="21" spans="1:8" ht="14.25" customHeight="1" x14ac:dyDescent="0.3">
      <c r="A21" s="2">
        <v>45502</v>
      </c>
      <c r="B21">
        <v>24943.3</v>
      </c>
      <c r="C21">
        <v>24999.75</v>
      </c>
      <c r="D21">
        <v>24774.6</v>
      </c>
      <c r="E21">
        <v>24836.1</v>
      </c>
      <c r="F21">
        <v>354966070</v>
      </c>
      <c r="G21">
        <v>37102.92</v>
      </c>
      <c r="H21">
        <f t="shared" si="0"/>
        <v>5.0332496471692003E-5</v>
      </c>
    </row>
    <row r="22" spans="1:8" ht="14.25" customHeight="1" x14ac:dyDescent="0.3">
      <c r="A22" s="2">
        <v>45503</v>
      </c>
      <c r="B22">
        <v>24839.4</v>
      </c>
      <c r="C22">
        <v>24971.75</v>
      </c>
      <c r="D22">
        <v>24798.65</v>
      </c>
      <c r="E22">
        <v>24857.3</v>
      </c>
      <c r="F22">
        <v>384989431</v>
      </c>
      <c r="G22">
        <v>37576.58</v>
      </c>
      <c r="H22">
        <f t="shared" si="0"/>
        <v>8.5359617653338197E-4</v>
      </c>
    </row>
    <row r="23" spans="1:8" ht="14.25" customHeight="1" x14ac:dyDescent="0.3">
      <c r="A23" s="2">
        <v>45504</v>
      </c>
      <c r="B23">
        <v>24886.7</v>
      </c>
      <c r="C23">
        <v>24984.6</v>
      </c>
      <c r="D23">
        <v>24856.5</v>
      </c>
      <c r="E23">
        <v>24951.15</v>
      </c>
      <c r="F23">
        <v>333646302</v>
      </c>
      <c r="G23">
        <v>35411.32</v>
      </c>
      <c r="H23">
        <f t="shared" si="0"/>
        <v>3.7755508442188887E-3</v>
      </c>
    </row>
    <row r="24" spans="1:8" ht="14.25" customHeight="1" x14ac:dyDescent="0.3">
      <c r="A24" s="2">
        <v>45505</v>
      </c>
      <c r="B24">
        <v>25030.95</v>
      </c>
      <c r="C24">
        <v>25078.3</v>
      </c>
      <c r="D24">
        <v>24956.400000000001</v>
      </c>
      <c r="E24">
        <v>25010.9</v>
      </c>
      <c r="F24">
        <v>431313292</v>
      </c>
      <c r="G24">
        <v>38822.9</v>
      </c>
      <c r="H24">
        <f t="shared" si="0"/>
        <v>2.3946792031629802E-3</v>
      </c>
    </row>
    <row r="25" spans="1:8" ht="14.25" customHeight="1" x14ac:dyDescent="0.3">
      <c r="A25" s="2">
        <v>45506</v>
      </c>
      <c r="B25">
        <v>24789</v>
      </c>
      <c r="C25">
        <v>24851.9</v>
      </c>
      <c r="D25">
        <v>24686.85</v>
      </c>
      <c r="E25">
        <v>24717.7</v>
      </c>
      <c r="F25">
        <v>345027881</v>
      </c>
      <c r="G25">
        <v>35368.54</v>
      </c>
      <c r="H25">
        <f t="shared" si="0"/>
        <v>-1.1722888820474302E-2</v>
      </c>
    </row>
    <row r="26" spans="1:8" ht="14.25" customHeight="1" x14ac:dyDescent="0.3">
      <c r="A26" s="2">
        <v>45509</v>
      </c>
      <c r="B26">
        <v>24302.85</v>
      </c>
      <c r="C26">
        <v>24350.05</v>
      </c>
      <c r="D26">
        <v>23893.7</v>
      </c>
      <c r="E26">
        <v>24055.599999999999</v>
      </c>
      <c r="F26">
        <v>486994718</v>
      </c>
      <c r="G26">
        <v>45066.65</v>
      </c>
      <c r="H26">
        <f t="shared" si="0"/>
        <v>-2.6786472851438529E-2</v>
      </c>
    </row>
    <row r="27" spans="1:8" ht="14.25" customHeight="1" x14ac:dyDescent="0.3">
      <c r="A27" s="2">
        <v>45510</v>
      </c>
      <c r="B27">
        <v>24189.85</v>
      </c>
      <c r="C27">
        <v>24382.6</v>
      </c>
      <c r="D27">
        <v>23960.400000000001</v>
      </c>
      <c r="E27">
        <v>23992.55</v>
      </c>
      <c r="F27">
        <v>312339387</v>
      </c>
      <c r="G27">
        <v>31553.65</v>
      </c>
      <c r="H27">
        <f t="shared" si="0"/>
        <v>-2.6210113237665773E-3</v>
      </c>
    </row>
    <row r="28" spans="1:8" ht="14.25" customHeight="1" x14ac:dyDescent="0.3">
      <c r="A28" s="2">
        <v>45511</v>
      </c>
      <c r="B28">
        <v>24289.4</v>
      </c>
      <c r="C28">
        <v>24337.7</v>
      </c>
      <c r="D28">
        <v>24184.9</v>
      </c>
      <c r="E28">
        <v>24297.5</v>
      </c>
      <c r="F28">
        <v>317564429</v>
      </c>
      <c r="G28">
        <v>29738.85</v>
      </c>
      <c r="H28">
        <f t="shared" si="0"/>
        <v>1.2710195456506321E-2</v>
      </c>
    </row>
    <row r="29" spans="1:8" ht="14.25" customHeight="1" x14ac:dyDescent="0.3">
      <c r="A29" s="2">
        <v>45512</v>
      </c>
      <c r="B29">
        <v>24248.55</v>
      </c>
      <c r="C29">
        <v>24340.5</v>
      </c>
      <c r="D29">
        <v>24079.7</v>
      </c>
      <c r="E29">
        <v>24117</v>
      </c>
      <c r="F29">
        <v>311875940</v>
      </c>
      <c r="G29">
        <v>30858.18</v>
      </c>
      <c r="H29">
        <f t="shared" si="0"/>
        <v>-7.428747813561066E-3</v>
      </c>
    </row>
    <row r="30" spans="1:8" ht="14.25" customHeight="1" x14ac:dyDescent="0.3">
      <c r="A30" s="2">
        <v>45513</v>
      </c>
      <c r="B30">
        <v>24386.85</v>
      </c>
      <c r="C30">
        <v>24419.75</v>
      </c>
      <c r="D30">
        <v>24311.200000000001</v>
      </c>
      <c r="E30">
        <v>24367.5</v>
      </c>
      <c r="F30">
        <v>215129992</v>
      </c>
      <c r="G30">
        <v>22339.19</v>
      </c>
      <c r="H30">
        <f t="shared" si="0"/>
        <v>1.0386864037815649E-2</v>
      </c>
    </row>
    <row r="31" spans="1:8" ht="14.25" customHeight="1" x14ac:dyDescent="0.3">
      <c r="A31" s="2">
        <v>45516</v>
      </c>
      <c r="B31">
        <v>24320.05</v>
      </c>
      <c r="C31">
        <v>24472.799999999999</v>
      </c>
      <c r="D31">
        <v>24212.1</v>
      </c>
      <c r="E31">
        <v>24347</v>
      </c>
      <c r="F31">
        <v>279925100</v>
      </c>
      <c r="G31">
        <v>30311.85</v>
      </c>
      <c r="H31">
        <f t="shared" si="0"/>
        <v>-8.412844977941931E-4</v>
      </c>
    </row>
    <row r="32" spans="1:8" ht="14.25" customHeight="1" x14ac:dyDescent="0.3">
      <c r="A32" s="2">
        <v>45517</v>
      </c>
      <c r="B32">
        <v>24342.35</v>
      </c>
      <c r="C32">
        <v>24359.95</v>
      </c>
      <c r="D32">
        <v>24116.5</v>
      </c>
      <c r="E32">
        <v>24139</v>
      </c>
      <c r="F32">
        <v>239727640</v>
      </c>
      <c r="G32">
        <v>25459.58</v>
      </c>
      <c r="H32">
        <f t="shared" si="0"/>
        <v>-8.5431469996303452E-3</v>
      </c>
    </row>
    <row r="33" spans="1:8" ht="14.25" customHeight="1" x14ac:dyDescent="0.3">
      <c r="A33" s="2">
        <v>45518</v>
      </c>
      <c r="B33">
        <v>24184.400000000001</v>
      </c>
      <c r="C33">
        <v>24196.5</v>
      </c>
      <c r="D33">
        <v>24099.7</v>
      </c>
      <c r="E33">
        <v>24143.75</v>
      </c>
      <c r="F33">
        <v>303254705</v>
      </c>
      <c r="G33">
        <v>27834.61</v>
      </c>
      <c r="H33">
        <f t="shared" si="0"/>
        <v>1.9677699987571978E-4</v>
      </c>
    </row>
    <row r="34" spans="1:8" ht="14.25" customHeight="1" x14ac:dyDescent="0.3">
      <c r="A34" s="2">
        <v>45520</v>
      </c>
      <c r="B34">
        <v>24334.85</v>
      </c>
      <c r="C34">
        <v>24563.9</v>
      </c>
      <c r="D34">
        <v>24204.5</v>
      </c>
      <c r="E34">
        <v>24541.15</v>
      </c>
      <c r="F34">
        <v>271611087</v>
      </c>
      <c r="G34">
        <v>28521.9</v>
      </c>
      <c r="H34">
        <f t="shared" si="0"/>
        <v>1.6459746311157191E-2</v>
      </c>
    </row>
    <row r="35" spans="1:8" ht="14.25" customHeight="1" x14ac:dyDescent="0.3">
      <c r="A35" s="2">
        <v>45523</v>
      </c>
      <c r="B35">
        <v>24636.35</v>
      </c>
      <c r="C35">
        <v>24638.799999999999</v>
      </c>
      <c r="D35">
        <v>24522.95</v>
      </c>
      <c r="E35">
        <v>24572.65</v>
      </c>
      <c r="F35">
        <v>243645503</v>
      </c>
      <c r="G35">
        <v>22124.41</v>
      </c>
      <c r="H35">
        <f t="shared" si="0"/>
        <v>1.2835584314508488E-3</v>
      </c>
    </row>
    <row r="36" spans="1:8" ht="14.25" customHeight="1" x14ac:dyDescent="0.3">
      <c r="A36" s="2">
        <v>45524</v>
      </c>
      <c r="B36">
        <v>24648.9</v>
      </c>
      <c r="C36">
        <v>24734.3</v>
      </c>
      <c r="D36">
        <v>24607.200000000001</v>
      </c>
      <c r="E36">
        <v>24698.85</v>
      </c>
      <c r="F36">
        <v>238318940</v>
      </c>
      <c r="G36">
        <v>25478.73</v>
      </c>
      <c r="H36">
        <f t="shared" si="0"/>
        <v>5.135791215029599E-3</v>
      </c>
    </row>
    <row r="37" spans="1:8" ht="14.25" customHeight="1" x14ac:dyDescent="0.3">
      <c r="A37" s="2">
        <v>45525</v>
      </c>
      <c r="B37">
        <v>24680.55</v>
      </c>
      <c r="C37">
        <v>24787.95</v>
      </c>
      <c r="D37">
        <v>24654.5</v>
      </c>
      <c r="E37">
        <v>24770.2</v>
      </c>
      <c r="F37">
        <v>257114212</v>
      </c>
      <c r="G37">
        <v>27404.63</v>
      </c>
      <c r="H37">
        <f t="shared" si="0"/>
        <v>2.8887984663254437E-3</v>
      </c>
    </row>
    <row r="38" spans="1:8" ht="14.25" customHeight="1" x14ac:dyDescent="0.3">
      <c r="A38" s="2">
        <v>45526</v>
      </c>
      <c r="B38">
        <v>24863.4</v>
      </c>
      <c r="C38">
        <v>24867.35</v>
      </c>
      <c r="D38">
        <v>24784.45</v>
      </c>
      <c r="E38">
        <v>24811.5</v>
      </c>
      <c r="F38">
        <v>220345125</v>
      </c>
      <c r="G38">
        <v>24227.03</v>
      </c>
      <c r="H38">
        <f t="shared" si="0"/>
        <v>1.6673260611540994E-3</v>
      </c>
    </row>
    <row r="39" spans="1:8" ht="14.25" customHeight="1" x14ac:dyDescent="0.3">
      <c r="A39" s="2">
        <v>45527</v>
      </c>
      <c r="B39">
        <v>24845.4</v>
      </c>
      <c r="C39">
        <v>24858.400000000001</v>
      </c>
      <c r="D39">
        <v>24771.65</v>
      </c>
      <c r="E39">
        <v>24823.15</v>
      </c>
      <c r="F39">
        <v>206800655</v>
      </c>
      <c r="G39">
        <v>23134.22</v>
      </c>
      <c r="H39">
        <f t="shared" si="0"/>
        <v>4.6954033411931789E-4</v>
      </c>
    </row>
    <row r="40" spans="1:8" ht="14.25" customHeight="1" x14ac:dyDescent="0.3">
      <c r="A40" s="2">
        <v>45530</v>
      </c>
      <c r="B40">
        <v>24906.1</v>
      </c>
      <c r="C40">
        <v>25043.8</v>
      </c>
      <c r="D40">
        <v>24874.7</v>
      </c>
      <c r="E40">
        <v>25010.6</v>
      </c>
      <c r="F40">
        <v>210266456</v>
      </c>
      <c r="G40">
        <v>22166.86</v>
      </c>
      <c r="H40">
        <f t="shared" si="0"/>
        <v>7.5514187361393325E-3</v>
      </c>
    </row>
    <row r="41" spans="1:8" ht="14.25" customHeight="1" x14ac:dyDescent="0.3">
      <c r="A41" s="2">
        <v>45531</v>
      </c>
      <c r="B41">
        <v>25024.799999999999</v>
      </c>
      <c r="C41">
        <v>25073.1</v>
      </c>
      <c r="D41">
        <v>24973.65</v>
      </c>
      <c r="E41">
        <v>25017.75</v>
      </c>
      <c r="F41">
        <v>223346636</v>
      </c>
      <c r="G41">
        <v>26695</v>
      </c>
      <c r="H41">
        <f t="shared" si="0"/>
        <v>2.8587878739420311E-4</v>
      </c>
    </row>
    <row r="42" spans="1:8" ht="14.25" customHeight="1" x14ac:dyDescent="0.3">
      <c r="A42" s="2">
        <v>45532</v>
      </c>
      <c r="B42">
        <v>25030.799999999999</v>
      </c>
      <c r="C42">
        <v>25129.599999999999</v>
      </c>
      <c r="D42">
        <v>24964.65</v>
      </c>
      <c r="E42">
        <v>25052.35</v>
      </c>
      <c r="F42">
        <v>220419448</v>
      </c>
      <c r="G42">
        <v>26994.19</v>
      </c>
      <c r="H42">
        <f t="shared" si="0"/>
        <v>1.3830180571793446E-3</v>
      </c>
    </row>
    <row r="43" spans="1:8" ht="14.25" customHeight="1" x14ac:dyDescent="0.3">
      <c r="A43" s="2">
        <v>45533</v>
      </c>
      <c r="B43">
        <v>25035.3</v>
      </c>
      <c r="C43">
        <v>25192.9</v>
      </c>
      <c r="D43">
        <v>24998.5</v>
      </c>
      <c r="E43">
        <v>25151.95</v>
      </c>
      <c r="F43">
        <v>353993900</v>
      </c>
      <c r="G43">
        <v>43221.73</v>
      </c>
      <c r="H43">
        <f t="shared" si="0"/>
        <v>3.9756749366826744E-3</v>
      </c>
    </row>
    <row r="44" spans="1:8" ht="14.25" customHeight="1" x14ac:dyDescent="0.3">
      <c r="A44" s="2">
        <v>45534</v>
      </c>
      <c r="B44">
        <v>25249.7</v>
      </c>
      <c r="C44">
        <v>25268.35</v>
      </c>
      <c r="D44">
        <v>25199.4</v>
      </c>
      <c r="E44">
        <v>25235.9</v>
      </c>
      <c r="F44">
        <v>638166179</v>
      </c>
      <c r="G44">
        <v>89554.91</v>
      </c>
      <c r="H44">
        <f t="shared" si="0"/>
        <v>3.3377133780880101E-3</v>
      </c>
    </row>
    <row r="45" spans="1:8" ht="14.25" customHeight="1" x14ac:dyDescent="0.3">
      <c r="A45" s="2">
        <v>45537</v>
      </c>
      <c r="B45">
        <v>25333.599999999999</v>
      </c>
      <c r="C45">
        <v>25333.65</v>
      </c>
      <c r="D45">
        <v>25235.5</v>
      </c>
      <c r="E45">
        <v>25278.7</v>
      </c>
      <c r="F45">
        <v>222815249</v>
      </c>
      <c r="G45">
        <v>28187.71</v>
      </c>
      <c r="H45">
        <f t="shared" si="0"/>
        <v>1.6959965763059478E-3</v>
      </c>
    </row>
    <row r="46" spans="1:8" ht="14.25" customHeight="1" x14ac:dyDescent="0.3">
      <c r="A46" s="2">
        <v>45538</v>
      </c>
      <c r="B46">
        <v>25313.4</v>
      </c>
      <c r="C46">
        <v>25321.7</v>
      </c>
      <c r="D46">
        <v>25235.8</v>
      </c>
      <c r="E46">
        <v>25279.85</v>
      </c>
      <c r="F46">
        <v>212131921</v>
      </c>
      <c r="G46">
        <v>27276.14</v>
      </c>
      <c r="H46">
        <f t="shared" si="0"/>
        <v>4.5492845755431141E-5</v>
      </c>
    </row>
    <row r="47" spans="1:8" ht="14.25" customHeight="1" x14ac:dyDescent="0.3">
      <c r="A47" s="2">
        <v>45539</v>
      </c>
      <c r="B47">
        <v>25089.95</v>
      </c>
      <c r="C47">
        <v>25216</v>
      </c>
      <c r="D47">
        <v>25083.8</v>
      </c>
      <c r="E47">
        <v>25198.7</v>
      </c>
      <c r="F47">
        <v>253788501</v>
      </c>
      <c r="G47">
        <v>26293.35</v>
      </c>
      <c r="H47">
        <f t="shared" si="0"/>
        <v>-3.2100665154262318E-3</v>
      </c>
    </row>
    <row r="48" spans="1:8" ht="14.25" customHeight="1" x14ac:dyDescent="0.3">
      <c r="A48" s="2">
        <v>45540</v>
      </c>
      <c r="B48">
        <v>25250.5</v>
      </c>
      <c r="C48">
        <v>25275.45</v>
      </c>
      <c r="D48">
        <v>25127.75</v>
      </c>
      <c r="E48">
        <v>25145.1</v>
      </c>
      <c r="F48">
        <v>222242223</v>
      </c>
      <c r="G48">
        <v>26272.38</v>
      </c>
      <c r="H48">
        <f t="shared" si="0"/>
        <v>-2.1270938580165715E-3</v>
      </c>
    </row>
    <row r="49" spans="1:8" ht="14.25" customHeight="1" x14ac:dyDescent="0.3">
      <c r="A49" s="2">
        <v>45541</v>
      </c>
      <c r="B49">
        <v>25093.7</v>
      </c>
      <c r="C49">
        <v>25168.75</v>
      </c>
      <c r="D49">
        <v>24801.3</v>
      </c>
      <c r="E49">
        <v>24852.15</v>
      </c>
      <c r="F49">
        <v>311671856</v>
      </c>
      <c r="G49">
        <v>33001.17</v>
      </c>
      <c r="H49">
        <f t="shared" si="0"/>
        <v>-1.1650381187587128E-2</v>
      </c>
    </row>
    <row r="50" spans="1:8" ht="14.25" customHeight="1" x14ac:dyDescent="0.3">
      <c r="A50" s="2">
        <v>45544</v>
      </c>
      <c r="B50">
        <v>24823.4</v>
      </c>
      <c r="C50">
        <v>24957.5</v>
      </c>
      <c r="D50">
        <v>24753.15</v>
      </c>
      <c r="E50">
        <v>24936.400000000001</v>
      </c>
      <c r="F50">
        <v>254367252</v>
      </c>
      <c r="G50">
        <v>25180.28</v>
      </c>
      <c r="H50">
        <f t="shared" si="0"/>
        <v>3.3900487482974306E-3</v>
      </c>
    </row>
    <row r="51" spans="1:8" ht="14.25" customHeight="1" x14ac:dyDescent="0.3">
      <c r="A51" s="2">
        <v>45545</v>
      </c>
      <c r="B51">
        <v>24999.4</v>
      </c>
      <c r="C51">
        <v>25130.5</v>
      </c>
      <c r="D51">
        <v>24896.799999999999</v>
      </c>
      <c r="E51">
        <v>25041.1</v>
      </c>
      <c r="F51">
        <v>251274802</v>
      </c>
      <c r="G51">
        <v>27846.31</v>
      </c>
      <c r="H51">
        <f t="shared" si="0"/>
        <v>4.1986814455974835E-3</v>
      </c>
    </row>
    <row r="52" spans="1:8" ht="14.25" customHeight="1" x14ac:dyDescent="0.3">
      <c r="A52" s="2">
        <v>45546</v>
      </c>
      <c r="B52">
        <v>25034</v>
      </c>
      <c r="C52">
        <v>25113.7</v>
      </c>
      <c r="D52">
        <v>24885.15</v>
      </c>
      <c r="E52">
        <v>24918.45</v>
      </c>
      <c r="F52">
        <v>279229206</v>
      </c>
      <c r="G52">
        <v>29395.73</v>
      </c>
      <c r="H52">
        <f t="shared" si="0"/>
        <v>-4.8979477738596879E-3</v>
      </c>
    </row>
    <row r="53" spans="1:8" ht="14.25" customHeight="1" x14ac:dyDescent="0.3">
      <c r="A53" s="2">
        <v>45547</v>
      </c>
      <c r="B53">
        <v>25059.65</v>
      </c>
      <c r="C53">
        <v>25433.35</v>
      </c>
      <c r="D53">
        <v>24941.45</v>
      </c>
      <c r="E53">
        <v>25388.9</v>
      </c>
      <c r="F53">
        <v>380069653</v>
      </c>
      <c r="G53">
        <v>41747.910000000003</v>
      </c>
      <c r="H53">
        <f t="shared" si="0"/>
        <v>1.8879585206945083E-2</v>
      </c>
    </row>
    <row r="54" spans="1:8" ht="14.25" customHeight="1" x14ac:dyDescent="0.3">
      <c r="A54" s="2">
        <v>45548</v>
      </c>
      <c r="B54">
        <v>25430.45</v>
      </c>
      <c r="C54">
        <v>25430.5</v>
      </c>
      <c r="D54">
        <v>25292.45</v>
      </c>
      <c r="E54">
        <v>25356.5</v>
      </c>
      <c r="F54">
        <v>250781898</v>
      </c>
      <c r="G54">
        <v>25530.69</v>
      </c>
      <c r="H54">
        <f t="shared" si="0"/>
        <v>-1.2761482380095812E-3</v>
      </c>
    </row>
    <row r="55" spans="1:8" ht="14.25" customHeight="1" x14ac:dyDescent="0.3">
      <c r="A55" s="2">
        <v>45551</v>
      </c>
      <c r="B55">
        <v>25406.65</v>
      </c>
      <c r="C55">
        <v>25445.7</v>
      </c>
      <c r="D55">
        <v>25336.2</v>
      </c>
      <c r="E55">
        <v>25383.75</v>
      </c>
      <c r="F55">
        <v>168694880</v>
      </c>
      <c r="G55">
        <v>18705.009999999998</v>
      </c>
      <c r="H55">
        <f t="shared" si="0"/>
        <v>1.0746751326089958E-3</v>
      </c>
    </row>
    <row r="56" spans="1:8" ht="14.25" customHeight="1" x14ac:dyDescent="0.3">
      <c r="A56" s="2">
        <v>45552</v>
      </c>
      <c r="B56">
        <v>25416.9</v>
      </c>
      <c r="C56">
        <v>25441.65</v>
      </c>
      <c r="D56">
        <v>25352.25</v>
      </c>
      <c r="E56">
        <v>25418.55</v>
      </c>
      <c r="F56">
        <v>215956868</v>
      </c>
      <c r="G56">
        <v>25280.83</v>
      </c>
      <c r="H56">
        <f t="shared" si="0"/>
        <v>1.3709558280395637E-3</v>
      </c>
    </row>
    <row r="57" spans="1:8" ht="14.25" customHeight="1" x14ac:dyDescent="0.3">
      <c r="A57" s="2">
        <v>45553</v>
      </c>
      <c r="B57">
        <v>25402.400000000001</v>
      </c>
      <c r="C57">
        <v>25482.2</v>
      </c>
      <c r="D57">
        <v>25285.55</v>
      </c>
      <c r="E57">
        <v>25377.55</v>
      </c>
      <c r="F57">
        <v>215727159</v>
      </c>
      <c r="G57">
        <v>28832</v>
      </c>
      <c r="H57">
        <f t="shared" si="0"/>
        <v>-1.612995233795791E-3</v>
      </c>
    </row>
    <row r="58" spans="1:8" ht="14.25" customHeight="1" x14ac:dyDescent="0.3">
      <c r="A58" s="2">
        <v>45554</v>
      </c>
      <c r="B58">
        <v>25487.05</v>
      </c>
      <c r="C58">
        <v>25611.95</v>
      </c>
      <c r="D58">
        <v>25376.05</v>
      </c>
      <c r="E58">
        <v>25415.8</v>
      </c>
      <c r="F58">
        <v>314461263</v>
      </c>
      <c r="G58">
        <v>34389.269999999997</v>
      </c>
      <c r="H58">
        <f t="shared" si="0"/>
        <v>1.5072376963103215E-3</v>
      </c>
    </row>
    <row r="59" spans="1:8" ht="14.25" customHeight="1" x14ac:dyDescent="0.3">
      <c r="A59" s="2">
        <v>45555</v>
      </c>
      <c r="B59">
        <v>25525.95</v>
      </c>
      <c r="C59">
        <v>25849.25</v>
      </c>
      <c r="D59">
        <v>25426.6</v>
      </c>
      <c r="E59">
        <v>25790.95</v>
      </c>
      <c r="F59">
        <v>533067422</v>
      </c>
      <c r="G59">
        <v>68915.27</v>
      </c>
      <c r="H59">
        <f t="shared" si="0"/>
        <v>1.4760503308965348E-2</v>
      </c>
    </row>
    <row r="60" spans="1:8" ht="14.25" customHeight="1" x14ac:dyDescent="0.3">
      <c r="A60" s="2">
        <v>45558</v>
      </c>
      <c r="B60">
        <v>25872.55</v>
      </c>
      <c r="C60">
        <v>25956</v>
      </c>
      <c r="D60">
        <v>25847.35</v>
      </c>
      <c r="E60">
        <v>25939.05</v>
      </c>
      <c r="F60">
        <v>209187756</v>
      </c>
      <c r="G60">
        <v>24825.74</v>
      </c>
      <c r="H60">
        <f t="shared" si="0"/>
        <v>5.7423243424534007E-3</v>
      </c>
    </row>
    <row r="61" spans="1:8" ht="14.25" customHeight="1" x14ac:dyDescent="0.3">
      <c r="A61" s="2">
        <v>45559</v>
      </c>
      <c r="B61">
        <v>25921.45</v>
      </c>
      <c r="C61">
        <v>26011.55</v>
      </c>
      <c r="D61">
        <v>25886.85</v>
      </c>
      <c r="E61">
        <v>25940.400000000001</v>
      </c>
      <c r="F61">
        <v>384115033</v>
      </c>
      <c r="G61">
        <v>35573.629999999997</v>
      </c>
      <c r="H61">
        <f t="shared" si="0"/>
        <v>5.2045082607195824E-5</v>
      </c>
    </row>
    <row r="62" spans="1:8" ht="14.25" customHeight="1" x14ac:dyDescent="0.3">
      <c r="A62" s="2">
        <v>45560</v>
      </c>
      <c r="B62">
        <v>25899.45</v>
      </c>
      <c r="C62">
        <v>26032.799999999999</v>
      </c>
      <c r="D62">
        <v>25871.35</v>
      </c>
      <c r="E62">
        <v>26004.15</v>
      </c>
      <c r="F62">
        <v>278540972</v>
      </c>
      <c r="G62">
        <v>27868.080000000002</v>
      </c>
      <c r="H62">
        <f t="shared" si="0"/>
        <v>2.4575565527131422E-3</v>
      </c>
    </row>
    <row r="63" spans="1:8" ht="14.25" customHeight="1" x14ac:dyDescent="0.3">
      <c r="A63" s="2">
        <v>45561</v>
      </c>
      <c r="B63">
        <v>26005.4</v>
      </c>
      <c r="C63">
        <v>26250.9</v>
      </c>
      <c r="D63">
        <v>25998.400000000001</v>
      </c>
      <c r="E63">
        <v>26216.05</v>
      </c>
      <c r="F63">
        <v>370895477</v>
      </c>
      <c r="G63">
        <v>40838.36</v>
      </c>
      <c r="H63">
        <f t="shared" si="0"/>
        <v>8.1486993422202926E-3</v>
      </c>
    </row>
    <row r="64" spans="1:8" ht="14.25" customHeight="1" x14ac:dyDescent="0.3">
      <c r="A64" s="2">
        <v>45562</v>
      </c>
      <c r="B64">
        <v>26248.25</v>
      </c>
      <c r="C64">
        <v>26277.35</v>
      </c>
      <c r="D64">
        <v>26151.4</v>
      </c>
      <c r="E64">
        <v>26178.95</v>
      </c>
      <c r="F64">
        <v>490332370</v>
      </c>
      <c r="G64">
        <v>55420.63</v>
      </c>
      <c r="H64">
        <f t="shared" si="0"/>
        <v>-1.4151636116042862E-3</v>
      </c>
    </row>
    <row r="65" spans="1:8" ht="14.25" customHeight="1" x14ac:dyDescent="0.3">
      <c r="A65" s="2">
        <v>45565</v>
      </c>
      <c r="B65">
        <v>26061.3</v>
      </c>
      <c r="C65">
        <v>26134.7</v>
      </c>
      <c r="D65">
        <v>25794.1</v>
      </c>
      <c r="E65">
        <v>25810.85</v>
      </c>
      <c r="F65">
        <v>375370974</v>
      </c>
      <c r="G65">
        <v>36028.06</v>
      </c>
      <c r="H65">
        <f t="shared" si="0"/>
        <v>-1.4060915353748036E-2</v>
      </c>
    </row>
    <row r="66" spans="1:8" ht="14.25" customHeight="1" x14ac:dyDescent="0.3">
      <c r="A66" s="2">
        <v>45566</v>
      </c>
      <c r="B66">
        <v>25788.45</v>
      </c>
      <c r="C66">
        <v>25907.599999999999</v>
      </c>
      <c r="D66">
        <v>25739.200000000001</v>
      </c>
      <c r="E66">
        <v>25796.9</v>
      </c>
      <c r="F66">
        <v>247423786</v>
      </c>
      <c r="G66">
        <v>27473.29</v>
      </c>
      <c r="H66">
        <f t="shared" si="0"/>
        <v>-5.4047038357888603E-4</v>
      </c>
    </row>
    <row r="67" spans="1:8" ht="14.25" customHeight="1" x14ac:dyDescent="0.3">
      <c r="A67" s="2">
        <v>45568</v>
      </c>
      <c r="B67">
        <v>25452.85</v>
      </c>
      <c r="C67">
        <v>25639.45</v>
      </c>
      <c r="D67">
        <v>25230.3</v>
      </c>
      <c r="E67">
        <v>25250.1</v>
      </c>
      <c r="F67">
        <v>423395030</v>
      </c>
      <c r="G67">
        <v>45689.5</v>
      </c>
      <c r="H67">
        <f t="shared" ref="H67:H130" si="1">(E67-E66)/E66</f>
        <v>-2.1196345297303278E-2</v>
      </c>
    </row>
    <row r="68" spans="1:8" ht="14.25" customHeight="1" x14ac:dyDescent="0.3">
      <c r="A68" s="2">
        <v>45569</v>
      </c>
      <c r="B68">
        <v>25181.9</v>
      </c>
      <c r="C68">
        <v>25485.05</v>
      </c>
      <c r="D68">
        <v>24966.799999999999</v>
      </c>
      <c r="E68">
        <v>25014.6</v>
      </c>
      <c r="F68">
        <v>374914801</v>
      </c>
      <c r="G68">
        <v>42719.71</v>
      </c>
      <c r="H68">
        <f t="shared" si="1"/>
        <v>-9.3266957358584725E-3</v>
      </c>
    </row>
    <row r="69" spans="1:8" ht="14.25" customHeight="1" x14ac:dyDescent="0.3">
      <c r="A69" s="2">
        <v>45572</v>
      </c>
      <c r="B69">
        <v>25084.1</v>
      </c>
      <c r="C69">
        <v>25143</v>
      </c>
      <c r="D69">
        <v>24694.35</v>
      </c>
      <c r="E69">
        <v>24795.75</v>
      </c>
      <c r="F69">
        <v>374345795</v>
      </c>
      <c r="G69">
        <v>40550.239999999998</v>
      </c>
      <c r="H69">
        <f t="shared" si="1"/>
        <v>-8.7488906478615912E-3</v>
      </c>
    </row>
    <row r="70" spans="1:8" ht="14.25" customHeight="1" x14ac:dyDescent="0.3">
      <c r="A70" s="2">
        <v>45573</v>
      </c>
      <c r="B70">
        <v>24832.2</v>
      </c>
      <c r="C70">
        <v>25044</v>
      </c>
      <c r="D70">
        <v>24756.799999999999</v>
      </c>
      <c r="E70">
        <v>25013.15</v>
      </c>
      <c r="F70">
        <v>333220055</v>
      </c>
      <c r="G70">
        <v>33493.360000000001</v>
      </c>
      <c r="H70">
        <f t="shared" si="1"/>
        <v>8.7676315497616109E-3</v>
      </c>
    </row>
    <row r="71" spans="1:8" ht="14.25" customHeight="1" x14ac:dyDescent="0.3">
      <c r="A71" s="2">
        <v>45574</v>
      </c>
      <c r="B71">
        <v>25065.8</v>
      </c>
      <c r="C71">
        <v>25234.05</v>
      </c>
      <c r="D71">
        <v>24947.7</v>
      </c>
      <c r="E71">
        <v>24981.95</v>
      </c>
      <c r="F71">
        <v>290562844</v>
      </c>
      <c r="G71">
        <v>30877.63</v>
      </c>
      <c r="H71">
        <f t="shared" si="1"/>
        <v>-1.2473438971101491E-3</v>
      </c>
    </row>
    <row r="72" spans="1:8" ht="14.25" customHeight="1" x14ac:dyDescent="0.3">
      <c r="A72" s="2">
        <v>45575</v>
      </c>
      <c r="B72">
        <v>25067.05</v>
      </c>
      <c r="C72">
        <v>25134.05</v>
      </c>
      <c r="D72">
        <v>24979.4</v>
      </c>
      <c r="E72">
        <v>24998.45</v>
      </c>
      <c r="F72">
        <v>261364749</v>
      </c>
      <c r="G72">
        <v>28046.45</v>
      </c>
      <c r="H72">
        <f t="shared" si="1"/>
        <v>6.604768642960217E-4</v>
      </c>
    </row>
    <row r="73" spans="1:8" ht="14.25" customHeight="1" x14ac:dyDescent="0.3">
      <c r="A73" s="2">
        <v>45576</v>
      </c>
      <c r="B73">
        <v>24985.3</v>
      </c>
      <c r="C73">
        <v>25028.65</v>
      </c>
      <c r="D73">
        <v>24920.05</v>
      </c>
      <c r="E73">
        <v>24964.25</v>
      </c>
      <c r="F73">
        <v>210462717</v>
      </c>
      <c r="G73">
        <v>21734.97</v>
      </c>
      <c r="H73">
        <f t="shared" si="1"/>
        <v>-1.368084821258947E-3</v>
      </c>
    </row>
    <row r="74" spans="1:8" ht="14.25" customHeight="1" x14ac:dyDescent="0.3">
      <c r="A74" s="2">
        <v>45579</v>
      </c>
      <c r="B74">
        <v>25023.45</v>
      </c>
      <c r="C74">
        <v>25159.75</v>
      </c>
      <c r="D74">
        <v>25017.5</v>
      </c>
      <c r="E74">
        <v>25127.95</v>
      </c>
      <c r="F74">
        <v>206423311</v>
      </c>
      <c r="G74">
        <v>21270.9</v>
      </c>
      <c r="H74">
        <f t="shared" si="1"/>
        <v>6.5573770491803574E-3</v>
      </c>
    </row>
    <row r="75" spans="1:8" ht="14.25" customHeight="1" x14ac:dyDescent="0.3">
      <c r="A75" s="2">
        <v>45580</v>
      </c>
      <c r="B75">
        <v>25186.3</v>
      </c>
      <c r="C75">
        <v>25212.05</v>
      </c>
      <c r="D75">
        <v>25008.15</v>
      </c>
      <c r="E75">
        <v>25057.35</v>
      </c>
      <c r="F75">
        <v>257228772</v>
      </c>
      <c r="G75">
        <v>29113.88</v>
      </c>
      <c r="H75">
        <f t="shared" si="1"/>
        <v>-2.8096203629823435E-3</v>
      </c>
    </row>
    <row r="76" spans="1:8" ht="14.25" customHeight="1" x14ac:dyDescent="0.3">
      <c r="A76" s="2">
        <v>45581</v>
      </c>
      <c r="B76">
        <v>25008.55</v>
      </c>
      <c r="C76">
        <v>25093.4</v>
      </c>
      <c r="D76">
        <v>24908.45</v>
      </c>
      <c r="E76">
        <v>24971.3</v>
      </c>
      <c r="F76">
        <v>226774456</v>
      </c>
      <c r="G76">
        <v>24115.83</v>
      </c>
      <c r="H76">
        <f t="shared" si="1"/>
        <v>-3.4341221238478642E-3</v>
      </c>
    </row>
    <row r="77" spans="1:8" ht="14.25" customHeight="1" x14ac:dyDescent="0.3">
      <c r="A77" s="2">
        <v>45582</v>
      </c>
      <c r="B77">
        <v>25027.4</v>
      </c>
      <c r="C77">
        <v>25029.5</v>
      </c>
      <c r="D77">
        <v>24728.9</v>
      </c>
      <c r="E77">
        <v>24749.85</v>
      </c>
      <c r="F77">
        <v>252755662</v>
      </c>
      <c r="G77">
        <v>32606.34</v>
      </c>
      <c r="H77">
        <f t="shared" si="1"/>
        <v>-8.8681806714108087E-3</v>
      </c>
    </row>
    <row r="78" spans="1:8" ht="14.25" customHeight="1" x14ac:dyDescent="0.3">
      <c r="A78" s="2">
        <v>45583</v>
      </c>
      <c r="B78">
        <v>24664.95</v>
      </c>
      <c r="C78">
        <v>24886.2</v>
      </c>
      <c r="D78">
        <v>24567.65</v>
      </c>
      <c r="E78">
        <v>24854.05</v>
      </c>
      <c r="F78">
        <v>290855392</v>
      </c>
      <c r="G78">
        <v>31772.76</v>
      </c>
      <c r="H78">
        <f t="shared" si="1"/>
        <v>4.2101265260193789E-3</v>
      </c>
    </row>
    <row r="79" spans="1:8" ht="14.25" customHeight="1" x14ac:dyDescent="0.3">
      <c r="A79" s="2">
        <v>45586</v>
      </c>
      <c r="B79">
        <v>24956.15</v>
      </c>
      <c r="C79">
        <v>24978.3</v>
      </c>
      <c r="D79">
        <v>24679.599999999999</v>
      </c>
      <c r="E79">
        <v>24781.1</v>
      </c>
      <c r="F79">
        <v>241978957</v>
      </c>
      <c r="G79">
        <v>32207.22</v>
      </c>
      <c r="H79">
        <f t="shared" si="1"/>
        <v>-2.9351353199981787E-3</v>
      </c>
    </row>
    <row r="80" spans="1:8" ht="14.25" customHeight="1" x14ac:dyDescent="0.3">
      <c r="A80" s="2">
        <v>45587</v>
      </c>
      <c r="B80">
        <v>24798.65</v>
      </c>
      <c r="C80">
        <v>24882</v>
      </c>
      <c r="D80">
        <v>24445.8</v>
      </c>
      <c r="E80">
        <v>24472.1</v>
      </c>
      <c r="F80">
        <v>279484697</v>
      </c>
      <c r="G80">
        <v>32801.589999999997</v>
      </c>
      <c r="H80">
        <f t="shared" si="1"/>
        <v>-1.2469180141317376E-2</v>
      </c>
    </row>
    <row r="81" spans="1:8" ht="14.25" customHeight="1" x14ac:dyDescent="0.3">
      <c r="A81" s="2">
        <v>45588</v>
      </c>
      <c r="B81">
        <v>24378.15</v>
      </c>
      <c r="C81">
        <v>24604.25</v>
      </c>
      <c r="D81">
        <v>24378.1</v>
      </c>
      <c r="E81">
        <v>24435.5</v>
      </c>
      <c r="F81">
        <v>284556771</v>
      </c>
      <c r="G81">
        <v>31928.1</v>
      </c>
      <c r="H81">
        <f t="shared" si="1"/>
        <v>-1.4955806816741737E-3</v>
      </c>
    </row>
    <row r="82" spans="1:8" ht="14.25" customHeight="1" x14ac:dyDescent="0.3">
      <c r="A82" s="2">
        <v>45589</v>
      </c>
      <c r="B82">
        <v>24412.7</v>
      </c>
      <c r="C82">
        <v>24480.65</v>
      </c>
      <c r="D82">
        <v>24341.200000000001</v>
      </c>
      <c r="E82">
        <v>24399.4</v>
      </c>
      <c r="F82">
        <v>216686434</v>
      </c>
      <c r="G82">
        <v>27817.66</v>
      </c>
      <c r="H82">
        <f t="shared" si="1"/>
        <v>-1.4773587608192403E-3</v>
      </c>
    </row>
    <row r="83" spans="1:8" ht="14.25" customHeight="1" x14ac:dyDescent="0.3">
      <c r="A83" s="2">
        <v>45590</v>
      </c>
      <c r="B83">
        <v>24418.05</v>
      </c>
      <c r="C83">
        <v>24440.25</v>
      </c>
      <c r="D83">
        <v>24073.9</v>
      </c>
      <c r="E83">
        <v>24180.799999999999</v>
      </c>
      <c r="F83">
        <v>372642214</v>
      </c>
      <c r="G83">
        <v>37068.910000000003</v>
      </c>
      <c r="H83">
        <f t="shared" si="1"/>
        <v>-8.9592367025419541E-3</v>
      </c>
    </row>
    <row r="84" spans="1:8" ht="14.25" customHeight="1" x14ac:dyDescent="0.3">
      <c r="A84" s="2">
        <v>45593</v>
      </c>
      <c r="B84">
        <v>24251.1</v>
      </c>
      <c r="C84">
        <v>24492.6</v>
      </c>
      <c r="D84">
        <v>24134.9</v>
      </c>
      <c r="E84">
        <v>24339.15</v>
      </c>
      <c r="F84">
        <v>278562235</v>
      </c>
      <c r="G84">
        <v>28136.06</v>
      </c>
      <c r="H84">
        <f t="shared" si="1"/>
        <v>6.5485840005294364E-3</v>
      </c>
    </row>
    <row r="85" spans="1:8" ht="14.25" customHeight="1" x14ac:dyDescent="0.3">
      <c r="A85" s="2">
        <v>45594</v>
      </c>
      <c r="B85">
        <v>24328.85</v>
      </c>
      <c r="C85">
        <v>24484.5</v>
      </c>
      <c r="D85">
        <v>24140.85</v>
      </c>
      <c r="E85">
        <v>24466.85</v>
      </c>
      <c r="F85">
        <v>332044690</v>
      </c>
      <c r="G85">
        <v>35579.480000000003</v>
      </c>
      <c r="H85">
        <f t="shared" si="1"/>
        <v>5.2466910307055539E-3</v>
      </c>
    </row>
    <row r="86" spans="1:8" ht="14.25" customHeight="1" x14ac:dyDescent="0.3">
      <c r="A86" s="2">
        <v>45595</v>
      </c>
      <c r="B86">
        <v>24371.45</v>
      </c>
      <c r="C86">
        <v>24498.2</v>
      </c>
      <c r="D86">
        <v>24307.3</v>
      </c>
      <c r="E86">
        <v>24340.85</v>
      </c>
      <c r="F86">
        <v>285196335</v>
      </c>
      <c r="G86">
        <v>31068.7</v>
      </c>
      <c r="H86">
        <f t="shared" si="1"/>
        <v>-5.1498251716097501E-3</v>
      </c>
    </row>
    <row r="87" spans="1:8" ht="14.25" customHeight="1" x14ac:dyDescent="0.3">
      <c r="A87" s="2">
        <v>45596</v>
      </c>
      <c r="B87">
        <v>24349.85</v>
      </c>
      <c r="C87">
        <v>24372.45</v>
      </c>
      <c r="D87">
        <v>24172.6</v>
      </c>
      <c r="E87">
        <v>24205.35</v>
      </c>
      <c r="F87">
        <v>287007588</v>
      </c>
      <c r="G87">
        <v>33403.89</v>
      </c>
      <c r="H87">
        <f t="shared" si="1"/>
        <v>-5.5667735514577351E-3</v>
      </c>
    </row>
    <row r="88" spans="1:8" ht="14.25" customHeight="1" x14ac:dyDescent="0.3">
      <c r="A88" s="2">
        <v>45597</v>
      </c>
      <c r="B88">
        <v>24302.75</v>
      </c>
      <c r="C88">
        <v>24368.25</v>
      </c>
      <c r="D88">
        <v>24280.2</v>
      </c>
      <c r="E88">
        <v>24304.35</v>
      </c>
      <c r="F88">
        <v>38811387</v>
      </c>
      <c r="G88">
        <v>3348.45</v>
      </c>
      <c r="H88">
        <f t="shared" si="1"/>
        <v>4.0900048956119209E-3</v>
      </c>
    </row>
    <row r="89" spans="1:8" ht="14.25" customHeight="1" x14ac:dyDescent="0.3">
      <c r="A89" s="2">
        <v>45600</v>
      </c>
      <c r="B89">
        <v>24315.75</v>
      </c>
      <c r="C89">
        <v>24316.75</v>
      </c>
      <c r="D89">
        <v>23816.15</v>
      </c>
      <c r="E89">
        <v>23995.35</v>
      </c>
      <c r="F89">
        <v>285531635</v>
      </c>
      <c r="G89">
        <v>31561.52</v>
      </c>
      <c r="H89">
        <f t="shared" si="1"/>
        <v>-1.2713773460306488E-2</v>
      </c>
    </row>
    <row r="90" spans="1:8" ht="14.25" customHeight="1" x14ac:dyDescent="0.3">
      <c r="A90" s="2">
        <v>45601</v>
      </c>
      <c r="B90">
        <v>23916.5</v>
      </c>
      <c r="C90">
        <v>24229.05</v>
      </c>
      <c r="D90">
        <v>23842.75</v>
      </c>
      <c r="E90">
        <v>24213.3</v>
      </c>
      <c r="F90">
        <v>289511197</v>
      </c>
      <c r="G90">
        <v>30074.77</v>
      </c>
      <c r="H90">
        <f t="shared" si="1"/>
        <v>9.0830098331552041E-3</v>
      </c>
    </row>
    <row r="91" spans="1:8" ht="14.25" customHeight="1" x14ac:dyDescent="0.3">
      <c r="A91" s="2">
        <v>45602</v>
      </c>
      <c r="B91">
        <v>24308.75</v>
      </c>
      <c r="C91">
        <v>24537.599999999999</v>
      </c>
      <c r="D91">
        <v>24204.05</v>
      </c>
      <c r="E91">
        <v>24484.05</v>
      </c>
      <c r="F91">
        <v>351082031</v>
      </c>
      <c r="G91">
        <v>34108.839999999997</v>
      </c>
      <c r="H91">
        <f t="shared" si="1"/>
        <v>1.1181871120417292E-2</v>
      </c>
    </row>
    <row r="92" spans="1:8" ht="14.25" customHeight="1" x14ac:dyDescent="0.3">
      <c r="A92" s="2">
        <v>45603</v>
      </c>
      <c r="B92">
        <v>24489.599999999999</v>
      </c>
      <c r="C92">
        <v>24503.35</v>
      </c>
      <c r="D92">
        <v>24179.05</v>
      </c>
      <c r="E92">
        <v>24199.35</v>
      </c>
      <c r="F92">
        <v>322185588</v>
      </c>
      <c r="G92">
        <v>30971.89</v>
      </c>
      <c r="H92">
        <f t="shared" si="1"/>
        <v>-1.162797821438858E-2</v>
      </c>
    </row>
    <row r="93" spans="1:8" ht="14.25" customHeight="1" x14ac:dyDescent="0.3">
      <c r="A93" s="2">
        <v>45604</v>
      </c>
      <c r="B93">
        <v>24207.7</v>
      </c>
      <c r="C93">
        <v>24276.15</v>
      </c>
      <c r="D93">
        <v>24066.65</v>
      </c>
      <c r="E93">
        <v>24148.2</v>
      </c>
      <c r="F93">
        <v>298725122</v>
      </c>
      <c r="G93">
        <v>27670.3</v>
      </c>
      <c r="H93">
        <f t="shared" si="1"/>
        <v>-2.1136931363858044E-3</v>
      </c>
    </row>
    <row r="94" spans="1:8" ht="14.25" customHeight="1" x14ac:dyDescent="0.3">
      <c r="A94" s="2">
        <v>45607</v>
      </c>
      <c r="B94">
        <v>24087.25</v>
      </c>
      <c r="C94">
        <v>24336.799999999999</v>
      </c>
      <c r="D94">
        <v>24004.6</v>
      </c>
      <c r="E94">
        <v>24141.3</v>
      </c>
      <c r="F94">
        <v>273370562</v>
      </c>
      <c r="G94">
        <v>26600.28</v>
      </c>
      <c r="H94">
        <f t="shared" si="1"/>
        <v>-2.8573558277641628E-4</v>
      </c>
    </row>
    <row r="95" spans="1:8" ht="14.25" customHeight="1" x14ac:dyDescent="0.3">
      <c r="A95" s="2">
        <v>45608</v>
      </c>
      <c r="B95">
        <v>24225.8</v>
      </c>
      <c r="C95">
        <v>24242</v>
      </c>
      <c r="D95">
        <v>23839.15</v>
      </c>
      <c r="E95">
        <v>23883.45</v>
      </c>
      <c r="F95">
        <v>255825829</v>
      </c>
      <c r="G95">
        <v>26852.73</v>
      </c>
      <c r="H95">
        <f t="shared" si="1"/>
        <v>-1.0680866399075383E-2</v>
      </c>
    </row>
    <row r="96" spans="1:8" ht="14.25" customHeight="1" x14ac:dyDescent="0.3">
      <c r="A96" s="2">
        <v>45609</v>
      </c>
      <c r="B96">
        <v>23822.45</v>
      </c>
      <c r="C96">
        <v>23873.599999999999</v>
      </c>
      <c r="D96">
        <v>23509.599999999999</v>
      </c>
      <c r="E96">
        <v>23559.05</v>
      </c>
      <c r="F96">
        <v>304569316</v>
      </c>
      <c r="G96">
        <v>27765.81</v>
      </c>
      <c r="H96">
        <f t="shared" si="1"/>
        <v>-1.3582627300494754E-2</v>
      </c>
    </row>
    <row r="97" spans="1:8" ht="14.25" customHeight="1" x14ac:dyDescent="0.3">
      <c r="A97" s="2">
        <v>45610</v>
      </c>
      <c r="B97">
        <v>23542.15</v>
      </c>
      <c r="C97">
        <v>23675.9</v>
      </c>
      <c r="D97">
        <v>23484.15</v>
      </c>
      <c r="E97">
        <v>23532.7</v>
      </c>
      <c r="F97">
        <v>257708474</v>
      </c>
      <c r="G97">
        <v>24814.37</v>
      </c>
      <c r="H97">
        <f t="shared" si="1"/>
        <v>-1.118466152073133E-3</v>
      </c>
    </row>
    <row r="98" spans="1:8" ht="14.25" customHeight="1" x14ac:dyDescent="0.3">
      <c r="A98" s="2">
        <v>45614</v>
      </c>
      <c r="B98">
        <v>23605.3</v>
      </c>
      <c r="C98">
        <v>23606.799999999999</v>
      </c>
      <c r="D98">
        <v>23350.400000000001</v>
      </c>
      <c r="E98">
        <v>23453.8</v>
      </c>
      <c r="F98">
        <v>263311912</v>
      </c>
      <c r="G98">
        <v>25257.33</v>
      </c>
      <c r="H98">
        <f t="shared" si="1"/>
        <v>-3.3527814487925929E-3</v>
      </c>
    </row>
    <row r="99" spans="1:8" ht="14.25" customHeight="1" x14ac:dyDescent="0.3">
      <c r="A99" s="2">
        <v>45615</v>
      </c>
      <c r="B99">
        <v>23529.55</v>
      </c>
      <c r="C99">
        <v>23780.65</v>
      </c>
      <c r="D99">
        <v>23464.799999999999</v>
      </c>
      <c r="E99">
        <v>23518.5</v>
      </c>
      <c r="F99">
        <v>297477279</v>
      </c>
      <c r="G99">
        <v>30486.78</v>
      </c>
      <c r="H99">
        <f t="shared" si="1"/>
        <v>2.7586148086877491E-3</v>
      </c>
    </row>
    <row r="100" spans="1:8" ht="14.25" customHeight="1" x14ac:dyDescent="0.3">
      <c r="A100" s="2">
        <v>45617</v>
      </c>
      <c r="B100">
        <v>23488.45</v>
      </c>
      <c r="C100">
        <v>23507.3</v>
      </c>
      <c r="D100">
        <v>23263.15</v>
      </c>
      <c r="E100">
        <v>23349.9</v>
      </c>
      <c r="F100">
        <v>420332354</v>
      </c>
      <c r="G100">
        <v>40900.89</v>
      </c>
      <c r="H100">
        <f t="shared" si="1"/>
        <v>-7.1688245423814677E-3</v>
      </c>
    </row>
    <row r="101" spans="1:8" ht="14.25" customHeight="1" x14ac:dyDescent="0.3">
      <c r="A101" s="2">
        <v>45618</v>
      </c>
      <c r="B101">
        <v>23411.8</v>
      </c>
      <c r="C101">
        <v>23956.1</v>
      </c>
      <c r="D101">
        <v>23359</v>
      </c>
      <c r="E101">
        <v>23907.25</v>
      </c>
      <c r="F101">
        <v>367562789</v>
      </c>
      <c r="G101">
        <v>39257.519999999997</v>
      </c>
      <c r="H101">
        <f t="shared" si="1"/>
        <v>2.3869481239748285E-2</v>
      </c>
    </row>
    <row r="102" spans="1:8" ht="14.25" customHeight="1" x14ac:dyDescent="0.3">
      <c r="A102" s="2">
        <v>45621</v>
      </c>
      <c r="B102">
        <v>24253.55</v>
      </c>
      <c r="C102">
        <v>24351.55</v>
      </c>
      <c r="D102">
        <v>24135.45</v>
      </c>
      <c r="E102">
        <v>24221.9</v>
      </c>
      <c r="F102">
        <v>687172787</v>
      </c>
      <c r="G102">
        <v>85975.81</v>
      </c>
      <c r="H102">
        <f t="shared" si="1"/>
        <v>1.316127952817666E-2</v>
      </c>
    </row>
    <row r="103" spans="1:8" ht="14.25" customHeight="1" x14ac:dyDescent="0.3">
      <c r="A103" s="2">
        <v>45622</v>
      </c>
      <c r="B103">
        <v>24343.3</v>
      </c>
      <c r="C103">
        <v>24343.3</v>
      </c>
      <c r="D103">
        <v>24125.4</v>
      </c>
      <c r="E103">
        <v>24194.5</v>
      </c>
      <c r="F103">
        <v>230691771</v>
      </c>
      <c r="G103">
        <v>24140.67</v>
      </c>
      <c r="H103">
        <f t="shared" si="1"/>
        <v>-1.1312077087264605E-3</v>
      </c>
    </row>
    <row r="104" spans="1:8" ht="14.25" customHeight="1" x14ac:dyDescent="0.3">
      <c r="A104" s="2">
        <v>45623</v>
      </c>
      <c r="B104">
        <v>24204.799999999999</v>
      </c>
      <c r="C104">
        <v>24354.55</v>
      </c>
      <c r="D104">
        <v>24145.65</v>
      </c>
      <c r="E104">
        <v>24274.9</v>
      </c>
      <c r="F104">
        <v>295011445</v>
      </c>
      <c r="G104">
        <v>31149.09</v>
      </c>
      <c r="H104">
        <f t="shared" si="1"/>
        <v>3.3230692926078842E-3</v>
      </c>
    </row>
    <row r="105" spans="1:8" ht="14.25" customHeight="1" x14ac:dyDescent="0.3">
      <c r="A105" s="2">
        <v>45624</v>
      </c>
      <c r="B105">
        <v>24274.15</v>
      </c>
      <c r="C105">
        <v>24345.75</v>
      </c>
      <c r="D105">
        <v>23873.35</v>
      </c>
      <c r="E105">
        <v>23914.15</v>
      </c>
      <c r="F105">
        <v>366745300</v>
      </c>
      <c r="G105">
        <v>41198.269999999997</v>
      </c>
      <c r="H105">
        <f t="shared" si="1"/>
        <v>-1.4861029293632517E-2</v>
      </c>
    </row>
    <row r="106" spans="1:8" ht="14.25" customHeight="1" x14ac:dyDescent="0.3">
      <c r="A106" s="2">
        <v>45625</v>
      </c>
      <c r="B106">
        <v>23927.15</v>
      </c>
      <c r="C106">
        <v>24188.45</v>
      </c>
      <c r="D106">
        <v>23927.15</v>
      </c>
      <c r="E106">
        <v>24131.1</v>
      </c>
      <c r="F106">
        <v>282104071</v>
      </c>
      <c r="G106">
        <v>30509.98</v>
      </c>
      <c r="H106">
        <f t="shared" si="1"/>
        <v>9.072034757664273E-3</v>
      </c>
    </row>
    <row r="107" spans="1:8" ht="14.25" customHeight="1" x14ac:dyDescent="0.3">
      <c r="A107" s="2">
        <v>45628</v>
      </c>
      <c r="B107">
        <v>24140.85</v>
      </c>
      <c r="C107">
        <v>24301.7</v>
      </c>
      <c r="D107">
        <v>24008.65</v>
      </c>
      <c r="E107">
        <v>24276.05</v>
      </c>
      <c r="F107">
        <v>220384187</v>
      </c>
      <c r="G107">
        <v>23162.75</v>
      </c>
      <c r="H107">
        <f t="shared" si="1"/>
        <v>6.0067713448620549E-3</v>
      </c>
    </row>
    <row r="108" spans="1:8" ht="14.25" customHeight="1" x14ac:dyDescent="0.3">
      <c r="A108" s="2">
        <v>45629</v>
      </c>
      <c r="B108">
        <v>24367.5</v>
      </c>
      <c r="C108">
        <v>24481.35</v>
      </c>
      <c r="D108">
        <v>24280</v>
      </c>
      <c r="E108">
        <v>24457.15</v>
      </c>
      <c r="F108">
        <v>339470947</v>
      </c>
      <c r="G108">
        <v>34228.300000000003</v>
      </c>
      <c r="H108">
        <f t="shared" si="1"/>
        <v>7.4600274756396606E-3</v>
      </c>
    </row>
    <row r="109" spans="1:8" ht="14.25" customHeight="1" x14ac:dyDescent="0.3">
      <c r="A109" s="2">
        <v>45630</v>
      </c>
      <c r="B109">
        <v>24488.75</v>
      </c>
      <c r="C109">
        <v>24573.200000000001</v>
      </c>
      <c r="D109">
        <v>24366.3</v>
      </c>
      <c r="E109">
        <v>24467.45</v>
      </c>
      <c r="F109">
        <v>348003156</v>
      </c>
      <c r="G109">
        <v>34639.78</v>
      </c>
      <c r="H109">
        <f t="shared" si="1"/>
        <v>4.2114473681517558E-4</v>
      </c>
    </row>
    <row r="110" spans="1:8" ht="14.25" customHeight="1" x14ac:dyDescent="0.3">
      <c r="A110" s="2">
        <v>45631</v>
      </c>
      <c r="B110">
        <v>24539.15</v>
      </c>
      <c r="C110">
        <v>24857.75</v>
      </c>
      <c r="D110">
        <v>24295.55</v>
      </c>
      <c r="E110">
        <v>24708.400000000001</v>
      </c>
      <c r="F110">
        <v>361469920</v>
      </c>
      <c r="G110">
        <v>40471.33</v>
      </c>
      <c r="H110">
        <f t="shared" si="1"/>
        <v>9.8477773531774147E-3</v>
      </c>
    </row>
    <row r="111" spans="1:8" ht="14.25" customHeight="1" x14ac:dyDescent="0.3">
      <c r="A111" s="2">
        <v>45632</v>
      </c>
      <c r="B111">
        <v>24729.45</v>
      </c>
      <c r="C111">
        <v>24751.05</v>
      </c>
      <c r="D111">
        <v>24620.5</v>
      </c>
      <c r="E111">
        <v>24677.8</v>
      </c>
      <c r="F111">
        <v>226731303</v>
      </c>
      <c r="G111">
        <v>23904.13</v>
      </c>
      <c r="H111">
        <f t="shared" si="1"/>
        <v>-1.2384452251057204E-3</v>
      </c>
    </row>
    <row r="112" spans="1:8" ht="14.25" customHeight="1" x14ac:dyDescent="0.3">
      <c r="A112" s="2">
        <v>45635</v>
      </c>
      <c r="B112">
        <v>24633.9</v>
      </c>
      <c r="C112">
        <v>24705</v>
      </c>
      <c r="D112">
        <v>24580.05</v>
      </c>
      <c r="E112">
        <v>24619</v>
      </c>
      <c r="F112">
        <v>248139308</v>
      </c>
      <c r="G112">
        <v>25099.79</v>
      </c>
      <c r="H112">
        <f t="shared" si="1"/>
        <v>-2.3827083451522938E-3</v>
      </c>
    </row>
    <row r="113" spans="1:8" ht="14.25" customHeight="1" x14ac:dyDescent="0.3">
      <c r="A113" s="2">
        <v>45636</v>
      </c>
      <c r="B113">
        <v>24652.65</v>
      </c>
      <c r="C113">
        <v>24677.8</v>
      </c>
      <c r="D113">
        <v>24510.65</v>
      </c>
      <c r="E113">
        <v>24610.05</v>
      </c>
      <c r="F113">
        <v>261048951</v>
      </c>
      <c r="G113">
        <v>26093.38</v>
      </c>
      <c r="H113">
        <f t="shared" si="1"/>
        <v>-3.6354035501038739E-4</v>
      </c>
    </row>
    <row r="114" spans="1:8" ht="14.25" customHeight="1" x14ac:dyDescent="0.3">
      <c r="A114" s="2">
        <v>45637</v>
      </c>
      <c r="B114">
        <v>24620.5</v>
      </c>
      <c r="C114">
        <v>24691.75</v>
      </c>
      <c r="D114">
        <v>24583.85</v>
      </c>
      <c r="E114">
        <v>24641.8</v>
      </c>
      <c r="F114">
        <v>187252712</v>
      </c>
      <c r="G114">
        <v>21592.23</v>
      </c>
      <c r="H114">
        <f t="shared" si="1"/>
        <v>1.29012334391844E-3</v>
      </c>
    </row>
    <row r="115" spans="1:8" ht="14.25" customHeight="1" x14ac:dyDescent="0.3">
      <c r="A115" s="2">
        <v>45638</v>
      </c>
      <c r="B115">
        <v>24604.45</v>
      </c>
      <c r="C115">
        <v>24675.25</v>
      </c>
      <c r="D115">
        <v>24527.95</v>
      </c>
      <c r="E115">
        <v>24548.7</v>
      </c>
      <c r="F115">
        <v>266051129</v>
      </c>
      <c r="G115">
        <v>28235.17</v>
      </c>
      <c r="H115">
        <f t="shared" si="1"/>
        <v>-3.77813309092674E-3</v>
      </c>
    </row>
    <row r="116" spans="1:8" ht="14.25" customHeight="1" x14ac:dyDescent="0.3">
      <c r="A116" s="2">
        <v>45639</v>
      </c>
      <c r="B116">
        <v>24498.35</v>
      </c>
      <c r="C116">
        <v>24792.3</v>
      </c>
      <c r="D116">
        <v>24180.799999999999</v>
      </c>
      <c r="E116">
        <v>24768.3</v>
      </c>
      <c r="F116">
        <v>310080852</v>
      </c>
      <c r="G116">
        <v>30429.73</v>
      </c>
      <c r="H116">
        <f t="shared" si="1"/>
        <v>8.9454838749098136E-3</v>
      </c>
    </row>
    <row r="117" spans="1:8" ht="14.25" customHeight="1" x14ac:dyDescent="0.3">
      <c r="A117" s="2">
        <v>45642</v>
      </c>
      <c r="B117">
        <v>24753.4</v>
      </c>
      <c r="C117">
        <v>24781.25</v>
      </c>
      <c r="D117">
        <v>24601.75</v>
      </c>
      <c r="E117">
        <v>24668.25</v>
      </c>
      <c r="F117">
        <v>187551629</v>
      </c>
      <c r="G117">
        <v>18608.23</v>
      </c>
      <c r="H117">
        <f t="shared" si="1"/>
        <v>-4.0394375068131148E-3</v>
      </c>
    </row>
    <row r="118" spans="1:8" ht="14.25" customHeight="1" x14ac:dyDescent="0.3">
      <c r="A118" s="2">
        <v>45643</v>
      </c>
      <c r="B118">
        <v>24584.799999999999</v>
      </c>
      <c r="C118">
        <v>24624.1</v>
      </c>
      <c r="D118">
        <v>24303.45</v>
      </c>
      <c r="E118">
        <v>24336</v>
      </c>
      <c r="F118">
        <v>264881033</v>
      </c>
      <c r="G118">
        <v>26765.16</v>
      </c>
      <c r="H118">
        <f t="shared" si="1"/>
        <v>-1.3468730047733423E-2</v>
      </c>
    </row>
    <row r="119" spans="1:8" ht="14.25" customHeight="1" x14ac:dyDescent="0.3">
      <c r="A119" s="2">
        <v>45644</v>
      </c>
      <c r="B119">
        <v>24297.95</v>
      </c>
      <c r="C119">
        <v>24394.45</v>
      </c>
      <c r="D119">
        <v>24149.85</v>
      </c>
      <c r="E119">
        <v>24198.85</v>
      </c>
      <c r="F119">
        <v>235346534</v>
      </c>
      <c r="G119">
        <v>23315.919999999998</v>
      </c>
      <c r="H119">
        <f t="shared" si="1"/>
        <v>-5.6356837606838205E-3</v>
      </c>
    </row>
    <row r="120" spans="1:8" ht="14.25" customHeight="1" x14ac:dyDescent="0.3">
      <c r="A120" s="2">
        <v>45645</v>
      </c>
      <c r="B120">
        <v>23877.15</v>
      </c>
      <c r="C120">
        <v>24004.9</v>
      </c>
      <c r="D120">
        <v>23870.3</v>
      </c>
      <c r="E120">
        <v>23951.7</v>
      </c>
      <c r="F120">
        <v>271128027</v>
      </c>
      <c r="G120">
        <v>27815.23</v>
      </c>
      <c r="H120">
        <f t="shared" si="1"/>
        <v>-1.0213295259898624E-2</v>
      </c>
    </row>
    <row r="121" spans="1:8" ht="14.25" customHeight="1" x14ac:dyDescent="0.3">
      <c r="A121" s="2">
        <v>45646</v>
      </c>
      <c r="B121">
        <v>23960.7</v>
      </c>
      <c r="C121">
        <v>24065.8</v>
      </c>
      <c r="D121">
        <v>23537.35</v>
      </c>
      <c r="E121">
        <v>23587.5</v>
      </c>
      <c r="F121">
        <v>442714411</v>
      </c>
      <c r="G121">
        <v>47084.68</v>
      </c>
      <c r="H121">
        <f t="shared" si="1"/>
        <v>-1.520560127256106E-2</v>
      </c>
    </row>
    <row r="122" spans="1:8" ht="14.25" customHeight="1" x14ac:dyDescent="0.3">
      <c r="A122" s="2">
        <v>45649</v>
      </c>
      <c r="B122">
        <v>23738.2</v>
      </c>
      <c r="C122">
        <v>23869.55</v>
      </c>
      <c r="D122">
        <v>23647.200000000001</v>
      </c>
      <c r="E122">
        <v>23753.45</v>
      </c>
      <c r="F122">
        <v>189758237</v>
      </c>
      <c r="G122">
        <v>18243.28</v>
      </c>
      <c r="H122">
        <f t="shared" si="1"/>
        <v>7.0355060943296547E-3</v>
      </c>
    </row>
    <row r="123" spans="1:8" ht="14.25" customHeight="1" x14ac:dyDescent="0.3">
      <c r="A123" s="2">
        <v>45650</v>
      </c>
      <c r="B123">
        <v>23769.1</v>
      </c>
      <c r="C123">
        <v>23867.65</v>
      </c>
      <c r="D123">
        <v>23685.15</v>
      </c>
      <c r="E123">
        <v>23727.65</v>
      </c>
      <c r="F123">
        <v>177664746</v>
      </c>
      <c r="G123">
        <v>16010.71</v>
      </c>
      <c r="H123">
        <f t="shared" si="1"/>
        <v>-1.0861580107310422E-3</v>
      </c>
    </row>
    <row r="124" spans="1:8" ht="14.25" customHeight="1" x14ac:dyDescent="0.3">
      <c r="A124" s="2">
        <v>45652</v>
      </c>
      <c r="B124">
        <v>23775.8</v>
      </c>
      <c r="C124">
        <v>23854.5</v>
      </c>
      <c r="D124">
        <v>23653.599999999999</v>
      </c>
      <c r="E124">
        <v>23750.2</v>
      </c>
      <c r="F124">
        <v>177681783</v>
      </c>
      <c r="G124">
        <v>16695.099999999999</v>
      </c>
      <c r="H124">
        <f t="shared" si="1"/>
        <v>9.5036803054660999E-4</v>
      </c>
    </row>
    <row r="125" spans="1:8" ht="14.25" customHeight="1" x14ac:dyDescent="0.3">
      <c r="A125" s="2">
        <v>45653</v>
      </c>
      <c r="B125">
        <v>23801.4</v>
      </c>
      <c r="C125">
        <v>23938.85</v>
      </c>
      <c r="D125">
        <v>23800.6</v>
      </c>
      <c r="E125">
        <v>23813.4</v>
      </c>
      <c r="F125">
        <v>176821521</v>
      </c>
      <c r="G125">
        <v>17164.990000000002</v>
      </c>
      <c r="H125">
        <f t="shared" si="1"/>
        <v>2.6610302229034166E-3</v>
      </c>
    </row>
    <row r="126" spans="1:8" ht="14.25" customHeight="1" x14ac:dyDescent="0.3">
      <c r="A126" s="2">
        <v>45656</v>
      </c>
      <c r="B126">
        <v>23796.9</v>
      </c>
      <c r="C126">
        <v>23915.35</v>
      </c>
      <c r="D126">
        <v>23599.3</v>
      </c>
      <c r="E126">
        <v>23644.9</v>
      </c>
      <c r="F126">
        <v>364929453</v>
      </c>
      <c r="G126">
        <v>33823.949999999997</v>
      </c>
      <c r="H126">
        <f t="shared" si="1"/>
        <v>-7.0758480519371439E-3</v>
      </c>
    </row>
    <row r="127" spans="1:8" ht="14.25" customHeight="1" x14ac:dyDescent="0.3">
      <c r="A127" s="2">
        <v>45657</v>
      </c>
      <c r="B127">
        <v>23560.6</v>
      </c>
      <c r="C127">
        <v>23689.85</v>
      </c>
      <c r="D127">
        <v>23460.45</v>
      </c>
      <c r="E127">
        <v>23644.799999999999</v>
      </c>
      <c r="F127">
        <v>193627727</v>
      </c>
      <c r="G127">
        <v>18646.79</v>
      </c>
      <c r="H127">
        <f t="shared" si="1"/>
        <v>-4.2292418239105594E-6</v>
      </c>
    </row>
    <row r="128" spans="1:8" ht="14.25" customHeight="1" x14ac:dyDescent="0.3">
      <c r="A128" s="2">
        <v>45658</v>
      </c>
      <c r="B128">
        <v>23637.65</v>
      </c>
      <c r="C128">
        <v>23822.799999999999</v>
      </c>
      <c r="D128">
        <v>23562.799999999999</v>
      </c>
      <c r="E128">
        <v>23742.9</v>
      </c>
      <c r="F128">
        <v>154921938</v>
      </c>
      <c r="G128">
        <v>14266.26</v>
      </c>
      <c r="H128">
        <f t="shared" si="1"/>
        <v>4.1489037758831622E-3</v>
      </c>
    </row>
    <row r="129" spans="1:8" ht="14.25" customHeight="1" x14ac:dyDescent="0.3">
      <c r="A129" s="2">
        <v>45659</v>
      </c>
      <c r="B129">
        <v>23783</v>
      </c>
      <c r="C129">
        <v>24226.7</v>
      </c>
      <c r="D129">
        <v>23751.55</v>
      </c>
      <c r="E129">
        <v>24188.65</v>
      </c>
      <c r="F129">
        <v>283200811</v>
      </c>
      <c r="G129">
        <v>32237.25</v>
      </c>
      <c r="H129">
        <f t="shared" si="1"/>
        <v>1.8774033500541212E-2</v>
      </c>
    </row>
    <row r="130" spans="1:8" ht="14.25" customHeight="1" x14ac:dyDescent="0.3">
      <c r="A130" s="2">
        <v>45660</v>
      </c>
      <c r="B130">
        <v>24196.400000000001</v>
      </c>
      <c r="C130">
        <v>24196.45</v>
      </c>
      <c r="D130">
        <v>23976</v>
      </c>
      <c r="E130">
        <v>24004.75</v>
      </c>
      <c r="F130">
        <v>312279515</v>
      </c>
      <c r="G130">
        <v>29411.99</v>
      </c>
      <c r="H130">
        <f t="shared" si="1"/>
        <v>-7.6027393012839265E-3</v>
      </c>
    </row>
    <row r="131" spans="1:8" ht="14.25" customHeight="1" x14ac:dyDescent="0.3">
      <c r="A131" s="2">
        <v>45663</v>
      </c>
      <c r="B131">
        <v>24045.8</v>
      </c>
      <c r="C131">
        <v>24089.95</v>
      </c>
      <c r="D131">
        <v>23551.9</v>
      </c>
      <c r="E131">
        <v>23616.05</v>
      </c>
      <c r="F131">
        <v>278061806</v>
      </c>
      <c r="G131">
        <v>25853.64</v>
      </c>
      <c r="H131">
        <f t="shared" ref="H131:H194" si="2">(E131-E130)/E130</f>
        <v>-1.6192628542267707E-2</v>
      </c>
    </row>
    <row r="132" spans="1:8" ht="14.25" customHeight="1" x14ac:dyDescent="0.3">
      <c r="A132" s="2">
        <v>45664</v>
      </c>
      <c r="B132">
        <v>23679.9</v>
      </c>
      <c r="C132">
        <v>23795.200000000001</v>
      </c>
      <c r="D132">
        <v>23637.8</v>
      </c>
      <c r="E132">
        <v>23707.9</v>
      </c>
      <c r="F132">
        <v>262337253</v>
      </c>
      <c r="G132">
        <v>22485.65</v>
      </c>
      <c r="H132">
        <f t="shared" si="2"/>
        <v>3.889304096155038E-3</v>
      </c>
    </row>
    <row r="133" spans="1:8" ht="14.25" customHeight="1" x14ac:dyDescent="0.3">
      <c r="A133" s="2">
        <v>45665</v>
      </c>
      <c r="B133">
        <v>23746.65</v>
      </c>
      <c r="C133">
        <v>23751.85</v>
      </c>
      <c r="D133">
        <v>23496.15</v>
      </c>
      <c r="E133">
        <v>23688.95</v>
      </c>
      <c r="F133">
        <v>266375381</v>
      </c>
      <c r="G133">
        <v>24718.54</v>
      </c>
      <c r="H133">
        <f t="shared" si="2"/>
        <v>-7.9931162186447249E-4</v>
      </c>
    </row>
    <row r="134" spans="1:8" ht="14.25" customHeight="1" x14ac:dyDescent="0.3">
      <c r="A134" s="2">
        <v>45666</v>
      </c>
      <c r="B134">
        <v>23674.75</v>
      </c>
      <c r="C134">
        <v>23689.5</v>
      </c>
      <c r="D134">
        <v>23503.05</v>
      </c>
      <c r="E134">
        <v>23526.5</v>
      </c>
      <c r="F134">
        <v>269239831</v>
      </c>
      <c r="G134">
        <v>26793.85</v>
      </c>
      <c r="H134">
        <f t="shared" si="2"/>
        <v>-6.8576277124988956E-3</v>
      </c>
    </row>
    <row r="135" spans="1:8" ht="14.25" customHeight="1" x14ac:dyDescent="0.3">
      <c r="A135" s="2">
        <v>45667</v>
      </c>
      <c r="B135">
        <v>23551.9</v>
      </c>
      <c r="C135">
        <v>23596.6</v>
      </c>
      <c r="D135">
        <v>23344.35</v>
      </c>
      <c r="E135">
        <v>23431.5</v>
      </c>
      <c r="F135">
        <v>261022434</v>
      </c>
      <c r="G135">
        <v>25017.599999999999</v>
      </c>
      <c r="H135">
        <f t="shared" si="2"/>
        <v>-4.0379997024631801E-3</v>
      </c>
    </row>
    <row r="136" spans="1:8" ht="14.25" customHeight="1" x14ac:dyDescent="0.3">
      <c r="A136" s="2">
        <v>45670</v>
      </c>
      <c r="B136">
        <v>23195.4</v>
      </c>
      <c r="C136">
        <v>23340.95</v>
      </c>
      <c r="D136">
        <v>23047.25</v>
      </c>
      <c r="E136">
        <v>23085.95</v>
      </c>
      <c r="F136">
        <v>316481107</v>
      </c>
      <c r="G136">
        <v>26890.37</v>
      </c>
      <c r="H136">
        <f t="shared" si="2"/>
        <v>-1.4747241960608552E-2</v>
      </c>
    </row>
    <row r="137" spans="1:8" ht="14.25" customHeight="1" x14ac:dyDescent="0.3">
      <c r="A137" s="2">
        <v>45671</v>
      </c>
      <c r="B137">
        <v>23165.9</v>
      </c>
      <c r="C137">
        <v>23264.95</v>
      </c>
      <c r="D137">
        <v>23134.15</v>
      </c>
      <c r="E137">
        <v>23176.05</v>
      </c>
      <c r="F137">
        <v>311235510</v>
      </c>
      <c r="G137">
        <v>31174.05</v>
      </c>
      <c r="H137">
        <f t="shared" si="2"/>
        <v>3.9028066854514777E-3</v>
      </c>
    </row>
    <row r="138" spans="1:8" ht="14.25" customHeight="1" x14ac:dyDescent="0.3">
      <c r="A138" s="2">
        <v>45672</v>
      </c>
      <c r="B138">
        <v>23250.45</v>
      </c>
      <c r="C138">
        <v>23293.65</v>
      </c>
      <c r="D138">
        <v>23146.45</v>
      </c>
      <c r="E138">
        <v>23213.200000000001</v>
      </c>
      <c r="F138">
        <v>228039156</v>
      </c>
      <c r="G138">
        <v>21587.78</v>
      </c>
      <c r="H138">
        <f t="shared" si="2"/>
        <v>1.6029478707545702E-3</v>
      </c>
    </row>
    <row r="139" spans="1:8" ht="14.25" customHeight="1" x14ac:dyDescent="0.3">
      <c r="A139" s="2">
        <v>45673</v>
      </c>
      <c r="B139">
        <v>23377.25</v>
      </c>
      <c r="C139">
        <v>23391.65</v>
      </c>
      <c r="D139">
        <v>23272.05</v>
      </c>
      <c r="E139">
        <v>23311.8</v>
      </c>
      <c r="F139">
        <v>299416081</v>
      </c>
      <c r="G139">
        <v>29784.82</v>
      </c>
      <c r="H139">
        <f t="shared" si="2"/>
        <v>4.2475832715867931E-3</v>
      </c>
    </row>
    <row r="140" spans="1:8" ht="14.25" customHeight="1" x14ac:dyDescent="0.3">
      <c r="A140" s="2">
        <v>45674</v>
      </c>
      <c r="B140">
        <v>23277.1</v>
      </c>
      <c r="C140">
        <v>23292.1</v>
      </c>
      <c r="D140">
        <v>23100.35</v>
      </c>
      <c r="E140">
        <v>23203.200000000001</v>
      </c>
      <c r="F140">
        <v>272945267</v>
      </c>
      <c r="G140">
        <v>27040.78</v>
      </c>
      <c r="H140">
        <f t="shared" si="2"/>
        <v>-4.6585849226571325E-3</v>
      </c>
    </row>
    <row r="141" spans="1:8" ht="14.25" customHeight="1" x14ac:dyDescent="0.3">
      <c r="A141" s="2">
        <v>45677</v>
      </c>
      <c r="B141">
        <v>23290.400000000001</v>
      </c>
      <c r="C141">
        <v>23391.1</v>
      </c>
      <c r="D141">
        <v>23170.65</v>
      </c>
      <c r="E141">
        <v>23344.75</v>
      </c>
      <c r="F141">
        <v>301455455</v>
      </c>
      <c r="G141">
        <v>27333.97</v>
      </c>
      <c r="H141">
        <f t="shared" si="2"/>
        <v>6.1004516618397148E-3</v>
      </c>
    </row>
    <row r="142" spans="1:8" ht="14.25" customHeight="1" x14ac:dyDescent="0.3">
      <c r="A142" s="2">
        <v>45678</v>
      </c>
      <c r="B142">
        <v>23421.65</v>
      </c>
      <c r="C142">
        <v>23426.3</v>
      </c>
      <c r="D142">
        <v>22976.85</v>
      </c>
      <c r="E142">
        <v>23024.65</v>
      </c>
      <c r="F142">
        <v>312871897</v>
      </c>
      <c r="G142">
        <v>30106.720000000001</v>
      </c>
      <c r="H142">
        <f t="shared" si="2"/>
        <v>-1.3711862410177815E-2</v>
      </c>
    </row>
    <row r="143" spans="1:8" ht="14.25" customHeight="1" x14ac:dyDescent="0.3">
      <c r="A143" s="2">
        <v>45679</v>
      </c>
      <c r="B143">
        <v>23099.15</v>
      </c>
      <c r="C143">
        <v>23169.55</v>
      </c>
      <c r="D143">
        <v>22981.3</v>
      </c>
      <c r="E143">
        <v>23155.35</v>
      </c>
      <c r="F143">
        <v>275951918</v>
      </c>
      <c r="G143">
        <v>25462.05</v>
      </c>
      <c r="H143">
        <f t="shared" si="2"/>
        <v>5.6765249417470879E-3</v>
      </c>
    </row>
    <row r="144" spans="1:8" ht="14.25" customHeight="1" x14ac:dyDescent="0.3">
      <c r="A144" s="2">
        <v>45680</v>
      </c>
      <c r="B144">
        <v>23128.3</v>
      </c>
      <c r="C144">
        <v>23270.799999999999</v>
      </c>
      <c r="D144">
        <v>23090.65</v>
      </c>
      <c r="E144">
        <v>23205.35</v>
      </c>
      <c r="F144">
        <v>275558357</v>
      </c>
      <c r="G144">
        <v>27723.78</v>
      </c>
      <c r="H144">
        <f t="shared" si="2"/>
        <v>2.1593281898135853E-3</v>
      </c>
    </row>
    <row r="145" spans="1:8" ht="14.25" customHeight="1" x14ac:dyDescent="0.3">
      <c r="A145" s="2">
        <v>45681</v>
      </c>
      <c r="B145">
        <v>23183.9</v>
      </c>
      <c r="C145">
        <v>23347.3</v>
      </c>
      <c r="D145">
        <v>23050</v>
      </c>
      <c r="E145">
        <v>23092.2</v>
      </c>
      <c r="F145">
        <v>264336332</v>
      </c>
      <c r="G145">
        <v>24412.46</v>
      </c>
      <c r="H145">
        <f t="shared" si="2"/>
        <v>-4.8760307429104848E-3</v>
      </c>
    </row>
    <row r="146" spans="1:8" ht="14.25" customHeight="1" x14ac:dyDescent="0.3">
      <c r="A146" s="2">
        <v>45684</v>
      </c>
      <c r="B146">
        <v>22940.15</v>
      </c>
      <c r="C146">
        <v>23007.45</v>
      </c>
      <c r="D146">
        <v>22786.9</v>
      </c>
      <c r="E146">
        <v>22829.15</v>
      </c>
      <c r="F146">
        <v>257372790</v>
      </c>
      <c r="G146">
        <v>24202.41</v>
      </c>
      <c r="H146">
        <f t="shared" si="2"/>
        <v>-1.1391292297832136E-2</v>
      </c>
    </row>
    <row r="147" spans="1:8" ht="14.25" customHeight="1" x14ac:dyDescent="0.3">
      <c r="A147" s="2">
        <v>45685</v>
      </c>
      <c r="B147">
        <v>22960.45</v>
      </c>
      <c r="C147">
        <v>23137.95</v>
      </c>
      <c r="D147">
        <v>22857.65</v>
      </c>
      <c r="E147">
        <v>22957.25</v>
      </c>
      <c r="F147">
        <v>361868609</v>
      </c>
      <c r="G147">
        <v>33221.800000000003</v>
      </c>
      <c r="H147">
        <f t="shared" si="2"/>
        <v>5.6112470240897508E-3</v>
      </c>
    </row>
    <row r="148" spans="1:8" ht="14.25" customHeight="1" x14ac:dyDescent="0.3">
      <c r="A148" s="2">
        <v>45686</v>
      </c>
      <c r="B148">
        <v>23026.75</v>
      </c>
      <c r="C148">
        <v>23183.35</v>
      </c>
      <c r="D148">
        <v>22976.5</v>
      </c>
      <c r="E148">
        <v>23163.1</v>
      </c>
      <c r="F148">
        <v>251208119</v>
      </c>
      <c r="G148">
        <v>22307.38</v>
      </c>
      <c r="H148">
        <f t="shared" si="2"/>
        <v>8.9666663036730675E-3</v>
      </c>
    </row>
    <row r="149" spans="1:8" ht="14.25" customHeight="1" x14ac:dyDescent="0.3">
      <c r="A149" s="2">
        <v>45687</v>
      </c>
      <c r="B149">
        <v>23169.5</v>
      </c>
      <c r="C149">
        <v>23322.05</v>
      </c>
      <c r="D149">
        <v>23139.200000000001</v>
      </c>
      <c r="E149">
        <v>23249.5</v>
      </c>
      <c r="F149">
        <v>384687127</v>
      </c>
      <c r="G149">
        <v>35252.870000000003</v>
      </c>
      <c r="H149">
        <f t="shared" si="2"/>
        <v>3.7300706727511198E-3</v>
      </c>
    </row>
    <row r="150" spans="1:8" ht="14.25" customHeight="1" x14ac:dyDescent="0.3">
      <c r="A150" s="2">
        <v>45688</v>
      </c>
      <c r="B150">
        <v>23296.75</v>
      </c>
      <c r="C150">
        <v>23546.799999999999</v>
      </c>
      <c r="D150">
        <v>23277.4</v>
      </c>
      <c r="E150">
        <v>23508.400000000001</v>
      </c>
      <c r="F150">
        <v>326919177</v>
      </c>
      <c r="G150">
        <v>28638.01</v>
      </c>
      <c r="H150">
        <f t="shared" si="2"/>
        <v>1.1135723348889286E-2</v>
      </c>
    </row>
    <row r="151" spans="1:8" ht="14.25" customHeight="1" x14ac:dyDescent="0.3">
      <c r="A151" s="2">
        <v>45689</v>
      </c>
      <c r="B151">
        <v>23528.6</v>
      </c>
      <c r="C151">
        <v>23632.45</v>
      </c>
      <c r="D151">
        <v>23318.3</v>
      </c>
      <c r="E151">
        <v>23482.15</v>
      </c>
      <c r="F151">
        <v>287703637</v>
      </c>
      <c r="G151">
        <v>25741.040000000001</v>
      </c>
      <c r="H151">
        <f t="shared" si="2"/>
        <v>-1.1166221435742116E-3</v>
      </c>
    </row>
    <row r="152" spans="1:8" ht="14.25" customHeight="1" x14ac:dyDescent="0.3">
      <c r="A152" s="2">
        <v>45691</v>
      </c>
      <c r="B152">
        <v>23319.35</v>
      </c>
      <c r="C152">
        <v>23381.599999999999</v>
      </c>
      <c r="D152">
        <v>23222</v>
      </c>
      <c r="E152">
        <v>23361.05</v>
      </c>
      <c r="F152">
        <v>347241171</v>
      </c>
      <c r="G152">
        <v>32019.13</v>
      </c>
      <c r="H152">
        <f t="shared" si="2"/>
        <v>-5.1571086974575228E-3</v>
      </c>
    </row>
    <row r="153" spans="1:8" ht="14.25" customHeight="1" x14ac:dyDescent="0.3">
      <c r="A153" s="2">
        <v>45692</v>
      </c>
      <c r="B153">
        <v>23509.9</v>
      </c>
      <c r="C153">
        <v>23762.75</v>
      </c>
      <c r="D153">
        <v>23423.15</v>
      </c>
      <c r="E153">
        <v>23739.25</v>
      </c>
      <c r="F153">
        <v>376742506</v>
      </c>
      <c r="G153">
        <v>35974.300000000003</v>
      </c>
      <c r="H153">
        <f t="shared" si="2"/>
        <v>1.6189340804458736E-2</v>
      </c>
    </row>
    <row r="154" spans="1:8" ht="14.25" customHeight="1" x14ac:dyDescent="0.3">
      <c r="A154" s="2">
        <v>45693</v>
      </c>
      <c r="B154">
        <v>23801.75</v>
      </c>
      <c r="C154">
        <v>23807.3</v>
      </c>
      <c r="D154">
        <v>23680.45</v>
      </c>
      <c r="E154">
        <v>23696.3</v>
      </c>
      <c r="F154">
        <v>267014345</v>
      </c>
      <c r="G154">
        <v>25806.44</v>
      </c>
      <c r="H154">
        <f t="shared" si="2"/>
        <v>-1.8092399717767296E-3</v>
      </c>
    </row>
    <row r="155" spans="1:8" ht="14.25" customHeight="1" x14ac:dyDescent="0.3">
      <c r="A155" s="2">
        <v>45694</v>
      </c>
      <c r="B155">
        <v>23761.95</v>
      </c>
      <c r="C155">
        <v>23773.55</v>
      </c>
      <c r="D155">
        <v>23556.25</v>
      </c>
      <c r="E155">
        <v>23603.35</v>
      </c>
      <c r="F155">
        <v>306978683</v>
      </c>
      <c r="G155">
        <v>30885.59</v>
      </c>
      <c r="H155">
        <f t="shared" si="2"/>
        <v>-3.9225533100104544E-3</v>
      </c>
    </row>
    <row r="156" spans="1:8" ht="14.25" customHeight="1" x14ac:dyDescent="0.3">
      <c r="A156" s="2">
        <v>45695</v>
      </c>
      <c r="B156">
        <v>23649.5</v>
      </c>
      <c r="C156">
        <v>23694.5</v>
      </c>
      <c r="D156">
        <v>23443.200000000001</v>
      </c>
      <c r="E156">
        <v>23559.95</v>
      </c>
      <c r="F156">
        <v>368092482</v>
      </c>
      <c r="G156">
        <v>30042</v>
      </c>
      <c r="H156">
        <f t="shared" si="2"/>
        <v>-1.8387220458112013E-3</v>
      </c>
    </row>
    <row r="157" spans="1:8" ht="14.25" customHeight="1" x14ac:dyDescent="0.3">
      <c r="A157" s="2">
        <v>45698</v>
      </c>
      <c r="B157">
        <v>23543.8</v>
      </c>
      <c r="C157">
        <v>23568.6</v>
      </c>
      <c r="D157">
        <v>23316.3</v>
      </c>
      <c r="E157">
        <v>23381.599999999999</v>
      </c>
      <c r="F157">
        <v>225529166</v>
      </c>
      <c r="G157">
        <v>21254.720000000001</v>
      </c>
      <c r="H157">
        <f t="shared" si="2"/>
        <v>-7.5700500213286602E-3</v>
      </c>
    </row>
    <row r="158" spans="1:8" ht="14.25" customHeight="1" x14ac:dyDescent="0.3">
      <c r="A158" s="2">
        <v>45699</v>
      </c>
      <c r="B158">
        <v>23383.55</v>
      </c>
      <c r="C158">
        <v>23390.05</v>
      </c>
      <c r="D158">
        <v>22986.65</v>
      </c>
      <c r="E158">
        <v>23071.8</v>
      </c>
      <c r="F158">
        <v>267969979</v>
      </c>
      <c r="G158">
        <v>27191.96</v>
      </c>
      <c r="H158">
        <f t="shared" si="2"/>
        <v>-1.3249734834228593E-2</v>
      </c>
    </row>
    <row r="159" spans="1:8" ht="14.25" customHeight="1" x14ac:dyDescent="0.3">
      <c r="A159" s="2">
        <v>45700</v>
      </c>
      <c r="B159">
        <v>23050.799999999999</v>
      </c>
      <c r="C159">
        <v>23144.7</v>
      </c>
      <c r="D159">
        <v>22798.35</v>
      </c>
      <c r="E159">
        <v>23045.25</v>
      </c>
      <c r="F159">
        <v>279656513</v>
      </c>
      <c r="G159">
        <v>26989.94</v>
      </c>
      <c r="H159">
        <f t="shared" si="2"/>
        <v>-1.1507554677138009E-3</v>
      </c>
    </row>
    <row r="160" spans="1:8" ht="14.25" customHeight="1" x14ac:dyDescent="0.3">
      <c r="A160" s="2">
        <v>45701</v>
      </c>
      <c r="B160">
        <v>23055.75</v>
      </c>
      <c r="C160">
        <v>23235.5</v>
      </c>
      <c r="D160">
        <v>22992.2</v>
      </c>
      <c r="E160">
        <v>23031.4</v>
      </c>
      <c r="F160">
        <v>265706855</v>
      </c>
      <c r="G160">
        <v>25218.86</v>
      </c>
      <c r="H160">
        <f t="shared" si="2"/>
        <v>-6.0099152753814971E-4</v>
      </c>
    </row>
    <row r="161" spans="1:8" ht="14.25" customHeight="1" x14ac:dyDescent="0.3">
      <c r="A161" s="2">
        <v>45702</v>
      </c>
      <c r="B161">
        <v>23096.45</v>
      </c>
      <c r="C161">
        <v>23133.7</v>
      </c>
      <c r="D161">
        <v>22774.85</v>
      </c>
      <c r="E161">
        <v>22929.25</v>
      </c>
      <c r="F161">
        <v>254479643</v>
      </c>
      <c r="G161">
        <v>22049.89</v>
      </c>
      <c r="H161">
        <f t="shared" si="2"/>
        <v>-4.4352492683901734E-3</v>
      </c>
    </row>
    <row r="162" spans="1:8" ht="14.25" customHeight="1" x14ac:dyDescent="0.3">
      <c r="A162" s="2">
        <v>45705</v>
      </c>
      <c r="B162">
        <v>22809.9</v>
      </c>
      <c r="C162">
        <v>22974.2</v>
      </c>
      <c r="D162">
        <v>22725.45</v>
      </c>
      <c r="E162">
        <v>22959.5</v>
      </c>
      <c r="F162">
        <v>207393944</v>
      </c>
      <c r="G162">
        <v>19809.439999999999</v>
      </c>
      <c r="H162">
        <f t="shared" si="2"/>
        <v>1.3192755977626831E-3</v>
      </c>
    </row>
    <row r="163" spans="1:8" ht="14.25" customHeight="1" x14ac:dyDescent="0.3">
      <c r="A163" s="2">
        <v>45706</v>
      </c>
      <c r="B163">
        <v>22963.65</v>
      </c>
      <c r="C163">
        <v>22992.5</v>
      </c>
      <c r="D163">
        <v>22801.5</v>
      </c>
      <c r="E163">
        <v>22945.3</v>
      </c>
      <c r="F163">
        <v>210616675</v>
      </c>
      <c r="G163">
        <v>19431.37</v>
      </c>
      <c r="H163">
        <f t="shared" si="2"/>
        <v>-6.184803676038558E-4</v>
      </c>
    </row>
    <row r="164" spans="1:8" ht="14.25" customHeight="1" x14ac:dyDescent="0.3">
      <c r="A164" s="2">
        <v>45707</v>
      </c>
      <c r="B164">
        <v>22847.25</v>
      </c>
      <c r="C164">
        <v>23049.95</v>
      </c>
      <c r="D164">
        <v>22814.85</v>
      </c>
      <c r="E164">
        <v>22932.9</v>
      </c>
      <c r="F164">
        <v>206999204</v>
      </c>
      <c r="G164">
        <v>19817.93</v>
      </c>
      <c r="H164">
        <f t="shared" si="2"/>
        <v>-5.4041568425768321E-4</v>
      </c>
    </row>
    <row r="165" spans="1:8" ht="14.25" customHeight="1" x14ac:dyDescent="0.3">
      <c r="A165" s="2">
        <v>45708</v>
      </c>
      <c r="B165">
        <v>22821.1</v>
      </c>
      <c r="C165">
        <v>22923.85</v>
      </c>
      <c r="D165">
        <v>22812.75</v>
      </c>
      <c r="E165">
        <v>22913.15</v>
      </c>
      <c r="F165">
        <v>240836647</v>
      </c>
      <c r="G165">
        <v>21303.88</v>
      </c>
      <c r="H165">
        <f t="shared" si="2"/>
        <v>-8.6120813329321623E-4</v>
      </c>
    </row>
    <row r="166" spans="1:8" ht="14.25" customHeight="1" x14ac:dyDescent="0.3">
      <c r="A166" s="2">
        <v>45709</v>
      </c>
      <c r="B166">
        <v>22857.200000000001</v>
      </c>
      <c r="C166">
        <v>22921</v>
      </c>
      <c r="D166">
        <v>22720.3</v>
      </c>
      <c r="E166">
        <v>22795.9</v>
      </c>
      <c r="F166">
        <v>242753984</v>
      </c>
      <c r="G166">
        <v>21994.37</v>
      </c>
      <c r="H166">
        <f t="shared" si="2"/>
        <v>-5.1171488861199788E-3</v>
      </c>
    </row>
    <row r="167" spans="1:8" ht="14.25" customHeight="1" x14ac:dyDescent="0.3">
      <c r="A167" s="2">
        <v>45712</v>
      </c>
      <c r="B167">
        <v>22609.35</v>
      </c>
      <c r="C167">
        <v>22668.05</v>
      </c>
      <c r="D167">
        <v>22518.799999999999</v>
      </c>
      <c r="E167">
        <v>22553.35</v>
      </c>
      <c r="F167">
        <v>214317552</v>
      </c>
      <c r="G167">
        <v>20772.95</v>
      </c>
      <c r="H167">
        <f t="shared" si="2"/>
        <v>-1.0640071240881163E-2</v>
      </c>
    </row>
    <row r="168" spans="1:8" ht="14.25" customHeight="1" x14ac:dyDescent="0.3">
      <c r="A168" s="2">
        <v>45713</v>
      </c>
      <c r="B168">
        <v>22516.45</v>
      </c>
      <c r="C168">
        <v>22625.3</v>
      </c>
      <c r="D168">
        <v>22513.9</v>
      </c>
      <c r="E168">
        <v>22547.55</v>
      </c>
      <c r="F168">
        <v>250279519</v>
      </c>
      <c r="G168">
        <v>24917.83</v>
      </c>
      <c r="H168">
        <f t="shared" si="2"/>
        <v>-2.571680038663557E-4</v>
      </c>
    </row>
    <row r="169" spans="1:8" ht="14.25" customHeight="1" x14ac:dyDescent="0.3">
      <c r="A169" s="2">
        <v>45715</v>
      </c>
      <c r="B169">
        <v>22568.95</v>
      </c>
      <c r="C169">
        <v>22613.3</v>
      </c>
      <c r="D169">
        <v>22508.400000000001</v>
      </c>
      <c r="E169">
        <v>22545.05</v>
      </c>
      <c r="F169">
        <v>289230479</v>
      </c>
      <c r="G169">
        <v>29775.64</v>
      </c>
      <c r="H169">
        <f t="shared" si="2"/>
        <v>-1.1087679149175853E-4</v>
      </c>
    </row>
    <row r="170" spans="1:8" ht="14.25" customHeight="1" x14ac:dyDescent="0.3">
      <c r="A170" s="2">
        <v>45716</v>
      </c>
      <c r="B170">
        <v>22433.4</v>
      </c>
      <c r="C170">
        <v>22450.35</v>
      </c>
      <c r="D170">
        <v>22104.85</v>
      </c>
      <c r="E170">
        <v>22124.7</v>
      </c>
      <c r="F170">
        <v>551285287</v>
      </c>
      <c r="G170">
        <v>52745.2</v>
      </c>
      <c r="H170">
        <f t="shared" si="2"/>
        <v>-1.8644891007116797E-2</v>
      </c>
    </row>
    <row r="171" spans="1:8" ht="14.25" customHeight="1" x14ac:dyDescent="0.3">
      <c r="A171" s="2">
        <v>45719</v>
      </c>
      <c r="B171">
        <v>22194.55</v>
      </c>
      <c r="C171">
        <v>22261.55</v>
      </c>
      <c r="D171">
        <v>22004.7</v>
      </c>
      <c r="E171">
        <v>22119.3</v>
      </c>
      <c r="F171">
        <v>282399735</v>
      </c>
      <c r="G171">
        <v>25942.05</v>
      </c>
      <c r="H171">
        <f t="shared" si="2"/>
        <v>-2.4407110604896133E-4</v>
      </c>
    </row>
    <row r="172" spans="1:8" ht="14.25" customHeight="1" x14ac:dyDescent="0.3">
      <c r="A172" s="2">
        <v>45720</v>
      </c>
      <c r="B172">
        <v>21974.45</v>
      </c>
      <c r="C172">
        <v>22105.05</v>
      </c>
      <c r="D172">
        <v>21964.6</v>
      </c>
      <c r="E172">
        <v>22082.65</v>
      </c>
      <c r="F172">
        <v>253260641</v>
      </c>
      <c r="G172">
        <v>22979.56</v>
      </c>
      <c r="H172">
        <f t="shared" si="2"/>
        <v>-1.656924043708337E-3</v>
      </c>
    </row>
    <row r="173" spans="1:8" ht="14.25" customHeight="1" x14ac:dyDescent="0.3">
      <c r="A173" s="2">
        <v>45721</v>
      </c>
      <c r="B173">
        <v>22073.05</v>
      </c>
      <c r="C173">
        <v>22394.9</v>
      </c>
      <c r="D173">
        <v>22067.8</v>
      </c>
      <c r="E173">
        <v>22337.3</v>
      </c>
      <c r="F173">
        <v>305942691</v>
      </c>
      <c r="G173">
        <v>26371.61</v>
      </c>
      <c r="H173">
        <f t="shared" si="2"/>
        <v>1.1531677583985519E-2</v>
      </c>
    </row>
    <row r="174" spans="1:8" ht="14.25" customHeight="1" x14ac:dyDescent="0.3">
      <c r="A174" s="2">
        <v>45722</v>
      </c>
      <c r="B174">
        <v>22476.35</v>
      </c>
      <c r="C174">
        <v>22556.45</v>
      </c>
      <c r="D174">
        <v>22245.85</v>
      </c>
      <c r="E174">
        <v>22544.7</v>
      </c>
      <c r="F174">
        <v>372083680</v>
      </c>
      <c r="G174">
        <v>30550.28</v>
      </c>
      <c r="H174">
        <f t="shared" si="2"/>
        <v>9.2849180518684658E-3</v>
      </c>
    </row>
    <row r="175" spans="1:8" ht="14.25" customHeight="1" x14ac:dyDescent="0.3">
      <c r="A175" s="2">
        <v>45723</v>
      </c>
      <c r="B175">
        <v>22508.65</v>
      </c>
      <c r="C175">
        <v>22633.8</v>
      </c>
      <c r="D175">
        <v>22464.75</v>
      </c>
      <c r="E175">
        <v>22552.5</v>
      </c>
      <c r="F175">
        <v>289765795</v>
      </c>
      <c r="G175">
        <v>21446.95</v>
      </c>
      <c r="H175">
        <f t="shared" si="2"/>
        <v>3.4597932108208459E-4</v>
      </c>
    </row>
    <row r="176" spans="1:8" ht="14.25" customHeight="1" x14ac:dyDescent="0.3">
      <c r="A176" s="2">
        <v>45726</v>
      </c>
      <c r="B176">
        <v>22521.85</v>
      </c>
      <c r="C176">
        <v>22676.75</v>
      </c>
      <c r="D176">
        <v>22429.05</v>
      </c>
      <c r="E176">
        <v>22460.3</v>
      </c>
      <c r="F176">
        <v>293855491</v>
      </c>
      <c r="G176">
        <v>22330.86</v>
      </c>
      <c r="H176">
        <f t="shared" si="2"/>
        <v>-4.0882385544840144E-3</v>
      </c>
    </row>
    <row r="177" spans="1:8" ht="14.25" customHeight="1" x14ac:dyDescent="0.3">
      <c r="A177" s="2">
        <v>45727</v>
      </c>
      <c r="B177">
        <v>22345.95</v>
      </c>
      <c r="C177">
        <v>22522.1</v>
      </c>
      <c r="D177">
        <v>22314.7</v>
      </c>
      <c r="E177">
        <v>22497.9</v>
      </c>
      <c r="F177">
        <v>347924102</v>
      </c>
      <c r="G177">
        <v>29208.22</v>
      </c>
      <c r="H177">
        <f t="shared" si="2"/>
        <v>1.6740649056335927E-3</v>
      </c>
    </row>
    <row r="178" spans="1:8" ht="14.25" customHeight="1" x14ac:dyDescent="0.3">
      <c r="A178" s="2">
        <v>45728</v>
      </c>
      <c r="B178">
        <v>22536.35</v>
      </c>
      <c r="C178">
        <v>22577.4</v>
      </c>
      <c r="D178">
        <v>22329.55</v>
      </c>
      <c r="E178">
        <v>22470.5</v>
      </c>
      <c r="F178">
        <v>369736725</v>
      </c>
      <c r="G178">
        <v>33406.410000000003</v>
      </c>
      <c r="H178">
        <f t="shared" si="2"/>
        <v>-1.2178914476462894E-3</v>
      </c>
    </row>
    <row r="179" spans="1:8" ht="14.25" customHeight="1" x14ac:dyDescent="0.3">
      <c r="A179" s="2">
        <v>45729</v>
      </c>
      <c r="B179">
        <v>22541.5</v>
      </c>
      <c r="C179">
        <v>22558.05</v>
      </c>
      <c r="D179">
        <v>22377.35</v>
      </c>
      <c r="E179">
        <v>22397.200000000001</v>
      </c>
      <c r="F179">
        <v>287535243</v>
      </c>
      <c r="G179">
        <v>22855.58</v>
      </c>
      <c r="H179">
        <f t="shared" si="2"/>
        <v>-3.262054693932012E-3</v>
      </c>
    </row>
    <row r="180" spans="1:8" ht="14.25" customHeight="1" x14ac:dyDescent="0.3">
      <c r="A180" s="2">
        <v>45733</v>
      </c>
      <c r="B180">
        <v>22353.15</v>
      </c>
      <c r="C180">
        <v>22577</v>
      </c>
      <c r="D180">
        <v>22353.15</v>
      </c>
      <c r="E180">
        <v>22508.75</v>
      </c>
      <c r="F180">
        <v>251102239</v>
      </c>
      <c r="G180">
        <v>24122.27</v>
      </c>
      <c r="H180">
        <f t="shared" si="2"/>
        <v>4.9805332809458001E-3</v>
      </c>
    </row>
    <row r="181" spans="1:8" ht="14.25" customHeight="1" x14ac:dyDescent="0.3">
      <c r="A181" s="2">
        <v>45734</v>
      </c>
      <c r="B181">
        <v>22662.25</v>
      </c>
      <c r="C181">
        <v>22857.8</v>
      </c>
      <c r="D181">
        <v>22599.200000000001</v>
      </c>
      <c r="E181">
        <v>22834.3</v>
      </c>
      <c r="F181">
        <v>272578844</v>
      </c>
      <c r="G181">
        <v>26387.47</v>
      </c>
      <c r="H181">
        <f t="shared" si="2"/>
        <v>1.4463264286110925E-2</v>
      </c>
    </row>
    <row r="182" spans="1:8" ht="14.25" customHeight="1" x14ac:dyDescent="0.3">
      <c r="A182" s="2">
        <v>45735</v>
      </c>
      <c r="B182">
        <v>22874.95</v>
      </c>
      <c r="C182">
        <v>22940.7</v>
      </c>
      <c r="D182">
        <v>22807.95</v>
      </c>
      <c r="E182">
        <v>22907.599999999999</v>
      </c>
      <c r="F182">
        <v>323992121</v>
      </c>
      <c r="G182">
        <v>26994.95</v>
      </c>
      <c r="H182">
        <f t="shared" si="2"/>
        <v>3.2100830767748203E-3</v>
      </c>
    </row>
    <row r="183" spans="1:8" ht="14.25" customHeight="1" x14ac:dyDescent="0.3">
      <c r="A183" s="2">
        <v>45736</v>
      </c>
      <c r="B183">
        <v>23036.6</v>
      </c>
      <c r="C183">
        <v>23216.7</v>
      </c>
      <c r="D183">
        <v>22973.95</v>
      </c>
      <c r="E183">
        <v>23190.65</v>
      </c>
      <c r="F183">
        <v>313729818</v>
      </c>
      <c r="G183">
        <v>27573.99</v>
      </c>
      <c r="H183">
        <f t="shared" si="2"/>
        <v>1.23561612739878E-2</v>
      </c>
    </row>
    <row r="184" spans="1:8" ht="14.25" customHeight="1" x14ac:dyDescent="0.3">
      <c r="A184" s="2">
        <v>45737</v>
      </c>
      <c r="B184">
        <v>23168.25</v>
      </c>
      <c r="C184">
        <v>23402.7</v>
      </c>
      <c r="D184">
        <v>23132.799999999999</v>
      </c>
      <c r="E184">
        <v>23350.400000000001</v>
      </c>
      <c r="F184">
        <v>540966316</v>
      </c>
      <c r="G184">
        <v>51005.67</v>
      </c>
      <c r="H184">
        <f t="shared" si="2"/>
        <v>6.8885520673202345E-3</v>
      </c>
    </row>
    <row r="185" spans="1:8" ht="14.25" customHeight="1" x14ac:dyDescent="0.3">
      <c r="A185" s="2">
        <v>45740</v>
      </c>
      <c r="B185">
        <v>23515.4</v>
      </c>
      <c r="C185">
        <v>23708.75</v>
      </c>
      <c r="D185">
        <v>23433.5</v>
      </c>
      <c r="E185">
        <v>23658.35</v>
      </c>
      <c r="F185">
        <v>311900413</v>
      </c>
      <c r="G185">
        <v>28871.35</v>
      </c>
      <c r="H185">
        <f t="shared" si="2"/>
        <v>1.3188210908592447E-2</v>
      </c>
    </row>
    <row r="186" spans="1:8" ht="14.25" customHeight="1" x14ac:dyDescent="0.3">
      <c r="A186" s="2">
        <v>45741</v>
      </c>
      <c r="B186">
        <v>23751.5</v>
      </c>
      <c r="C186">
        <v>23869.599999999999</v>
      </c>
      <c r="D186">
        <v>23601.4</v>
      </c>
      <c r="E186">
        <v>23668.65</v>
      </c>
      <c r="F186">
        <v>338216746</v>
      </c>
      <c r="G186">
        <v>35415.03</v>
      </c>
      <c r="H186">
        <f t="shared" si="2"/>
        <v>4.3536425828525282E-4</v>
      </c>
    </row>
    <row r="187" spans="1:8" ht="14.25" customHeight="1" x14ac:dyDescent="0.3">
      <c r="A187" s="2">
        <v>45742</v>
      </c>
      <c r="B187">
        <v>23700.95</v>
      </c>
      <c r="C187">
        <v>23736.5</v>
      </c>
      <c r="D187">
        <v>23451.7</v>
      </c>
      <c r="E187">
        <v>23486.85</v>
      </c>
      <c r="F187">
        <v>278590831</v>
      </c>
      <c r="G187">
        <v>26877.279999999999</v>
      </c>
      <c r="H187">
        <f t="shared" si="2"/>
        <v>-7.6810464475161409E-3</v>
      </c>
    </row>
    <row r="188" spans="1:8" ht="14.25" customHeight="1" x14ac:dyDescent="0.3">
      <c r="A188" s="2">
        <v>45743</v>
      </c>
      <c r="B188">
        <v>23433.95</v>
      </c>
      <c r="C188">
        <v>23646.45</v>
      </c>
      <c r="D188">
        <v>23412.2</v>
      </c>
      <c r="E188">
        <v>23591.95</v>
      </c>
      <c r="F188">
        <v>510302142</v>
      </c>
      <c r="G188">
        <v>46481.84</v>
      </c>
      <c r="H188">
        <f t="shared" si="2"/>
        <v>4.4748444342260539E-3</v>
      </c>
    </row>
    <row r="189" spans="1:8" ht="14.25" customHeight="1" x14ac:dyDescent="0.3">
      <c r="A189" s="2">
        <v>45744</v>
      </c>
      <c r="B189">
        <v>23600.400000000001</v>
      </c>
      <c r="C189">
        <v>23649.200000000001</v>
      </c>
      <c r="D189">
        <v>23450.2</v>
      </c>
      <c r="E189">
        <v>23519.35</v>
      </c>
      <c r="F189">
        <v>387455531</v>
      </c>
      <c r="G189">
        <v>29156.37</v>
      </c>
      <c r="H189">
        <f t="shared" si="2"/>
        <v>-3.077320865803894E-3</v>
      </c>
    </row>
    <row r="190" spans="1:8" ht="14.25" customHeight="1" x14ac:dyDescent="0.3">
      <c r="A190" s="2">
        <v>45748</v>
      </c>
      <c r="B190">
        <v>23341.1</v>
      </c>
      <c r="C190">
        <v>23565.15</v>
      </c>
      <c r="D190">
        <v>23136.400000000001</v>
      </c>
      <c r="E190">
        <v>23165.7</v>
      </c>
      <c r="F190">
        <v>375118343</v>
      </c>
      <c r="G190">
        <v>30680.7</v>
      </c>
      <c r="H190">
        <f t="shared" si="2"/>
        <v>-1.5036555006834706E-2</v>
      </c>
    </row>
    <row r="191" spans="1:8" ht="14.25" customHeight="1" x14ac:dyDescent="0.3">
      <c r="A191" s="2">
        <v>45749</v>
      </c>
      <c r="B191">
        <v>23192.6</v>
      </c>
      <c r="C191">
        <v>23350</v>
      </c>
      <c r="D191">
        <v>23158.45</v>
      </c>
      <c r="E191">
        <v>23332.35</v>
      </c>
      <c r="F191">
        <v>340970371</v>
      </c>
      <c r="G191">
        <v>24334.3</v>
      </c>
      <c r="H191">
        <f t="shared" si="2"/>
        <v>7.1938253538635921E-3</v>
      </c>
    </row>
    <row r="192" spans="1:8" ht="14.25" customHeight="1" x14ac:dyDescent="0.3">
      <c r="A192" s="2">
        <v>45750</v>
      </c>
      <c r="B192">
        <v>23150.3</v>
      </c>
      <c r="C192">
        <v>23306.5</v>
      </c>
      <c r="D192">
        <v>23145.8</v>
      </c>
      <c r="E192">
        <v>23250.1</v>
      </c>
      <c r="F192">
        <v>283196379</v>
      </c>
      <c r="G192">
        <v>23501.33</v>
      </c>
      <c r="H192">
        <f t="shared" si="2"/>
        <v>-3.5251485598321647E-3</v>
      </c>
    </row>
    <row r="193" spans="1:8" ht="14.25" customHeight="1" x14ac:dyDescent="0.3">
      <c r="A193" s="2">
        <v>45751</v>
      </c>
      <c r="B193">
        <v>23190.400000000001</v>
      </c>
      <c r="C193">
        <v>23214.7</v>
      </c>
      <c r="D193">
        <v>22857.45</v>
      </c>
      <c r="E193">
        <v>22904.45</v>
      </c>
      <c r="F193">
        <v>466776198</v>
      </c>
      <c r="G193">
        <v>33761.96</v>
      </c>
      <c r="H193">
        <f t="shared" si="2"/>
        <v>-1.4866602724289265E-2</v>
      </c>
    </row>
    <row r="194" spans="1:8" ht="14.25" customHeight="1" x14ac:dyDescent="0.3">
      <c r="A194" s="2">
        <v>45754</v>
      </c>
      <c r="B194">
        <v>21758.400000000001</v>
      </c>
      <c r="C194">
        <v>22254</v>
      </c>
      <c r="D194">
        <v>21743.65</v>
      </c>
      <c r="E194">
        <v>22161.599999999999</v>
      </c>
      <c r="F194">
        <v>647107618</v>
      </c>
      <c r="G194">
        <v>49172.14</v>
      </c>
      <c r="H194">
        <f t="shared" si="2"/>
        <v>-3.2432562231356883E-2</v>
      </c>
    </row>
    <row r="195" spans="1:8" ht="14.25" customHeight="1" x14ac:dyDescent="0.3">
      <c r="A195" s="2">
        <v>45755</v>
      </c>
      <c r="B195">
        <v>22446.75</v>
      </c>
      <c r="C195">
        <v>22697.200000000001</v>
      </c>
      <c r="D195">
        <v>22270.85</v>
      </c>
      <c r="E195">
        <v>22535.85</v>
      </c>
      <c r="F195">
        <v>468250807</v>
      </c>
      <c r="G195">
        <v>37226.82</v>
      </c>
      <c r="H195">
        <f t="shared" ref="H195:H258" si="3">(E195-E194)/E194</f>
        <v>1.6887318605154862E-2</v>
      </c>
    </row>
    <row r="196" spans="1:8" ht="14.25" customHeight="1" x14ac:dyDescent="0.3">
      <c r="A196" s="2">
        <v>45756</v>
      </c>
      <c r="B196">
        <v>22460.3</v>
      </c>
      <c r="C196">
        <v>22468.7</v>
      </c>
      <c r="D196">
        <v>22353.25</v>
      </c>
      <c r="E196">
        <v>22399.15</v>
      </c>
      <c r="F196">
        <v>383822618</v>
      </c>
      <c r="G196">
        <v>28996.55</v>
      </c>
      <c r="H196">
        <f t="shared" si="3"/>
        <v>-6.06589056991403E-3</v>
      </c>
    </row>
    <row r="197" spans="1:8" ht="14.25" customHeight="1" x14ac:dyDescent="0.3">
      <c r="A197" s="2">
        <v>45758</v>
      </c>
      <c r="B197">
        <v>22695.4</v>
      </c>
      <c r="C197">
        <v>22923.9</v>
      </c>
      <c r="D197">
        <v>22695.4</v>
      </c>
      <c r="E197">
        <v>22828.55</v>
      </c>
      <c r="F197">
        <v>402162001</v>
      </c>
      <c r="G197">
        <v>33683.599999999999</v>
      </c>
      <c r="H197">
        <f t="shared" si="3"/>
        <v>1.9170370304230196E-2</v>
      </c>
    </row>
    <row r="198" spans="1:8" ht="14.25" customHeight="1" x14ac:dyDescent="0.3">
      <c r="A198" s="2">
        <v>45762</v>
      </c>
      <c r="B198">
        <v>23368.35</v>
      </c>
      <c r="C198">
        <v>23368.35</v>
      </c>
      <c r="D198">
        <v>23207</v>
      </c>
      <c r="E198">
        <v>23328.55</v>
      </c>
      <c r="F198">
        <v>388321931</v>
      </c>
      <c r="G198">
        <v>34216.17</v>
      </c>
      <c r="H198">
        <f t="shared" si="3"/>
        <v>2.1902398531663203E-2</v>
      </c>
    </row>
    <row r="199" spans="1:8" ht="14.25" customHeight="1" x14ac:dyDescent="0.3">
      <c r="A199" s="2">
        <v>45763</v>
      </c>
      <c r="B199">
        <v>23344.1</v>
      </c>
      <c r="C199">
        <v>23452.2</v>
      </c>
      <c r="D199">
        <v>23273.05</v>
      </c>
      <c r="E199">
        <v>23437.200000000001</v>
      </c>
      <c r="F199">
        <v>348424960</v>
      </c>
      <c r="G199">
        <v>28102.36</v>
      </c>
      <c r="H199">
        <f t="shared" si="3"/>
        <v>4.6573833350123115E-3</v>
      </c>
    </row>
    <row r="200" spans="1:8" ht="14.25" customHeight="1" x14ac:dyDescent="0.3">
      <c r="A200" s="2">
        <v>45764</v>
      </c>
      <c r="B200">
        <v>23401.85</v>
      </c>
      <c r="C200">
        <v>23872.35</v>
      </c>
      <c r="D200">
        <v>23298.55</v>
      </c>
      <c r="E200">
        <v>23851.65</v>
      </c>
      <c r="F200">
        <v>505333905</v>
      </c>
      <c r="G200">
        <v>38450.089999999997</v>
      </c>
      <c r="H200">
        <f t="shared" si="3"/>
        <v>1.7683426347857283E-2</v>
      </c>
    </row>
    <row r="201" spans="1:8" ht="14.25" customHeight="1" x14ac:dyDescent="0.3">
      <c r="A201" s="2">
        <v>45768</v>
      </c>
      <c r="B201">
        <v>23949.15</v>
      </c>
      <c r="C201">
        <v>24189.55</v>
      </c>
      <c r="D201">
        <v>23903.65</v>
      </c>
      <c r="E201">
        <v>24125.55</v>
      </c>
      <c r="F201">
        <v>406145632</v>
      </c>
      <c r="G201">
        <v>33125.620000000003</v>
      </c>
      <c r="H201">
        <f t="shared" si="3"/>
        <v>1.1483482274811085E-2</v>
      </c>
    </row>
    <row r="202" spans="1:8" ht="14.25" customHeight="1" x14ac:dyDescent="0.3">
      <c r="A202" s="2">
        <v>45769</v>
      </c>
      <c r="B202">
        <v>24185.4</v>
      </c>
      <c r="C202">
        <v>24242.6</v>
      </c>
      <c r="D202">
        <v>24072</v>
      </c>
      <c r="E202">
        <v>24167.25</v>
      </c>
      <c r="F202">
        <v>440940490</v>
      </c>
      <c r="G202">
        <v>35479.29</v>
      </c>
      <c r="H202">
        <f t="shared" si="3"/>
        <v>1.7284580040662588E-3</v>
      </c>
    </row>
    <row r="203" spans="1:8" ht="14.25" customHeight="1" x14ac:dyDescent="0.3">
      <c r="A203" s="2">
        <v>45770</v>
      </c>
      <c r="B203">
        <v>24357.599999999999</v>
      </c>
      <c r="C203">
        <v>24359.3</v>
      </c>
      <c r="D203">
        <v>24119.95</v>
      </c>
      <c r="E203">
        <v>24328.95</v>
      </c>
      <c r="F203">
        <v>415042544</v>
      </c>
      <c r="G203">
        <v>34527.08</v>
      </c>
      <c r="H203">
        <f t="shared" si="3"/>
        <v>6.6908729789281248E-3</v>
      </c>
    </row>
    <row r="204" spans="1:8" ht="14.25" customHeight="1" x14ac:dyDescent="0.3">
      <c r="A204" s="2">
        <v>45771</v>
      </c>
      <c r="B204">
        <v>24277.9</v>
      </c>
      <c r="C204">
        <v>24347.85</v>
      </c>
      <c r="D204">
        <v>24216.15</v>
      </c>
      <c r="E204">
        <v>24246.7</v>
      </c>
      <c r="F204">
        <v>358768165</v>
      </c>
      <c r="G204">
        <v>33057.29</v>
      </c>
      <c r="H204">
        <f t="shared" si="3"/>
        <v>-3.3807459836943227E-3</v>
      </c>
    </row>
    <row r="205" spans="1:8" ht="14.25" customHeight="1" x14ac:dyDescent="0.3">
      <c r="A205" s="2">
        <v>45772</v>
      </c>
      <c r="B205">
        <v>24289</v>
      </c>
      <c r="C205">
        <v>24365.45</v>
      </c>
      <c r="D205">
        <v>23847.85</v>
      </c>
      <c r="E205">
        <v>24039.35</v>
      </c>
      <c r="F205">
        <v>387741866</v>
      </c>
      <c r="G205">
        <v>33430.86</v>
      </c>
      <c r="H205">
        <f t="shared" si="3"/>
        <v>-8.5516791975816155E-3</v>
      </c>
    </row>
    <row r="206" spans="1:8" ht="14.25" customHeight="1" x14ac:dyDescent="0.3">
      <c r="A206" s="2">
        <v>45775</v>
      </c>
      <c r="B206">
        <v>24070.25</v>
      </c>
      <c r="C206">
        <v>24355.1</v>
      </c>
      <c r="D206">
        <v>24054.05</v>
      </c>
      <c r="E206">
        <v>24328.5</v>
      </c>
      <c r="F206">
        <v>320467976</v>
      </c>
      <c r="G206">
        <v>28278.82</v>
      </c>
      <c r="H206">
        <f t="shared" si="3"/>
        <v>1.2028195437896677E-2</v>
      </c>
    </row>
    <row r="207" spans="1:8" ht="14.25" customHeight="1" x14ac:dyDescent="0.3">
      <c r="A207" s="2">
        <v>45776</v>
      </c>
      <c r="B207">
        <v>24370.7</v>
      </c>
      <c r="C207">
        <v>24457.65</v>
      </c>
      <c r="D207">
        <v>24290.75</v>
      </c>
      <c r="E207">
        <v>24335.95</v>
      </c>
      <c r="F207">
        <v>357563224</v>
      </c>
      <c r="G207">
        <v>30436.880000000001</v>
      </c>
      <c r="H207">
        <f t="shared" si="3"/>
        <v>3.0622520911690931E-4</v>
      </c>
    </row>
    <row r="208" spans="1:8" ht="14.25" customHeight="1" x14ac:dyDescent="0.3">
      <c r="A208" s="2">
        <v>45777</v>
      </c>
      <c r="B208">
        <v>24342.05</v>
      </c>
      <c r="C208">
        <v>24396.15</v>
      </c>
      <c r="D208">
        <v>24198.75</v>
      </c>
      <c r="E208">
        <v>24334.2</v>
      </c>
      <c r="F208">
        <v>424452559</v>
      </c>
      <c r="G208">
        <v>41073.480000000003</v>
      </c>
      <c r="H208">
        <f t="shared" si="3"/>
        <v>-7.1910075423396255E-5</v>
      </c>
    </row>
    <row r="209" spans="1:8" ht="14.25" customHeight="1" x14ac:dyDescent="0.3">
      <c r="A209" s="2">
        <v>45779</v>
      </c>
      <c r="B209">
        <v>24311.9</v>
      </c>
      <c r="C209">
        <v>24589.15</v>
      </c>
      <c r="D209">
        <v>24238.5</v>
      </c>
      <c r="E209">
        <v>24346.7</v>
      </c>
      <c r="F209">
        <v>421112627</v>
      </c>
      <c r="G209">
        <v>34043.269999999997</v>
      </c>
      <c r="H209">
        <f t="shared" si="3"/>
        <v>5.1368033467301161E-4</v>
      </c>
    </row>
    <row r="210" spans="1:8" ht="14.25" customHeight="1" x14ac:dyDescent="0.3">
      <c r="A210" s="2">
        <v>45782</v>
      </c>
      <c r="B210">
        <v>24419.5</v>
      </c>
      <c r="C210">
        <v>24526.400000000001</v>
      </c>
      <c r="D210">
        <v>24400.65</v>
      </c>
      <c r="E210">
        <v>24461.15</v>
      </c>
      <c r="F210">
        <v>291471628</v>
      </c>
      <c r="G210">
        <v>26918.36</v>
      </c>
      <c r="H210">
        <f t="shared" si="3"/>
        <v>4.700842413961675E-3</v>
      </c>
    </row>
    <row r="211" spans="1:8" ht="14.25" customHeight="1" x14ac:dyDescent="0.3">
      <c r="A211" s="2">
        <v>45783</v>
      </c>
      <c r="B211">
        <v>24500.75</v>
      </c>
      <c r="C211">
        <v>24509.65</v>
      </c>
      <c r="D211">
        <v>24331.8</v>
      </c>
      <c r="E211">
        <v>24379.599999999999</v>
      </c>
      <c r="F211">
        <v>302354059</v>
      </c>
      <c r="G211">
        <v>26481.15</v>
      </c>
      <c r="H211">
        <f t="shared" si="3"/>
        <v>-3.333857974788712E-3</v>
      </c>
    </row>
    <row r="212" spans="1:8" ht="14.25" customHeight="1" x14ac:dyDescent="0.3">
      <c r="A212" s="2">
        <v>45784</v>
      </c>
      <c r="B212">
        <v>24233.3</v>
      </c>
      <c r="C212">
        <v>24449.599999999999</v>
      </c>
      <c r="D212">
        <v>24220</v>
      </c>
      <c r="E212">
        <v>24414.400000000001</v>
      </c>
      <c r="F212">
        <v>330137191</v>
      </c>
      <c r="G212">
        <v>27648.34</v>
      </c>
      <c r="H212">
        <f t="shared" si="3"/>
        <v>1.4274229273656218E-3</v>
      </c>
    </row>
    <row r="213" spans="1:8" ht="14.25" customHeight="1" x14ac:dyDescent="0.3">
      <c r="A213" s="2">
        <v>45785</v>
      </c>
      <c r="B213">
        <v>24431.5</v>
      </c>
      <c r="C213">
        <v>24447.25</v>
      </c>
      <c r="D213">
        <v>24150.2</v>
      </c>
      <c r="E213">
        <v>24273.8</v>
      </c>
      <c r="F213">
        <v>411362230</v>
      </c>
      <c r="G213">
        <v>36893.06</v>
      </c>
      <c r="H213">
        <f t="shared" si="3"/>
        <v>-5.7588963890164071E-3</v>
      </c>
    </row>
    <row r="214" spans="1:8" ht="14.25" customHeight="1" x14ac:dyDescent="0.3">
      <c r="A214" s="2">
        <v>45786</v>
      </c>
      <c r="B214">
        <v>23935.75</v>
      </c>
      <c r="C214">
        <v>24164.25</v>
      </c>
      <c r="D214">
        <v>23935.75</v>
      </c>
      <c r="E214">
        <v>24008</v>
      </c>
      <c r="F214">
        <v>335550680</v>
      </c>
      <c r="G214">
        <v>28942.61</v>
      </c>
      <c r="H214">
        <f t="shared" si="3"/>
        <v>-1.095007786172743E-2</v>
      </c>
    </row>
    <row r="215" spans="1:8" ht="14.25" customHeight="1" x14ac:dyDescent="0.3">
      <c r="A215" s="2">
        <v>45789</v>
      </c>
      <c r="B215">
        <v>24420.1</v>
      </c>
      <c r="C215">
        <v>24944.799999999999</v>
      </c>
      <c r="D215">
        <v>24378.85</v>
      </c>
      <c r="E215">
        <v>24924.7</v>
      </c>
      <c r="F215">
        <v>368707684</v>
      </c>
      <c r="G215">
        <v>30362.27</v>
      </c>
      <c r="H215">
        <f t="shared" si="3"/>
        <v>3.8183105631456209E-2</v>
      </c>
    </row>
    <row r="216" spans="1:8" ht="14.25" customHeight="1" x14ac:dyDescent="0.3">
      <c r="A216" s="2">
        <v>45790</v>
      </c>
      <c r="B216">
        <v>24864.05</v>
      </c>
      <c r="C216">
        <v>24973.8</v>
      </c>
      <c r="D216">
        <v>24547.5</v>
      </c>
      <c r="E216">
        <v>24578.35</v>
      </c>
      <c r="F216">
        <v>422977876</v>
      </c>
      <c r="G216">
        <v>34576.660000000003</v>
      </c>
      <c r="H216">
        <f t="shared" si="3"/>
        <v>-1.389585431319142E-2</v>
      </c>
    </row>
    <row r="217" spans="1:8" ht="14.25" customHeight="1" x14ac:dyDescent="0.3">
      <c r="A217" s="2">
        <v>45791</v>
      </c>
      <c r="B217">
        <v>24613.8</v>
      </c>
      <c r="C217">
        <v>24767.55</v>
      </c>
      <c r="D217">
        <v>24535.55</v>
      </c>
      <c r="E217">
        <v>24666.9</v>
      </c>
      <c r="F217">
        <v>345490805</v>
      </c>
      <c r="G217">
        <v>25585.37</v>
      </c>
      <c r="H217">
        <f t="shared" si="3"/>
        <v>3.6027642213575326E-3</v>
      </c>
    </row>
    <row r="218" spans="1:8" ht="14.25" customHeight="1" x14ac:dyDescent="0.3">
      <c r="A218" s="2">
        <v>45792</v>
      </c>
      <c r="B218">
        <v>24694.45</v>
      </c>
      <c r="C218">
        <v>25116.25</v>
      </c>
      <c r="D218">
        <v>24494.45</v>
      </c>
      <c r="E218">
        <v>25062.1</v>
      </c>
      <c r="F218">
        <v>500821889</v>
      </c>
      <c r="G218">
        <v>44147.39</v>
      </c>
      <c r="H218">
        <f t="shared" si="3"/>
        <v>1.6021470067174921E-2</v>
      </c>
    </row>
    <row r="219" spans="1:8" ht="14.25" customHeight="1" x14ac:dyDescent="0.3">
      <c r="A219" s="2">
        <v>45793</v>
      </c>
      <c r="B219">
        <v>25064.65</v>
      </c>
      <c r="C219">
        <v>25070</v>
      </c>
      <c r="D219">
        <v>24953.05</v>
      </c>
      <c r="E219">
        <v>25019.8</v>
      </c>
      <c r="F219">
        <v>432717092</v>
      </c>
      <c r="G219">
        <v>43815.86</v>
      </c>
      <c r="H219">
        <f t="shared" si="3"/>
        <v>-1.6878074862042396E-3</v>
      </c>
    </row>
    <row r="220" spans="1:8" ht="14.25" customHeight="1" x14ac:dyDescent="0.3">
      <c r="A220" s="2">
        <v>45796</v>
      </c>
      <c r="B220">
        <v>25005.35</v>
      </c>
      <c r="C220">
        <v>25062.95</v>
      </c>
      <c r="D220">
        <v>24916.65</v>
      </c>
      <c r="E220">
        <v>24945.45</v>
      </c>
      <c r="F220">
        <v>255254340</v>
      </c>
      <c r="G220">
        <v>21598.6</v>
      </c>
      <c r="H220">
        <f t="shared" si="3"/>
        <v>-2.9716464560067845E-3</v>
      </c>
    </row>
    <row r="221" spans="1:8" ht="14.25" customHeight="1" x14ac:dyDescent="0.3">
      <c r="A221" s="2">
        <v>45797</v>
      </c>
      <c r="B221">
        <v>24996.2</v>
      </c>
      <c r="C221">
        <v>25010.35</v>
      </c>
      <c r="D221">
        <v>24669.7</v>
      </c>
      <c r="E221">
        <v>24683.9</v>
      </c>
      <c r="F221">
        <v>414799113</v>
      </c>
      <c r="G221">
        <v>31063.03</v>
      </c>
      <c r="H221">
        <f t="shared" si="3"/>
        <v>-1.0484878003804271E-2</v>
      </c>
    </row>
    <row r="222" spans="1:8" ht="14.25" customHeight="1" x14ac:dyDescent="0.3">
      <c r="A222" s="2">
        <v>45798</v>
      </c>
      <c r="B222">
        <v>24744.25</v>
      </c>
      <c r="C222">
        <v>24946.2</v>
      </c>
      <c r="D222">
        <v>24685.35</v>
      </c>
      <c r="E222">
        <v>24813.45</v>
      </c>
      <c r="F222">
        <v>332724952</v>
      </c>
      <c r="G222">
        <v>23179.85</v>
      </c>
      <c r="H222">
        <f t="shared" si="3"/>
        <v>5.2483602672186835E-3</v>
      </c>
    </row>
    <row r="223" spans="1:8" ht="14.25" customHeight="1" x14ac:dyDescent="0.3">
      <c r="A223" s="2">
        <v>45799</v>
      </c>
      <c r="B223">
        <v>24733.95</v>
      </c>
      <c r="C223">
        <v>24737.5</v>
      </c>
      <c r="D223">
        <v>24462.400000000001</v>
      </c>
      <c r="E223">
        <v>24609.7</v>
      </c>
      <c r="F223">
        <v>403279638</v>
      </c>
      <c r="G223">
        <v>30579.52</v>
      </c>
      <c r="H223">
        <f t="shared" si="3"/>
        <v>-8.2112725155107404E-3</v>
      </c>
    </row>
    <row r="224" spans="1:8" ht="14.25" customHeight="1" x14ac:dyDescent="0.3">
      <c r="A224" s="2">
        <v>45800</v>
      </c>
      <c r="B224">
        <v>24639.5</v>
      </c>
      <c r="C224">
        <v>24909.05</v>
      </c>
      <c r="D224">
        <v>24614.05</v>
      </c>
      <c r="E224">
        <v>24853.15</v>
      </c>
      <c r="F224">
        <v>270470348</v>
      </c>
      <c r="G224">
        <v>20200.73</v>
      </c>
      <c r="H224">
        <f t="shared" si="3"/>
        <v>9.8924407855439413E-3</v>
      </c>
    </row>
    <row r="225" spans="1:8" ht="14.25" customHeight="1" x14ac:dyDescent="0.3">
      <c r="A225" s="2">
        <v>45803</v>
      </c>
      <c r="B225">
        <v>24919.35</v>
      </c>
      <c r="C225">
        <v>25079.200000000001</v>
      </c>
      <c r="D225">
        <v>24900.5</v>
      </c>
      <c r="E225">
        <v>25001.15</v>
      </c>
      <c r="F225">
        <v>302799227</v>
      </c>
      <c r="G225">
        <v>20060.68</v>
      </c>
      <c r="H225">
        <f t="shared" si="3"/>
        <v>5.9549795498759711E-3</v>
      </c>
    </row>
    <row r="226" spans="1:8" ht="14.25" customHeight="1" x14ac:dyDescent="0.3">
      <c r="A226" s="2">
        <v>45804</v>
      </c>
      <c r="B226">
        <v>24956.65</v>
      </c>
      <c r="C226">
        <v>25062.9</v>
      </c>
      <c r="D226">
        <v>24704.1</v>
      </c>
      <c r="E226">
        <v>24826.2</v>
      </c>
      <c r="F226">
        <v>525653668</v>
      </c>
      <c r="G226">
        <v>33638.300000000003</v>
      </c>
      <c r="H226">
        <f t="shared" si="3"/>
        <v>-6.9976781068071155E-3</v>
      </c>
    </row>
    <row r="227" spans="1:8" ht="14.25" customHeight="1" x14ac:dyDescent="0.3">
      <c r="A227" s="2">
        <v>45805</v>
      </c>
      <c r="B227">
        <v>24832.5</v>
      </c>
      <c r="C227">
        <v>24864.25</v>
      </c>
      <c r="D227">
        <v>24737.05</v>
      </c>
      <c r="E227">
        <v>24752.45</v>
      </c>
      <c r="F227">
        <v>684425321</v>
      </c>
      <c r="G227">
        <v>37143.550000000003</v>
      </c>
      <c r="H227">
        <f t="shared" si="3"/>
        <v>-2.9706519725129095E-3</v>
      </c>
    </row>
    <row r="228" spans="1:8" ht="14.25" customHeight="1" x14ac:dyDescent="0.3">
      <c r="A228" s="2">
        <v>45806</v>
      </c>
      <c r="B228">
        <v>24825.1</v>
      </c>
      <c r="C228">
        <v>24892.6</v>
      </c>
      <c r="D228">
        <v>24677.3</v>
      </c>
      <c r="E228">
        <v>24833.599999999999</v>
      </c>
      <c r="F228">
        <v>345370611</v>
      </c>
      <c r="G228">
        <v>29730.05</v>
      </c>
      <c r="H228">
        <f t="shared" si="3"/>
        <v>3.2784633440325226E-3</v>
      </c>
    </row>
    <row r="229" spans="1:8" ht="14.25" customHeight="1" x14ac:dyDescent="0.3">
      <c r="A229" s="2">
        <v>45807</v>
      </c>
      <c r="B229">
        <v>24812.6</v>
      </c>
      <c r="C229">
        <v>24863.95</v>
      </c>
      <c r="D229">
        <v>24717.4</v>
      </c>
      <c r="E229">
        <v>24750.7</v>
      </c>
      <c r="F229">
        <v>853890978</v>
      </c>
      <c r="G229">
        <v>52247.87</v>
      </c>
      <c r="H229">
        <f t="shared" si="3"/>
        <v>-3.3382191869079725E-3</v>
      </c>
    </row>
    <row r="230" spans="1:8" ht="14.25" customHeight="1" x14ac:dyDescent="0.3">
      <c r="A230" s="2">
        <v>45810</v>
      </c>
      <c r="B230">
        <v>24669.7</v>
      </c>
      <c r="C230">
        <v>24754.400000000001</v>
      </c>
      <c r="D230">
        <v>24526.15</v>
      </c>
      <c r="E230">
        <v>24716.6</v>
      </c>
      <c r="F230">
        <v>311100908</v>
      </c>
      <c r="G230">
        <v>25091.040000000001</v>
      </c>
      <c r="H230">
        <f t="shared" si="3"/>
        <v>-1.3777388114276437E-3</v>
      </c>
    </row>
    <row r="231" spans="1:8" ht="14.25" customHeight="1" x14ac:dyDescent="0.3">
      <c r="A231" s="2">
        <v>45811</v>
      </c>
      <c r="B231">
        <v>24786.3</v>
      </c>
      <c r="C231">
        <v>24845.1</v>
      </c>
      <c r="D231">
        <v>24502.15</v>
      </c>
      <c r="E231">
        <v>24542.5</v>
      </c>
      <c r="F231">
        <v>349288937</v>
      </c>
      <c r="G231">
        <v>28906.400000000001</v>
      </c>
      <c r="H231">
        <f t="shared" si="3"/>
        <v>-7.0438490730925186E-3</v>
      </c>
    </row>
    <row r="232" spans="1:8" ht="14.25" customHeight="1" x14ac:dyDescent="0.3">
      <c r="A232" s="2">
        <v>45812</v>
      </c>
      <c r="B232">
        <v>24560.45</v>
      </c>
      <c r="C232">
        <v>24644.25</v>
      </c>
      <c r="D232">
        <v>24530.45</v>
      </c>
      <c r="E232">
        <v>24620.2</v>
      </c>
      <c r="F232">
        <v>280862575</v>
      </c>
      <c r="G232">
        <v>21907.07</v>
      </c>
      <c r="H232">
        <f t="shared" si="3"/>
        <v>3.165936640521574E-3</v>
      </c>
    </row>
    <row r="233" spans="1:8" ht="14.25" customHeight="1" x14ac:dyDescent="0.3">
      <c r="A233" s="2">
        <v>45813</v>
      </c>
      <c r="B233">
        <v>24691.200000000001</v>
      </c>
      <c r="C233">
        <v>24899.85</v>
      </c>
      <c r="D233">
        <v>24613.1</v>
      </c>
      <c r="E233">
        <v>24750.9</v>
      </c>
      <c r="F233">
        <v>388405978</v>
      </c>
      <c r="G233">
        <v>30186.46</v>
      </c>
      <c r="H233">
        <f t="shared" si="3"/>
        <v>5.308648995540277E-3</v>
      </c>
    </row>
    <row r="234" spans="1:8" ht="14.25" customHeight="1" x14ac:dyDescent="0.3">
      <c r="A234" s="2">
        <v>45814</v>
      </c>
      <c r="B234">
        <v>24748.7</v>
      </c>
      <c r="C234">
        <v>25029.5</v>
      </c>
      <c r="D234">
        <v>24671.45</v>
      </c>
      <c r="E234">
        <v>25003.05</v>
      </c>
      <c r="F234">
        <v>335581057</v>
      </c>
      <c r="G234">
        <v>30041.71</v>
      </c>
      <c r="H234">
        <f t="shared" si="3"/>
        <v>1.0187508333030225E-2</v>
      </c>
    </row>
    <row r="235" spans="1:8" ht="14.25" customHeight="1" x14ac:dyDescent="0.3">
      <c r="A235" s="2">
        <v>45817</v>
      </c>
      <c r="B235">
        <v>25160.1</v>
      </c>
      <c r="C235">
        <v>25160.1</v>
      </c>
      <c r="D235">
        <v>25077.15</v>
      </c>
      <c r="E235">
        <v>25103.200000000001</v>
      </c>
      <c r="F235">
        <v>279219989</v>
      </c>
      <c r="G235">
        <v>25606.21</v>
      </c>
      <c r="H235">
        <f t="shared" si="3"/>
        <v>4.0055113276180887E-3</v>
      </c>
    </row>
    <row r="236" spans="1:8" ht="14.25" customHeight="1" x14ac:dyDescent="0.3">
      <c r="A236" s="2">
        <v>45818</v>
      </c>
      <c r="B236">
        <v>25196.05</v>
      </c>
      <c r="C236">
        <v>25199.3</v>
      </c>
      <c r="D236">
        <v>25055.45</v>
      </c>
      <c r="E236">
        <v>25104.25</v>
      </c>
      <c r="F236">
        <v>307323471</v>
      </c>
      <c r="G236">
        <v>28813.93</v>
      </c>
      <c r="H236">
        <f t="shared" si="3"/>
        <v>4.1827336753850999E-5</v>
      </c>
    </row>
    <row r="237" spans="1:8" ht="14.25" customHeight="1" x14ac:dyDescent="0.3">
      <c r="A237" s="2">
        <v>45819</v>
      </c>
      <c r="B237">
        <v>25134.15</v>
      </c>
      <c r="C237">
        <v>25222.400000000001</v>
      </c>
      <c r="D237">
        <v>25081.3</v>
      </c>
      <c r="E237">
        <v>25141.4</v>
      </c>
      <c r="F237">
        <v>301245273</v>
      </c>
      <c r="G237">
        <v>25871.18</v>
      </c>
      <c r="H237">
        <f t="shared" si="3"/>
        <v>1.479829112600514E-3</v>
      </c>
    </row>
    <row r="238" spans="1:8" ht="14.25" customHeight="1" x14ac:dyDescent="0.3">
      <c r="A238" s="2">
        <v>45820</v>
      </c>
      <c r="B238">
        <v>25164.45</v>
      </c>
      <c r="C238">
        <v>25196.2</v>
      </c>
      <c r="D238">
        <v>24825.9</v>
      </c>
      <c r="E238">
        <v>24888.2</v>
      </c>
      <c r="F238">
        <v>328310748</v>
      </c>
      <c r="G238">
        <v>29573.27</v>
      </c>
      <c r="H238">
        <f t="shared" si="3"/>
        <v>-1.0071038207896168E-2</v>
      </c>
    </row>
    <row r="239" spans="1:8" ht="14.25" customHeight="1" x14ac:dyDescent="0.3">
      <c r="A239" s="2">
        <v>45821</v>
      </c>
      <c r="B239">
        <v>24473</v>
      </c>
      <c r="C239">
        <v>24754.35</v>
      </c>
      <c r="D239">
        <v>24473</v>
      </c>
      <c r="E239">
        <v>24718.6</v>
      </c>
      <c r="F239">
        <v>318711364</v>
      </c>
      <c r="G239">
        <v>24838.560000000001</v>
      </c>
      <c r="H239">
        <f t="shared" si="3"/>
        <v>-6.8144743292002704E-3</v>
      </c>
    </row>
    <row r="240" spans="1:8" ht="14.25" customHeight="1" x14ac:dyDescent="0.3">
      <c r="A240" s="2">
        <v>45824</v>
      </c>
      <c r="B240">
        <v>24732.35</v>
      </c>
      <c r="C240">
        <v>24967.1</v>
      </c>
      <c r="D240">
        <v>24703.599999999999</v>
      </c>
      <c r="E240">
        <v>24946.5</v>
      </c>
      <c r="F240">
        <v>305813047</v>
      </c>
      <c r="G240">
        <v>23857.15</v>
      </c>
      <c r="H240">
        <f t="shared" si="3"/>
        <v>9.2197778191322102E-3</v>
      </c>
    </row>
    <row r="241" spans="1:8" ht="14.25" customHeight="1" x14ac:dyDescent="0.3">
      <c r="A241" s="2">
        <v>45825</v>
      </c>
      <c r="B241">
        <v>24977.85</v>
      </c>
      <c r="C241">
        <v>24982.05</v>
      </c>
      <c r="D241">
        <v>24813.7</v>
      </c>
      <c r="E241">
        <v>24853.4</v>
      </c>
      <c r="F241">
        <v>242415740</v>
      </c>
      <c r="G241">
        <v>21818.05</v>
      </c>
      <c r="H241">
        <f t="shared" si="3"/>
        <v>-3.7319864510050927E-3</v>
      </c>
    </row>
    <row r="242" spans="1:8" ht="14.25" customHeight="1" x14ac:dyDescent="0.3">
      <c r="A242" s="2">
        <v>45826</v>
      </c>
      <c r="B242">
        <v>24788.35</v>
      </c>
      <c r="C242">
        <v>24947.55</v>
      </c>
      <c r="D242">
        <v>24750.45</v>
      </c>
      <c r="E242">
        <v>24812.05</v>
      </c>
      <c r="F242">
        <v>237599011</v>
      </c>
      <c r="G242">
        <v>22044.05</v>
      </c>
      <c r="H242">
        <f t="shared" si="3"/>
        <v>-1.6637562667482992E-3</v>
      </c>
    </row>
    <row r="243" spans="1:8" ht="14.25" customHeight="1" x14ac:dyDescent="0.3">
      <c r="A243" s="2">
        <v>45827</v>
      </c>
      <c r="B243">
        <v>24803.25</v>
      </c>
      <c r="C243">
        <v>24863.1</v>
      </c>
      <c r="D243">
        <v>24733.4</v>
      </c>
      <c r="E243">
        <v>24793.25</v>
      </c>
      <c r="F243">
        <v>274619935</v>
      </c>
      <c r="G243">
        <v>23620.79</v>
      </c>
      <c r="H243">
        <f t="shared" si="3"/>
        <v>-7.5769636124380178E-4</v>
      </c>
    </row>
    <row r="244" spans="1:8" ht="14.25" customHeight="1" x14ac:dyDescent="0.3">
      <c r="A244" s="2">
        <v>45828</v>
      </c>
      <c r="B244">
        <v>24787.65</v>
      </c>
      <c r="C244">
        <v>25136.2</v>
      </c>
      <c r="D244">
        <v>24783.65</v>
      </c>
      <c r="E244">
        <v>25112.400000000001</v>
      </c>
      <c r="F244">
        <v>574654035</v>
      </c>
      <c r="G244">
        <v>55782.03</v>
      </c>
      <c r="H244">
        <f t="shared" si="3"/>
        <v>1.2872455204541618E-2</v>
      </c>
    </row>
    <row r="245" spans="1:8" ht="14.25" customHeight="1" x14ac:dyDescent="0.3">
      <c r="A245" s="2">
        <v>45831</v>
      </c>
      <c r="B245">
        <v>24939.75</v>
      </c>
      <c r="C245">
        <v>25057</v>
      </c>
      <c r="D245">
        <v>24824.85</v>
      </c>
      <c r="E245">
        <v>24971.9</v>
      </c>
      <c r="F245">
        <v>248534153</v>
      </c>
      <c r="G245">
        <v>20797.88</v>
      </c>
      <c r="H245">
        <f t="shared" si="3"/>
        <v>-5.5948455742979557E-3</v>
      </c>
    </row>
    <row r="246" spans="1:8" ht="14.25" customHeight="1" x14ac:dyDescent="0.3">
      <c r="A246" s="2">
        <v>45832</v>
      </c>
      <c r="B246">
        <v>25179.9</v>
      </c>
      <c r="C246">
        <v>25317.7</v>
      </c>
      <c r="D246">
        <v>24999.7</v>
      </c>
      <c r="E246">
        <v>25044.35</v>
      </c>
      <c r="F246">
        <v>450185468</v>
      </c>
      <c r="G246">
        <v>35508.9</v>
      </c>
      <c r="H246">
        <f t="shared" si="3"/>
        <v>2.9012610173834224E-3</v>
      </c>
    </row>
    <row r="247" spans="1:8" ht="14.25" customHeight="1" x14ac:dyDescent="0.3">
      <c r="A247" s="2">
        <v>45833</v>
      </c>
      <c r="B247">
        <v>25150.35</v>
      </c>
      <c r="C247">
        <v>25266.799999999999</v>
      </c>
      <c r="D247">
        <v>25125.05</v>
      </c>
      <c r="E247">
        <v>25244.75</v>
      </c>
      <c r="F247">
        <v>260582584</v>
      </c>
      <c r="G247">
        <v>22985.17</v>
      </c>
      <c r="H247">
        <f t="shared" si="3"/>
        <v>8.0018047982878954E-3</v>
      </c>
    </row>
    <row r="248" spans="1:8" ht="14.25" customHeight="1" x14ac:dyDescent="0.3">
      <c r="A248" s="2">
        <v>45834</v>
      </c>
      <c r="B248">
        <v>25268.95</v>
      </c>
      <c r="C248">
        <v>25565.3</v>
      </c>
      <c r="D248">
        <v>25259.9</v>
      </c>
      <c r="E248">
        <v>25549</v>
      </c>
      <c r="F248">
        <v>428891818</v>
      </c>
      <c r="G248">
        <v>38689.39</v>
      </c>
      <c r="H248">
        <f t="shared" si="3"/>
        <v>1.205201081412967E-2</v>
      </c>
    </row>
    <row r="249" spans="1:8" ht="14.25" customHeight="1" x14ac:dyDescent="0.3">
      <c r="A249" s="2">
        <v>45835</v>
      </c>
      <c r="B249">
        <v>25576.65</v>
      </c>
      <c r="C249">
        <v>25654.2</v>
      </c>
      <c r="D249">
        <v>25523.55</v>
      </c>
      <c r="E249">
        <v>25637.8</v>
      </c>
      <c r="F249">
        <v>563957748</v>
      </c>
      <c r="G249">
        <v>47108.6</v>
      </c>
      <c r="H249">
        <f t="shared" si="3"/>
        <v>3.4756741946846948E-3</v>
      </c>
    </row>
    <row r="250" spans="1:8" ht="14.25" customHeight="1" x14ac:dyDescent="0.3">
      <c r="A250" s="2">
        <v>45838</v>
      </c>
      <c r="B250">
        <v>25661.65</v>
      </c>
      <c r="C250">
        <v>25669.35</v>
      </c>
      <c r="D250">
        <v>25473.3</v>
      </c>
      <c r="E250">
        <v>25517.05</v>
      </c>
      <c r="F250">
        <v>270981274</v>
      </c>
      <c r="G250">
        <v>24673.48</v>
      </c>
      <c r="H250">
        <f t="shared" si="3"/>
        <v>-4.7098424981862723E-3</v>
      </c>
    </row>
    <row r="251" spans="1:8" ht="14.25" customHeight="1" x14ac:dyDescent="0.3">
      <c r="A251" s="2">
        <v>45839</v>
      </c>
      <c r="B251">
        <v>25551.35</v>
      </c>
      <c r="C251">
        <v>25593.4</v>
      </c>
      <c r="D251">
        <v>25501.8</v>
      </c>
      <c r="E251">
        <v>25541.8</v>
      </c>
      <c r="F251">
        <v>260669106</v>
      </c>
      <c r="G251">
        <v>23921.02</v>
      </c>
      <c r="H251">
        <f t="shared" si="3"/>
        <v>9.6993970698023484E-4</v>
      </c>
    </row>
    <row r="252" spans="1:8" ht="14.25" customHeight="1" x14ac:dyDescent="0.3">
      <c r="A252" s="2">
        <v>45840</v>
      </c>
      <c r="B252">
        <v>25588.3</v>
      </c>
      <c r="C252">
        <v>25608.1</v>
      </c>
      <c r="D252">
        <v>25378.75</v>
      </c>
      <c r="E252">
        <v>25453.4</v>
      </c>
      <c r="F252">
        <v>309828013</v>
      </c>
      <c r="G252">
        <v>26681.66</v>
      </c>
      <c r="H252">
        <f t="shared" si="3"/>
        <v>-3.4609933520737702E-3</v>
      </c>
    </row>
    <row r="253" spans="1:8" ht="14.25" customHeight="1" x14ac:dyDescent="0.3">
      <c r="A253" s="2">
        <v>45841</v>
      </c>
      <c r="B253">
        <v>25505.1</v>
      </c>
      <c r="C253">
        <v>25587.5</v>
      </c>
      <c r="D253">
        <v>25384.35</v>
      </c>
      <c r="E253">
        <v>25405.3</v>
      </c>
      <c r="F253">
        <v>293428797</v>
      </c>
      <c r="G253">
        <v>24531.7</v>
      </c>
      <c r="H253">
        <f t="shared" si="3"/>
        <v>-1.8897278948982132E-3</v>
      </c>
    </row>
    <row r="254" spans="1:8" ht="14.25" customHeight="1" x14ac:dyDescent="0.3">
      <c r="A254" s="2">
        <v>45842</v>
      </c>
      <c r="B254">
        <v>25428.85</v>
      </c>
      <c r="C254">
        <v>25470.25</v>
      </c>
      <c r="D254">
        <v>25331.65</v>
      </c>
      <c r="E254">
        <v>25461</v>
      </c>
      <c r="F254">
        <v>193511595</v>
      </c>
      <c r="G254">
        <v>19101.330000000002</v>
      </c>
      <c r="H254">
        <f t="shared" si="3"/>
        <v>2.1924559048702723E-3</v>
      </c>
    </row>
    <row r="255" spans="1:8" ht="14.25" customHeight="1" x14ac:dyDescent="0.3">
      <c r="A255" s="2">
        <v>45845</v>
      </c>
      <c r="B255">
        <v>25450.45</v>
      </c>
      <c r="C255">
        <v>25489.8</v>
      </c>
      <c r="D255">
        <v>25407.25</v>
      </c>
      <c r="E255">
        <v>25461.3</v>
      </c>
      <c r="F255">
        <v>196051345</v>
      </c>
      <c r="G255">
        <v>16923.259999999998</v>
      </c>
      <c r="H255">
        <f t="shared" si="3"/>
        <v>1.1782726522888827E-5</v>
      </c>
    </row>
    <row r="256" spans="1:8" ht="14.25" customHeight="1" x14ac:dyDescent="0.3">
      <c r="A256" s="2">
        <v>45846</v>
      </c>
      <c r="B256">
        <v>25427.85</v>
      </c>
      <c r="C256">
        <v>25548.05</v>
      </c>
      <c r="D256">
        <v>25424.15</v>
      </c>
      <c r="E256">
        <v>25522.5</v>
      </c>
      <c r="F256">
        <v>210410530</v>
      </c>
      <c r="G256">
        <v>21947.32</v>
      </c>
      <c r="H256">
        <f t="shared" si="3"/>
        <v>2.4036478891494438E-3</v>
      </c>
    </row>
    <row r="257" spans="1:8" ht="14.25" customHeight="1" x14ac:dyDescent="0.3">
      <c r="A257" s="2">
        <v>45847</v>
      </c>
      <c r="B257">
        <v>25514.6</v>
      </c>
      <c r="C257">
        <v>25548.7</v>
      </c>
      <c r="D257">
        <v>25424.35</v>
      </c>
      <c r="E257">
        <v>25476.1</v>
      </c>
      <c r="F257">
        <v>239081546</v>
      </c>
      <c r="G257">
        <v>20549.5</v>
      </c>
      <c r="H257">
        <f t="shared" si="3"/>
        <v>-1.8180037222059538E-3</v>
      </c>
    </row>
    <row r="258" spans="1:8" ht="14.25" customHeight="1" x14ac:dyDescent="0.3">
      <c r="A258" s="2">
        <v>45848</v>
      </c>
      <c r="B258">
        <v>25511.65</v>
      </c>
      <c r="C258">
        <v>25524.05</v>
      </c>
      <c r="D258">
        <v>25340.45</v>
      </c>
      <c r="E258">
        <v>25355.25</v>
      </c>
      <c r="F258">
        <v>219609322</v>
      </c>
      <c r="G258">
        <v>21435.360000000001</v>
      </c>
      <c r="H258">
        <f t="shared" si="3"/>
        <v>-4.7436617064620787E-3</v>
      </c>
    </row>
    <row r="259" spans="1:8" ht="14.25" customHeight="1" x14ac:dyDescent="0.3">
      <c r="A259" s="2">
        <v>45849</v>
      </c>
      <c r="B259">
        <v>25255.5</v>
      </c>
      <c r="C259">
        <v>25322.45</v>
      </c>
      <c r="D259">
        <v>25129</v>
      </c>
      <c r="E259">
        <v>25149.85</v>
      </c>
      <c r="F259">
        <v>249987681</v>
      </c>
      <c r="G259">
        <v>26251.65</v>
      </c>
      <c r="H259">
        <f t="shared" ref="H259:H322" si="4">(E259-E258)/E258</f>
        <v>-8.1008864041964262E-3</v>
      </c>
    </row>
    <row r="260" spans="1:8" ht="14.25" customHeight="1" x14ac:dyDescent="0.3">
      <c r="A260" s="2">
        <v>45852</v>
      </c>
      <c r="B260">
        <v>25149.5</v>
      </c>
      <c r="C260">
        <v>25151.1</v>
      </c>
      <c r="D260">
        <v>25001.95</v>
      </c>
      <c r="E260">
        <v>25082.3</v>
      </c>
      <c r="F260">
        <v>259533624</v>
      </c>
      <c r="G260">
        <v>23316.33</v>
      </c>
      <c r="H260">
        <f t="shared" si="4"/>
        <v>-2.6859007111374135E-3</v>
      </c>
    </row>
    <row r="261" spans="1:8" ht="14.25" customHeight="1" x14ac:dyDescent="0.3">
      <c r="A261" s="2">
        <v>45853</v>
      </c>
      <c r="B261">
        <v>25089.5</v>
      </c>
      <c r="C261">
        <v>25245.200000000001</v>
      </c>
      <c r="D261">
        <v>25088.45</v>
      </c>
      <c r="E261">
        <v>25195.8</v>
      </c>
      <c r="F261">
        <v>241340130</v>
      </c>
      <c r="G261">
        <v>23282.7</v>
      </c>
      <c r="H261">
        <f t="shared" si="4"/>
        <v>4.5251033597397371E-3</v>
      </c>
    </row>
    <row r="262" spans="1:8" ht="14.25" customHeight="1" x14ac:dyDescent="0.3">
      <c r="A262" s="2">
        <v>45854</v>
      </c>
      <c r="B262">
        <v>25196.6</v>
      </c>
      <c r="C262">
        <v>25255.3</v>
      </c>
      <c r="D262">
        <v>25121.05</v>
      </c>
      <c r="E262">
        <v>25212.05</v>
      </c>
      <c r="F262">
        <v>228815928</v>
      </c>
      <c r="G262">
        <v>22254.54</v>
      </c>
      <c r="H262">
        <f t="shared" si="4"/>
        <v>6.4494876130148681E-4</v>
      </c>
    </row>
    <row r="263" spans="1:8" ht="14.25" customHeight="1" x14ac:dyDescent="0.3">
      <c r="A263" s="2">
        <v>45855</v>
      </c>
      <c r="B263">
        <v>25230.75</v>
      </c>
      <c r="C263">
        <v>25238.35</v>
      </c>
      <c r="D263">
        <v>25101</v>
      </c>
      <c r="E263">
        <v>25111.45</v>
      </c>
      <c r="F263">
        <v>243412540</v>
      </c>
      <c r="G263">
        <v>24715.35</v>
      </c>
      <c r="H263">
        <f t="shared" si="4"/>
        <v>-3.9901555010401196E-3</v>
      </c>
    </row>
    <row r="264" spans="1:8" ht="14.25" customHeight="1" x14ac:dyDescent="0.3">
      <c r="A264" s="2">
        <v>45856</v>
      </c>
      <c r="B264">
        <v>25108.55</v>
      </c>
      <c r="C264">
        <v>25144.6</v>
      </c>
      <c r="D264">
        <v>24918.65</v>
      </c>
      <c r="E264">
        <v>24968.400000000001</v>
      </c>
      <c r="F264">
        <v>316979826</v>
      </c>
      <c r="G264">
        <v>26330.799999999999</v>
      </c>
      <c r="H264">
        <f t="shared" si="4"/>
        <v>-5.6966045369741397E-3</v>
      </c>
    </row>
    <row r="265" spans="1:8" ht="14.25" customHeight="1" x14ac:dyDescent="0.3">
      <c r="A265" s="2">
        <v>45859</v>
      </c>
      <c r="B265">
        <v>24999</v>
      </c>
      <c r="C265">
        <v>25111.4</v>
      </c>
      <c r="D265">
        <v>24882.3</v>
      </c>
      <c r="E265">
        <v>25090.7</v>
      </c>
      <c r="F265">
        <v>305216414</v>
      </c>
      <c r="G265">
        <v>26062.25</v>
      </c>
      <c r="H265">
        <f t="shared" si="4"/>
        <v>4.8981913138206401E-3</v>
      </c>
    </row>
    <row r="266" spans="1:8" ht="14.25" customHeight="1" x14ac:dyDescent="0.3">
      <c r="A266" s="2">
        <v>45860</v>
      </c>
      <c r="B266">
        <v>25166.65</v>
      </c>
      <c r="C266">
        <v>25182</v>
      </c>
      <c r="D266">
        <v>25035.55</v>
      </c>
      <c r="E266">
        <v>25060.9</v>
      </c>
      <c r="F266">
        <v>483725120</v>
      </c>
      <c r="G266">
        <v>31248.06</v>
      </c>
      <c r="H266">
        <f t="shared" si="4"/>
        <v>-1.1876910568457346E-3</v>
      </c>
    </row>
    <row r="267" spans="1:8" ht="14.25" customHeight="1" x14ac:dyDescent="0.3">
      <c r="A267" s="2">
        <v>45861</v>
      </c>
      <c r="B267">
        <v>25139.35</v>
      </c>
      <c r="C267">
        <v>25233.5</v>
      </c>
      <c r="D267">
        <v>25085.5</v>
      </c>
      <c r="E267">
        <v>25219.9</v>
      </c>
      <c r="F267">
        <v>271539651</v>
      </c>
      <c r="G267">
        <v>23042.49</v>
      </c>
      <c r="H267">
        <f t="shared" si="4"/>
        <v>6.3445446891372608E-3</v>
      </c>
    </row>
    <row r="268" spans="1:8" ht="14.25" customHeight="1" x14ac:dyDescent="0.3">
      <c r="A268" s="2">
        <v>45862</v>
      </c>
      <c r="B268">
        <v>25243.3</v>
      </c>
      <c r="C268">
        <v>25246.25</v>
      </c>
      <c r="D268">
        <v>25018.7</v>
      </c>
      <c r="E268">
        <v>25062.1</v>
      </c>
      <c r="F268">
        <v>338728860</v>
      </c>
      <c r="G268">
        <v>27433.34</v>
      </c>
      <c r="H268">
        <f t="shared" si="4"/>
        <v>-6.2569637468825375E-3</v>
      </c>
    </row>
    <row r="269" spans="1:8" ht="14.25" customHeight="1" x14ac:dyDescent="0.3">
      <c r="A269" s="2">
        <v>45863</v>
      </c>
      <c r="B269">
        <v>25010.35</v>
      </c>
      <c r="C269">
        <v>25010.35</v>
      </c>
      <c r="D269">
        <v>24806.35</v>
      </c>
      <c r="E269">
        <v>24837</v>
      </c>
      <c r="F269">
        <v>278136104</v>
      </c>
      <c r="G269">
        <v>25273.64</v>
      </c>
      <c r="H269">
        <f t="shared" si="4"/>
        <v>-8.9816894833233667E-3</v>
      </c>
    </row>
    <row r="270" spans="1:8" ht="14.25" customHeight="1" x14ac:dyDescent="0.3">
      <c r="A270" s="2">
        <v>45866</v>
      </c>
      <c r="B270">
        <v>24782.45</v>
      </c>
      <c r="C270">
        <v>24889.200000000001</v>
      </c>
      <c r="D270">
        <v>24646.6</v>
      </c>
      <c r="E270">
        <v>24680.9</v>
      </c>
      <c r="F270">
        <v>262142969</v>
      </c>
      <c r="G270">
        <v>24976.54</v>
      </c>
      <c r="H270">
        <f t="shared" si="4"/>
        <v>-6.2849780569311326E-3</v>
      </c>
    </row>
    <row r="271" spans="1:8" ht="14.25" customHeight="1" x14ac:dyDescent="0.3">
      <c r="A271" s="2">
        <v>45867</v>
      </c>
      <c r="B271">
        <v>24609.65</v>
      </c>
      <c r="C271">
        <v>24847.15</v>
      </c>
      <c r="D271">
        <v>24598.6</v>
      </c>
      <c r="E271">
        <v>24821.1</v>
      </c>
      <c r="F271">
        <v>284657235</v>
      </c>
      <c r="G271">
        <v>25954.42</v>
      </c>
      <c r="H271">
        <f t="shared" si="4"/>
        <v>5.6805059783069933E-3</v>
      </c>
    </row>
    <row r="272" spans="1:8" ht="14.25" customHeight="1" x14ac:dyDescent="0.3">
      <c r="A272" s="2">
        <v>45868</v>
      </c>
      <c r="B272">
        <v>24890.400000000001</v>
      </c>
      <c r="C272">
        <v>24902.3</v>
      </c>
      <c r="D272">
        <v>24771.95</v>
      </c>
      <c r="E272">
        <v>24855.05</v>
      </c>
      <c r="F272">
        <v>243886726</v>
      </c>
      <c r="G272">
        <v>23525.25</v>
      </c>
      <c r="H272">
        <f t="shared" si="4"/>
        <v>1.3677878901418845E-3</v>
      </c>
    </row>
    <row r="273" spans="1:8" ht="14.25" customHeight="1" x14ac:dyDescent="0.3">
      <c r="A273" s="2">
        <v>45869</v>
      </c>
      <c r="B273">
        <v>24642.25</v>
      </c>
      <c r="C273">
        <v>24956.5</v>
      </c>
      <c r="D273">
        <v>24635</v>
      </c>
      <c r="E273">
        <v>24768.35</v>
      </c>
      <c r="F273">
        <v>346303628</v>
      </c>
      <c r="G273">
        <v>30477.71</v>
      </c>
      <c r="H273">
        <f t="shared" si="4"/>
        <v>-3.4882247269669838E-3</v>
      </c>
    </row>
    <row r="274" spans="1:8" ht="14.25" customHeight="1" x14ac:dyDescent="0.3">
      <c r="A274" s="2">
        <v>45870</v>
      </c>
      <c r="B274">
        <v>24734.9</v>
      </c>
      <c r="C274">
        <v>24784.15</v>
      </c>
      <c r="D274">
        <v>24535.05</v>
      </c>
      <c r="E274">
        <v>24565.35</v>
      </c>
      <c r="F274">
        <v>263357194</v>
      </c>
      <c r="G274">
        <v>24972.45</v>
      </c>
      <c r="H274">
        <f t="shared" si="4"/>
        <v>-8.1959436135229033E-3</v>
      </c>
    </row>
    <row r="275" spans="1:8" ht="14.25" customHeight="1" x14ac:dyDescent="0.3">
      <c r="A275" s="2">
        <v>45873</v>
      </c>
      <c r="B275">
        <v>24596.05</v>
      </c>
      <c r="C275">
        <v>24736.25</v>
      </c>
      <c r="D275">
        <v>24554</v>
      </c>
      <c r="E275">
        <v>24722.75</v>
      </c>
      <c r="F275">
        <v>259329477</v>
      </c>
      <c r="G275">
        <v>20372.68</v>
      </c>
      <c r="H275">
        <f t="shared" si="4"/>
        <v>6.407399039704359E-3</v>
      </c>
    </row>
    <row r="276" spans="1:8" ht="14.25" customHeight="1" x14ac:dyDescent="0.3">
      <c r="A276" s="2">
        <v>45874</v>
      </c>
      <c r="B276">
        <v>24720.25</v>
      </c>
      <c r="C276">
        <v>24733.1</v>
      </c>
      <c r="D276">
        <v>24590.3</v>
      </c>
      <c r="E276">
        <v>24649.55</v>
      </c>
      <c r="F276">
        <v>251849778</v>
      </c>
      <c r="G276">
        <v>23815.360000000001</v>
      </c>
      <c r="H276">
        <f t="shared" si="4"/>
        <v>-2.9608356675531939E-3</v>
      </c>
    </row>
    <row r="277" spans="1:8" ht="14.25" customHeight="1" x14ac:dyDescent="0.3">
      <c r="A277" s="2">
        <v>45875</v>
      </c>
      <c r="B277">
        <v>24641.35</v>
      </c>
      <c r="C277">
        <v>24671.4</v>
      </c>
      <c r="D277">
        <v>24539.200000000001</v>
      </c>
      <c r="E277">
        <v>24574.2</v>
      </c>
      <c r="F277">
        <v>225091071</v>
      </c>
      <c r="G277">
        <v>20559.22</v>
      </c>
      <c r="H277">
        <f t="shared" si="4"/>
        <v>-3.0568509364267723E-3</v>
      </c>
    </row>
    <row r="278" spans="1:8" ht="14.25" customHeight="1" x14ac:dyDescent="0.3">
      <c r="A278" s="2">
        <v>45876</v>
      </c>
      <c r="B278">
        <v>24464.2</v>
      </c>
      <c r="C278">
        <v>24634.2</v>
      </c>
      <c r="D278">
        <v>24344.15</v>
      </c>
      <c r="E278">
        <v>24596.15</v>
      </c>
      <c r="F278">
        <v>616739190</v>
      </c>
      <c r="G278">
        <v>35574.589999999997</v>
      </c>
      <c r="H278">
        <f t="shared" si="4"/>
        <v>8.9321320734757294E-4</v>
      </c>
    </row>
    <row r="279" spans="1:8" ht="14.25" customHeight="1" x14ac:dyDescent="0.3">
      <c r="A279" s="2">
        <v>45877</v>
      </c>
      <c r="B279">
        <v>24544.25</v>
      </c>
      <c r="C279">
        <v>24585.5</v>
      </c>
      <c r="D279">
        <v>24337.5</v>
      </c>
      <c r="E279">
        <v>24363.3</v>
      </c>
      <c r="F279">
        <v>312630157</v>
      </c>
      <c r="G279">
        <v>38135.74</v>
      </c>
      <c r="H279">
        <f t="shared" si="4"/>
        <v>-9.4669287673071669E-3</v>
      </c>
    </row>
    <row r="280" spans="1:8" ht="14.25" customHeight="1" x14ac:dyDescent="0.3">
      <c r="A280" s="2">
        <v>45880</v>
      </c>
      <c r="B280">
        <v>24371.5</v>
      </c>
      <c r="C280">
        <v>24600.85</v>
      </c>
      <c r="D280">
        <v>24347.45</v>
      </c>
      <c r="E280">
        <v>24585.05</v>
      </c>
      <c r="F280">
        <v>241145497</v>
      </c>
      <c r="G280">
        <v>21081.61</v>
      </c>
      <c r="H280">
        <f t="shared" si="4"/>
        <v>9.1018047637224844E-3</v>
      </c>
    </row>
    <row r="281" spans="1:8" ht="14.25" customHeight="1" x14ac:dyDescent="0.3">
      <c r="A281" s="2">
        <v>45881</v>
      </c>
      <c r="B281">
        <v>24563.35</v>
      </c>
      <c r="C281">
        <v>24702.6</v>
      </c>
      <c r="D281">
        <v>24465.65</v>
      </c>
      <c r="E281">
        <v>24487.4</v>
      </c>
      <c r="F281">
        <v>237002462</v>
      </c>
      <c r="G281">
        <v>22258.29</v>
      </c>
      <c r="H281">
        <f t="shared" si="4"/>
        <v>-3.9719260282162459E-3</v>
      </c>
    </row>
    <row r="282" spans="1:8" ht="14.25" customHeight="1" x14ac:dyDescent="0.3">
      <c r="A282" s="2">
        <v>45882</v>
      </c>
      <c r="B282">
        <v>24586.2</v>
      </c>
      <c r="C282">
        <v>24664.55</v>
      </c>
      <c r="D282">
        <v>24535.25</v>
      </c>
      <c r="E282">
        <v>24619.35</v>
      </c>
      <c r="F282">
        <v>236006791</v>
      </c>
      <c r="G282">
        <v>22843.14</v>
      </c>
      <c r="H282">
        <f t="shared" si="4"/>
        <v>5.3884855068319663E-3</v>
      </c>
    </row>
    <row r="283" spans="1:8" ht="14.25" customHeight="1" x14ac:dyDescent="0.3">
      <c r="A283" s="2">
        <v>45883</v>
      </c>
      <c r="B283">
        <v>24607.25</v>
      </c>
      <c r="C283">
        <v>24673.65</v>
      </c>
      <c r="D283">
        <v>24596.9</v>
      </c>
      <c r="E283">
        <v>24631.3</v>
      </c>
      <c r="F283">
        <v>270162203</v>
      </c>
      <c r="G283">
        <v>22375.439999999999</v>
      </c>
      <c r="H283">
        <f t="shared" si="4"/>
        <v>4.8539055661504988E-4</v>
      </c>
    </row>
    <row r="284" spans="1:8" ht="14.25" customHeight="1" x14ac:dyDescent="0.3">
      <c r="A284" s="2">
        <v>45887</v>
      </c>
      <c r="B284">
        <v>24938.2</v>
      </c>
      <c r="C284">
        <v>25022</v>
      </c>
      <c r="D284">
        <v>24852.85</v>
      </c>
      <c r="E284">
        <v>24876.95</v>
      </c>
      <c r="F284">
        <v>363071305</v>
      </c>
      <c r="G284">
        <v>37637.67</v>
      </c>
      <c r="H284">
        <f t="shared" si="4"/>
        <v>9.9730830285044425E-3</v>
      </c>
    </row>
    <row r="285" spans="1:8" ht="14.25" customHeight="1" x14ac:dyDescent="0.3">
      <c r="A285" s="2">
        <v>45888</v>
      </c>
      <c r="B285">
        <v>24891.35</v>
      </c>
      <c r="C285">
        <v>25012.65</v>
      </c>
      <c r="D285">
        <v>24873.95</v>
      </c>
      <c r="E285">
        <v>24980.65</v>
      </c>
      <c r="F285">
        <v>252340828</v>
      </c>
      <c r="G285">
        <v>24781.97</v>
      </c>
      <c r="H285">
        <f t="shared" si="4"/>
        <v>4.1685174428537555E-3</v>
      </c>
    </row>
    <row r="286" spans="1:8" ht="14.25" customHeight="1" x14ac:dyDescent="0.3">
      <c r="A286" s="2">
        <v>45889</v>
      </c>
      <c r="B286">
        <v>24965.8</v>
      </c>
      <c r="C286">
        <v>25088.7</v>
      </c>
      <c r="D286">
        <v>24929.7</v>
      </c>
      <c r="E286">
        <v>25050.55</v>
      </c>
      <c r="F286">
        <v>287054119</v>
      </c>
      <c r="G286">
        <v>25330.45</v>
      </c>
      <c r="H286">
        <f t="shared" si="4"/>
        <v>2.7981657803138756E-3</v>
      </c>
    </row>
    <row r="287" spans="1:8" ht="14.25" customHeight="1" x14ac:dyDescent="0.3">
      <c r="A287" s="2">
        <v>45890</v>
      </c>
      <c r="B287">
        <v>25142</v>
      </c>
      <c r="C287">
        <v>25153.65</v>
      </c>
      <c r="D287">
        <v>25054.9</v>
      </c>
      <c r="E287">
        <v>25083.75</v>
      </c>
      <c r="F287">
        <v>226542052</v>
      </c>
      <c r="G287">
        <v>21865.07</v>
      </c>
      <c r="H287">
        <f t="shared" si="4"/>
        <v>1.3253202025504721E-3</v>
      </c>
    </row>
    <row r="288" spans="1:8" ht="14.25" customHeight="1" x14ac:dyDescent="0.3">
      <c r="A288" s="2">
        <v>45891</v>
      </c>
      <c r="B288">
        <v>25064.15</v>
      </c>
      <c r="C288">
        <v>25084.85</v>
      </c>
      <c r="D288">
        <v>24859.15</v>
      </c>
      <c r="E288">
        <v>24870.1</v>
      </c>
      <c r="F288">
        <v>210165384</v>
      </c>
      <c r="G288">
        <v>19655.78</v>
      </c>
      <c r="H288">
        <f t="shared" si="4"/>
        <v>-8.5174664872677119E-3</v>
      </c>
    </row>
    <row r="289" spans="1:8" ht="14.25" customHeight="1" x14ac:dyDescent="0.3">
      <c r="A289" s="2">
        <v>45894</v>
      </c>
      <c r="B289">
        <v>24949.15</v>
      </c>
      <c r="C289">
        <v>25021.55</v>
      </c>
      <c r="D289">
        <v>24894.35</v>
      </c>
      <c r="E289">
        <v>24967.75</v>
      </c>
      <c r="F289">
        <v>213032133</v>
      </c>
      <c r="G289">
        <v>19871.25</v>
      </c>
      <c r="H289">
        <f t="shared" si="4"/>
        <v>3.9264015826233692E-3</v>
      </c>
    </row>
    <row r="290" spans="1:8" ht="14.25" customHeight="1" x14ac:dyDescent="0.3">
      <c r="A290" s="2">
        <v>45895</v>
      </c>
      <c r="B290">
        <v>24899.5</v>
      </c>
      <c r="C290">
        <v>24919.65</v>
      </c>
      <c r="D290">
        <v>24689.599999999999</v>
      </c>
      <c r="E290">
        <v>24712.05</v>
      </c>
      <c r="F290">
        <v>750473927</v>
      </c>
      <c r="G290">
        <v>47068.2</v>
      </c>
      <c r="H290">
        <f t="shared" si="4"/>
        <v>-1.0241211162399524E-2</v>
      </c>
    </row>
    <row r="291" spans="1:8" ht="14.25" customHeight="1" x14ac:dyDescent="0.3">
      <c r="A291" s="2">
        <v>45897</v>
      </c>
      <c r="B291">
        <v>24695.8</v>
      </c>
      <c r="C291">
        <v>24702.65</v>
      </c>
      <c r="D291">
        <v>24481.599999999999</v>
      </c>
      <c r="E291">
        <v>24500.9</v>
      </c>
      <c r="F291">
        <v>326601486</v>
      </c>
      <c r="G291">
        <v>29371.67</v>
      </c>
      <c r="H291">
        <f t="shared" si="4"/>
        <v>-8.5444145669824161E-3</v>
      </c>
    </row>
    <row r="292" spans="1:8" ht="14.25" customHeight="1" x14ac:dyDescent="0.3">
      <c r="A292" s="2">
        <v>45898</v>
      </c>
      <c r="B292">
        <v>24466.7</v>
      </c>
      <c r="C292">
        <v>24572.45</v>
      </c>
      <c r="D292">
        <v>24404.7</v>
      </c>
      <c r="E292">
        <v>24426.85</v>
      </c>
      <c r="F292">
        <v>325543583</v>
      </c>
      <c r="G292">
        <v>26796.69</v>
      </c>
      <c r="H292">
        <f t="shared" si="4"/>
        <v>-3.0223379549323866E-3</v>
      </c>
    </row>
    <row r="293" spans="1:8" ht="14.25" customHeight="1" x14ac:dyDescent="0.3">
      <c r="A293" s="2">
        <v>45901</v>
      </c>
      <c r="B293">
        <v>24432.7</v>
      </c>
      <c r="C293">
        <v>24635.599999999999</v>
      </c>
      <c r="D293">
        <v>24432.7</v>
      </c>
      <c r="E293">
        <v>24625.05</v>
      </c>
      <c r="F293">
        <v>229327424</v>
      </c>
      <c r="G293">
        <v>20704.88</v>
      </c>
      <c r="H293">
        <f t="shared" si="4"/>
        <v>8.1140220699763062E-3</v>
      </c>
    </row>
    <row r="294" spans="1:8" ht="14.25" customHeight="1" x14ac:dyDescent="0.3">
      <c r="A294" s="2">
        <v>45902</v>
      </c>
      <c r="B294">
        <v>24653</v>
      </c>
      <c r="C294">
        <v>24756.1</v>
      </c>
      <c r="D294">
        <v>24522.35</v>
      </c>
      <c r="E294">
        <v>24579.599999999999</v>
      </c>
      <c r="F294">
        <v>271558516</v>
      </c>
      <c r="G294">
        <v>22051.8</v>
      </c>
      <c r="H294">
        <f t="shared" si="4"/>
        <v>-1.845681531611133E-3</v>
      </c>
    </row>
    <row r="295" spans="1:8" ht="14.25" customHeight="1" x14ac:dyDescent="0.3">
      <c r="A295" s="2">
        <v>45903</v>
      </c>
      <c r="B295">
        <v>24616.5</v>
      </c>
      <c r="C295">
        <v>24737.05</v>
      </c>
      <c r="D295">
        <v>24533.200000000001</v>
      </c>
      <c r="E295">
        <v>24715.05</v>
      </c>
      <c r="F295">
        <v>340283328</v>
      </c>
      <c r="G295">
        <v>23533.08</v>
      </c>
      <c r="H295">
        <f t="shared" si="4"/>
        <v>5.5106673827076411E-3</v>
      </c>
    </row>
    <row r="296" spans="1:8" ht="14.25" customHeight="1" x14ac:dyDescent="0.3">
      <c r="A296" s="2">
        <v>45904</v>
      </c>
      <c r="B296">
        <v>24980.75</v>
      </c>
      <c r="C296">
        <v>24980.75</v>
      </c>
      <c r="D296">
        <v>24708.2</v>
      </c>
      <c r="E296">
        <v>24734.3</v>
      </c>
      <c r="F296">
        <v>314094160</v>
      </c>
      <c r="G296">
        <v>30252.19</v>
      </c>
      <c r="H296">
        <f t="shared" si="4"/>
        <v>7.7887764742535419E-4</v>
      </c>
    </row>
    <row r="297" spans="1:8" ht="14.25" customHeight="1" x14ac:dyDescent="0.3">
      <c r="A297" s="2">
        <v>45905</v>
      </c>
      <c r="B297">
        <v>24818.85</v>
      </c>
      <c r="C297">
        <v>24832.35</v>
      </c>
      <c r="D297">
        <v>24621.599999999999</v>
      </c>
      <c r="E297">
        <v>24741</v>
      </c>
      <c r="F297">
        <v>210071924</v>
      </c>
      <c r="G297">
        <v>18530.240000000002</v>
      </c>
      <c r="H297">
        <f t="shared" si="4"/>
        <v>2.7087890095942588E-4</v>
      </c>
    </row>
    <row r="298" spans="1:8" ht="14.25" customHeight="1" x14ac:dyDescent="0.3">
      <c r="A298" s="2">
        <v>45908</v>
      </c>
      <c r="B298">
        <v>24802.6</v>
      </c>
      <c r="C298">
        <v>24885.5</v>
      </c>
      <c r="D298">
        <v>24751.55</v>
      </c>
      <c r="E298">
        <v>24773.15</v>
      </c>
      <c r="F298">
        <v>213228202</v>
      </c>
      <c r="G298">
        <v>20122.88</v>
      </c>
      <c r="H298">
        <f t="shared" si="4"/>
        <v>1.2994624307829698E-3</v>
      </c>
    </row>
    <row r="299" spans="1:8" ht="14.25" customHeight="1" x14ac:dyDescent="0.3">
      <c r="A299" s="2">
        <v>45909</v>
      </c>
      <c r="B299">
        <v>24864.1</v>
      </c>
      <c r="C299">
        <v>24891.8</v>
      </c>
      <c r="D299">
        <v>24814</v>
      </c>
      <c r="E299">
        <v>24868.6</v>
      </c>
      <c r="F299">
        <v>226919775</v>
      </c>
      <c r="G299">
        <v>22356.880000000001</v>
      </c>
      <c r="H299">
        <f t="shared" si="4"/>
        <v>3.8529617751475722E-3</v>
      </c>
    </row>
    <row r="300" spans="1:8" ht="14.25" customHeight="1" x14ac:dyDescent="0.3">
      <c r="A300" s="2">
        <v>45910</v>
      </c>
      <c r="B300">
        <v>24991</v>
      </c>
      <c r="C300">
        <v>25035.7</v>
      </c>
      <c r="D300">
        <v>24915.05</v>
      </c>
      <c r="E300">
        <v>24973.1</v>
      </c>
      <c r="F300">
        <v>244146466</v>
      </c>
      <c r="G300">
        <v>22458.98</v>
      </c>
      <c r="H300">
        <f t="shared" si="4"/>
        <v>4.202086164882623E-3</v>
      </c>
    </row>
    <row r="301" spans="1:8" ht="14.25" customHeight="1" x14ac:dyDescent="0.3">
      <c r="A301" s="2">
        <v>45911</v>
      </c>
      <c r="B301">
        <v>24945.5</v>
      </c>
      <c r="C301">
        <v>25037.3</v>
      </c>
      <c r="D301">
        <v>24940.15</v>
      </c>
      <c r="E301">
        <v>25005.5</v>
      </c>
      <c r="F301">
        <v>224570983</v>
      </c>
      <c r="G301">
        <v>21316.720000000001</v>
      </c>
      <c r="H301">
        <f t="shared" si="4"/>
        <v>1.2973959980940074E-3</v>
      </c>
    </row>
    <row r="302" spans="1:8" ht="14.25" customHeight="1" x14ac:dyDescent="0.3">
      <c r="A302" s="2">
        <v>45912</v>
      </c>
      <c r="B302">
        <v>25074.45</v>
      </c>
      <c r="C302">
        <v>25139.45</v>
      </c>
      <c r="D302">
        <v>25038.05</v>
      </c>
      <c r="E302">
        <v>25114</v>
      </c>
      <c r="F302">
        <v>225739766</v>
      </c>
      <c r="G302">
        <v>21335.67</v>
      </c>
      <c r="H302">
        <f t="shared" si="4"/>
        <v>4.3390454100097975E-3</v>
      </c>
    </row>
    <row r="303" spans="1:8" ht="14.25" customHeight="1" x14ac:dyDescent="0.3">
      <c r="A303" s="2">
        <v>45915</v>
      </c>
      <c r="B303">
        <v>25118.9</v>
      </c>
      <c r="C303">
        <v>25138.45</v>
      </c>
      <c r="D303">
        <v>25048.75</v>
      </c>
      <c r="E303">
        <v>25069.200000000001</v>
      </c>
      <c r="F303">
        <v>185375759</v>
      </c>
      <c r="G303">
        <v>17115.599999999999</v>
      </c>
      <c r="H303">
        <f t="shared" si="4"/>
        <v>-1.7838655729871494E-3</v>
      </c>
    </row>
    <row r="304" spans="1:8" ht="14.25" customHeight="1" x14ac:dyDescent="0.3">
      <c r="A304" s="2">
        <v>45916</v>
      </c>
      <c r="B304">
        <v>25073.599999999999</v>
      </c>
      <c r="C304">
        <v>25261.4</v>
      </c>
      <c r="D304">
        <v>25070.45</v>
      </c>
      <c r="E304">
        <v>25239.1</v>
      </c>
      <c r="F304">
        <v>240122320</v>
      </c>
      <c r="G304">
        <v>22642.86</v>
      </c>
      <c r="H304">
        <f t="shared" si="4"/>
        <v>6.7772405980245807E-3</v>
      </c>
    </row>
    <row r="305" spans="1:8" ht="14.25" customHeight="1" x14ac:dyDescent="0.3">
      <c r="A305" s="2">
        <v>45917</v>
      </c>
      <c r="B305">
        <v>25276.6</v>
      </c>
      <c r="C305">
        <v>25346.5</v>
      </c>
      <c r="D305">
        <v>25275.35</v>
      </c>
      <c r="E305">
        <v>25330.25</v>
      </c>
      <c r="F305">
        <v>268936695</v>
      </c>
      <c r="G305">
        <v>23484.12</v>
      </c>
      <c r="H305">
        <f t="shared" si="4"/>
        <v>3.6114599965926465E-3</v>
      </c>
    </row>
    <row r="306" spans="1:8" ht="14.25" customHeight="1" x14ac:dyDescent="0.3">
      <c r="A306" s="2">
        <v>45918</v>
      </c>
      <c r="B306">
        <v>25441.05</v>
      </c>
      <c r="C306">
        <v>25448.55</v>
      </c>
      <c r="D306">
        <v>25329.75</v>
      </c>
      <c r="E306">
        <v>25423.599999999999</v>
      </c>
      <c r="F306">
        <v>272193683</v>
      </c>
      <c r="G306">
        <v>24198.11</v>
      </c>
      <c r="H306">
        <f t="shared" si="4"/>
        <v>3.6853169629197718E-3</v>
      </c>
    </row>
    <row r="307" spans="1:8" ht="14.25" customHeight="1" x14ac:dyDescent="0.3">
      <c r="A307" s="2">
        <v>45919</v>
      </c>
      <c r="B307">
        <v>25410.2</v>
      </c>
      <c r="C307">
        <v>25431.4</v>
      </c>
      <c r="D307">
        <v>25286.3</v>
      </c>
      <c r="E307">
        <v>25327.05</v>
      </c>
      <c r="F307">
        <v>380362832</v>
      </c>
      <c r="G307">
        <v>38805.58</v>
      </c>
      <c r="H307">
        <f t="shared" si="4"/>
        <v>-3.7976525747730173E-3</v>
      </c>
    </row>
    <row r="308" spans="1:8" ht="14.25" customHeight="1" x14ac:dyDescent="0.3">
      <c r="A308" s="2">
        <v>45922</v>
      </c>
      <c r="B308">
        <v>25238.1</v>
      </c>
      <c r="C308">
        <v>25331.7</v>
      </c>
      <c r="D308">
        <v>25151.05</v>
      </c>
      <c r="E308">
        <v>25202.35</v>
      </c>
      <c r="F308">
        <v>254509892</v>
      </c>
      <c r="G308">
        <v>25277.82</v>
      </c>
      <c r="H308">
        <f t="shared" si="4"/>
        <v>-4.9235896008418163E-3</v>
      </c>
    </row>
    <row r="309" spans="1:8" ht="14.25" customHeight="1" x14ac:dyDescent="0.3">
      <c r="A309" s="2">
        <v>45923</v>
      </c>
      <c r="B309">
        <v>25209</v>
      </c>
      <c r="C309">
        <v>25261.9</v>
      </c>
      <c r="D309">
        <v>25084.65</v>
      </c>
      <c r="E309">
        <v>25169.5</v>
      </c>
      <c r="F309">
        <v>299204338</v>
      </c>
      <c r="G309">
        <v>31435.17</v>
      </c>
      <c r="H309">
        <f t="shared" si="4"/>
        <v>-1.3034498766979488E-3</v>
      </c>
    </row>
    <row r="310" spans="1:8" ht="14.25" customHeight="1" x14ac:dyDescent="0.3">
      <c r="A310" s="2">
        <v>45924</v>
      </c>
      <c r="B310">
        <v>25108.75</v>
      </c>
      <c r="C310">
        <v>25149.85</v>
      </c>
      <c r="D310">
        <v>25027.45</v>
      </c>
      <c r="E310">
        <v>25056.9</v>
      </c>
      <c r="F310">
        <v>244382281</v>
      </c>
      <c r="G310">
        <v>22310.05</v>
      </c>
      <c r="H310">
        <f t="shared" si="4"/>
        <v>-4.4736685273842761E-3</v>
      </c>
    </row>
    <row r="311" spans="1:8" ht="14.25" customHeight="1" x14ac:dyDescent="0.3">
      <c r="A311" s="2">
        <v>45925</v>
      </c>
      <c r="B311">
        <v>25034.5</v>
      </c>
      <c r="C311">
        <v>25092.7</v>
      </c>
      <c r="D311">
        <v>24878.3</v>
      </c>
      <c r="E311">
        <v>24890.85</v>
      </c>
      <c r="F311">
        <v>342534768</v>
      </c>
      <c r="G311">
        <v>32715.91</v>
      </c>
      <c r="H311">
        <f t="shared" si="4"/>
        <v>-6.6269171365972209E-3</v>
      </c>
    </row>
    <row r="312" spans="1:8" ht="14.25" customHeight="1" x14ac:dyDescent="0.3">
      <c r="A312" s="2">
        <v>45926</v>
      </c>
      <c r="B312">
        <v>24818.55</v>
      </c>
      <c r="C312">
        <v>24868.6</v>
      </c>
      <c r="D312">
        <v>24629.45</v>
      </c>
      <c r="E312">
        <v>24654.7</v>
      </c>
      <c r="F312">
        <v>291537949</v>
      </c>
      <c r="G312">
        <v>29987.93</v>
      </c>
      <c r="H312">
        <f t="shared" si="4"/>
        <v>-9.487422084822247E-3</v>
      </c>
    </row>
    <row r="313" spans="1:8" ht="14.25" customHeight="1" x14ac:dyDescent="0.3">
      <c r="A313" s="2">
        <v>45929</v>
      </c>
      <c r="B313">
        <v>24728.55</v>
      </c>
      <c r="C313">
        <v>24791.3</v>
      </c>
      <c r="D313">
        <v>24606.2</v>
      </c>
      <c r="E313">
        <v>24634.9</v>
      </c>
      <c r="F313">
        <v>394388242</v>
      </c>
      <c r="G313">
        <v>40004.93</v>
      </c>
      <c r="H313">
        <f t="shared" si="4"/>
        <v>-8.0309231099949595E-4</v>
      </c>
    </row>
    <row r="314" spans="1:8" ht="14.25" customHeight="1" x14ac:dyDescent="0.3">
      <c r="A314" s="2">
        <v>45930</v>
      </c>
      <c r="B314">
        <v>24691.95</v>
      </c>
      <c r="C314">
        <v>24731.8</v>
      </c>
      <c r="D314">
        <v>24587.7</v>
      </c>
      <c r="E314">
        <v>24611.1</v>
      </c>
      <c r="F314">
        <v>304924720</v>
      </c>
      <c r="G314">
        <v>29285.11</v>
      </c>
      <c r="H314">
        <f t="shared" si="4"/>
        <v>-9.6610905666363205E-4</v>
      </c>
    </row>
    <row r="315" spans="1:8" ht="14.25" customHeight="1" x14ac:dyDescent="0.3">
      <c r="A315" s="2">
        <v>45931</v>
      </c>
      <c r="B315">
        <v>24620.55</v>
      </c>
      <c r="C315">
        <v>24867.95</v>
      </c>
      <c r="D315">
        <v>24605.95</v>
      </c>
      <c r="E315">
        <v>24836.3</v>
      </c>
      <c r="F315">
        <v>308135228</v>
      </c>
      <c r="G315">
        <v>29041.17</v>
      </c>
      <c r="H315">
        <f t="shared" si="4"/>
        <v>9.1503427315317368E-3</v>
      </c>
    </row>
    <row r="316" spans="1:8" ht="14.25" customHeight="1" x14ac:dyDescent="0.3">
      <c r="A316" s="2">
        <v>45933</v>
      </c>
      <c r="B316">
        <v>24759.55</v>
      </c>
      <c r="C316">
        <v>24904.799999999999</v>
      </c>
      <c r="D316">
        <v>24747.55</v>
      </c>
      <c r="E316">
        <v>24894.25</v>
      </c>
      <c r="F316">
        <v>366929642</v>
      </c>
      <c r="G316">
        <v>31409.06</v>
      </c>
      <c r="H316">
        <f t="shared" si="4"/>
        <v>2.333278306350009E-3</v>
      </c>
    </row>
    <row r="317" spans="1:8" ht="14.25" customHeight="1" x14ac:dyDescent="0.3">
      <c r="A317" s="2">
        <v>45936</v>
      </c>
      <c r="B317">
        <v>24916.55</v>
      </c>
      <c r="C317">
        <v>25095.95</v>
      </c>
      <c r="D317">
        <v>24881.65</v>
      </c>
      <c r="E317">
        <v>25077.65</v>
      </c>
      <c r="F317">
        <v>271953070</v>
      </c>
      <c r="G317">
        <v>25160.76</v>
      </c>
      <c r="H317">
        <f t="shared" si="4"/>
        <v>7.3671630999126887E-3</v>
      </c>
    </row>
    <row r="318" spans="1:8" ht="14.25" customHeight="1" x14ac:dyDescent="0.3">
      <c r="A318" s="2">
        <v>45937</v>
      </c>
      <c r="B318">
        <v>25085.3</v>
      </c>
      <c r="C318">
        <v>25220.9</v>
      </c>
      <c r="D318">
        <v>25076.3</v>
      </c>
      <c r="E318">
        <v>25108.3</v>
      </c>
      <c r="F318">
        <v>286833765</v>
      </c>
      <c r="G318">
        <v>26176.23</v>
      </c>
      <c r="H318">
        <f t="shared" si="4"/>
        <v>1.2222038348887482E-3</v>
      </c>
    </row>
    <row r="319" spans="1:8" ht="14.25" customHeight="1" x14ac:dyDescent="0.3">
      <c r="A319" s="2">
        <v>45938</v>
      </c>
      <c r="B319">
        <v>25079.75</v>
      </c>
      <c r="C319">
        <v>25192.5</v>
      </c>
      <c r="D319">
        <v>25008.5</v>
      </c>
      <c r="E319">
        <v>25046.15</v>
      </c>
      <c r="F319">
        <v>225967495</v>
      </c>
      <c r="G319">
        <v>21701.19</v>
      </c>
      <c r="H319">
        <f t="shared" si="4"/>
        <v>-2.4752770996044264E-3</v>
      </c>
    </row>
    <row r="320" spans="1:8" ht="14.25" customHeight="1" x14ac:dyDescent="0.3">
      <c r="A320" s="2">
        <v>45939</v>
      </c>
      <c r="B320">
        <v>25074.3</v>
      </c>
      <c r="C320">
        <v>25199.25</v>
      </c>
      <c r="D320">
        <v>25024.3</v>
      </c>
      <c r="E320">
        <v>25181.8</v>
      </c>
      <c r="F320">
        <v>286253252</v>
      </c>
      <c r="G320">
        <v>22617.86</v>
      </c>
      <c r="H320">
        <f t="shared" si="4"/>
        <v>5.416002060196789E-3</v>
      </c>
    </row>
    <row r="321" spans="1:8" ht="14.25" customHeight="1" x14ac:dyDescent="0.3">
      <c r="A321" s="2">
        <v>45940</v>
      </c>
      <c r="B321">
        <v>25167.65</v>
      </c>
      <c r="C321">
        <v>25330.75</v>
      </c>
      <c r="D321">
        <v>25156.85</v>
      </c>
      <c r="E321">
        <v>25285.35</v>
      </c>
      <c r="F321">
        <v>232943306</v>
      </c>
      <c r="G321">
        <v>21749.23</v>
      </c>
      <c r="H321">
        <f t="shared" si="4"/>
        <v>4.1120968318388391E-3</v>
      </c>
    </row>
    <row r="322" spans="1:8" ht="14.25" customHeight="1" x14ac:dyDescent="0.3">
      <c r="A322" s="2">
        <v>45943</v>
      </c>
      <c r="B322">
        <v>25177.3</v>
      </c>
      <c r="C322">
        <v>25267.3</v>
      </c>
      <c r="D322">
        <v>25152.3</v>
      </c>
      <c r="E322">
        <v>25227.35</v>
      </c>
      <c r="F322">
        <v>234285202</v>
      </c>
      <c r="G322">
        <v>20806.830000000002</v>
      </c>
      <c r="H322">
        <f t="shared" si="4"/>
        <v>-2.2938183572701189E-3</v>
      </c>
    </row>
    <row r="323" spans="1:8" ht="14.25" customHeight="1" x14ac:dyDescent="0.3">
      <c r="A323" s="2">
        <v>45944</v>
      </c>
      <c r="B323">
        <v>25277.55</v>
      </c>
      <c r="C323">
        <v>25310.35</v>
      </c>
      <c r="D323">
        <v>25060.55</v>
      </c>
      <c r="E323">
        <v>25145.5</v>
      </c>
      <c r="F323">
        <v>292129083</v>
      </c>
      <c r="G323">
        <v>24151.97</v>
      </c>
      <c r="H323">
        <f t="shared" ref="H323:H386" si="5">(E323-E322)/E322</f>
        <v>-3.2444945664129822E-3</v>
      </c>
    </row>
    <row r="324" spans="1:8" ht="14.25" customHeight="1" x14ac:dyDescent="0.3">
      <c r="A324" s="2">
        <v>45945</v>
      </c>
      <c r="B324">
        <v>25181.95</v>
      </c>
      <c r="C324">
        <v>25365.15</v>
      </c>
      <c r="D324">
        <v>25159.35</v>
      </c>
      <c r="E324">
        <v>25323.55</v>
      </c>
      <c r="F324">
        <v>289930172</v>
      </c>
      <c r="G324">
        <v>25202.02</v>
      </c>
      <c r="H324">
        <f t="shared" si="5"/>
        <v>7.080789803344506E-3</v>
      </c>
    </row>
    <row r="325" spans="1:8" ht="14.25" customHeight="1" x14ac:dyDescent="0.3">
      <c r="A325" s="2">
        <v>45946</v>
      </c>
      <c r="B325">
        <v>25394.9</v>
      </c>
      <c r="C325">
        <v>25625.4</v>
      </c>
      <c r="D325">
        <v>25376.85</v>
      </c>
      <c r="E325">
        <v>25585.3</v>
      </c>
      <c r="F325">
        <v>372777021</v>
      </c>
      <c r="G325">
        <v>32008.639999999999</v>
      </c>
      <c r="H325">
        <f t="shared" si="5"/>
        <v>1.033622853036008E-2</v>
      </c>
    </row>
    <row r="326" spans="1:8" ht="14.25" customHeight="1" x14ac:dyDescent="0.3">
      <c r="A326" s="2">
        <v>45947</v>
      </c>
      <c r="B326">
        <v>25546.85</v>
      </c>
      <c r="C326">
        <v>25781.5</v>
      </c>
      <c r="D326">
        <v>25508.6</v>
      </c>
      <c r="E326">
        <v>25709.85</v>
      </c>
      <c r="F326">
        <v>422055809</v>
      </c>
      <c r="G326">
        <v>35106.959999999999</v>
      </c>
      <c r="H326">
        <f t="shared" si="5"/>
        <v>4.8680296889229077E-3</v>
      </c>
    </row>
    <row r="327" spans="1:8" ht="14.25" customHeight="1" x14ac:dyDescent="0.3">
      <c r="A327" s="2">
        <v>45950</v>
      </c>
      <c r="B327">
        <v>25824.6</v>
      </c>
      <c r="C327">
        <v>25926.2</v>
      </c>
      <c r="D327">
        <v>25788.5</v>
      </c>
      <c r="E327">
        <v>25843.15</v>
      </c>
      <c r="F327">
        <v>301133193</v>
      </c>
      <c r="G327">
        <v>29637.119999999999</v>
      </c>
      <c r="H327">
        <f t="shared" si="5"/>
        <v>5.1847832640020425E-3</v>
      </c>
    </row>
    <row r="328" spans="1:8" ht="14.25" customHeight="1" x14ac:dyDescent="0.3">
      <c r="A328" s="2">
        <v>45951</v>
      </c>
      <c r="B328">
        <v>25901.200000000001</v>
      </c>
      <c r="C328">
        <v>25934.35</v>
      </c>
      <c r="D328">
        <v>25825.8</v>
      </c>
      <c r="E328">
        <v>25868.6</v>
      </c>
      <c r="F328">
        <v>42477128</v>
      </c>
      <c r="G328">
        <v>3831.1</v>
      </c>
      <c r="H328">
        <f t="shared" si="5"/>
        <v>9.8478707123539843E-4</v>
      </c>
    </row>
    <row r="329" spans="1:8" ht="14.25" customHeight="1" x14ac:dyDescent="0.3">
      <c r="A329" s="2">
        <v>45953</v>
      </c>
      <c r="B329">
        <v>26057.200000000001</v>
      </c>
      <c r="C329">
        <v>26104.2</v>
      </c>
      <c r="D329">
        <v>25862.45</v>
      </c>
      <c r="E329">
        <v>25891.4</v>
      </c>
      <c r="F329">
        <v>448404894</v>
      </c>
      <c r="G329">
        <v>41777.68</v>
      </c>
      <c r="H329">
        <f t="shared" si="5"/>
        <v>8.8137742282160274E-4</v>
      </c>
    </row>
    <row r="330" spans="1:8" ht="14.25" customHeight="1" x14ac:dyDescent="0.3">
      <c r="A330" s="2">
        <v>45954</v>
      </c>
      <c r="B330">
        <v>25935.1</v>
      </c>
      <c r="C330">
        <v>25944.15</v>
      </c>
      <c r="D330">
        <v>25718.2</v>
      </c>
      <c r="E330">
        <v>25795.15</v>
      </c>
      <c r="F330">
        <v>284913477</v>
      </c>
      <c r="G330">
        <v>23527.98</v>
      </c>
      <c r="H330">
        <f t="shared" si="5"/>
        <v>-3.7174505820465479E-3</v>
      </c>
    </row>
    <row r="331" spans="1:8" ht="14.25" customHeight="1" x14ac:dyDescent="0.3">
      <c r="A331" s="2">
        <v>45957</v>
      </c>
      <c r="B331">
        <v>25843.200000000001</v>
      </c>
      <c r="C331">
        <v>26005.95</v>
      </c>
      <c r="D331">
        <v>25827</v>
      </c>
      <c r="E331">
        <v>25966.05</v>
      </c>
      <c r="F331">
        <v>266337274</v>
      </c>
      <c r="G331">
        <v>23989.06</v>
      </c>
      <c r="H331">
        <f t="shared" si="5"/>
        <v>6.6252764570083065E-3</v>
      </c>
    </row>
    <row r="332" spans="1:8" ht="14.25" customHeight="1" x14ac:dyDescent="0.3">
      <c r="A332" s="2">
        <v>45958</v>
      </c>
      <c r="B332">
        <v>25939.95</v>
      </c>
      <c r="C332">
        <v>26041.7</v>
      </c>
      <c r="D332">
        <v>25810.05</v>
      </c>
      <c r="E332">
        <v>25936.2</v>
      </c>
      <c r="F332">
        <v>395231207</v>
      </c>
      <c r="G332">
        <v>37023.32</v>
      </c>
      <c r="H332">
        <f t="shared" si="5"/>
        <v>-1.1495780066663411E-3</v>
      </c>
    </row>
    <row r="333" spans="1:8" ht="14.25" customHeight="1" x14ac:dyDescent="0.3">
      <c r="A333" s="2">
        <v>45959</v>
      </c>
      <c r="B333">
        <v>25982</v>
      </c>
      <c r="C333">
        <v>26097.85</v>
      </c>
      <c r="D333">
        <v>25960.3</v>
      </c>
      <c r="E333">
        <v>26053.9</v>
      </c>
      <c r="F333">
        <v>321880610</v>
      </c>
      <c r="G333">
        <v>26309.32</v>
      </c>
      <c r="H333">
        <f t="shared" si="5"/>
        <v>4.5380587749940518E-3</v>
      </c>
    </row>
    <row r="334" spans="1:8" ht="14.25" customHeight="1" x14ac:dyDescent="0.3">
      <c r="A334" s="2">
        <v>45960</v>
      </c>
      <c r="B334">
        <v>25984.400000000001</v>
      </c>
      <c r="C334">
        <v>26032.05</v>
      </c>
      <c r="D334">
        <v>25845.25</v>
      </c>
      <c r="E334">
        <v>25877.85</v>
      </c>
      <c r="F334">
        <v>257373001</v>
      </c>
      <c r="G334">
        <v>24180.46</v>
      </c>
      <c r="H334">
        <f t="shared" si="5"/>
        <v>-6.7571457632063878E-3</v>
      </c>
    </row>
    <row r="335" spans="1:8" ht="14.25" customHeight="1" x14ac:dyDescent="0.3">
      <c r="A335" s="2">
        <v>45961</v>
      </c>
      <c r="B335">
        <v>25863.8</v>
      </c>
      <c r="C335">
        <v>25953.75</v>
      </c>
      <c r="D335">
        <v>25711.200000000001</v>
      </c>
      <c r="E335">
        <v>25722.1</v>
      </c>
      <c r="F335">
        <v>334384400</v>
      </c>
      <c r="G335">
        <v>28788.400000000001</v>
      </c>
      <c r="H335">
        <f t="shared" si="5"/>
        <v>-6.0186607465457917E-3</v>
      </c>
    </row>
    <row r="336" spans="1:8" ht="14.25" customHeight="1" x14ac:dyDescent="0.3">
      <c r="A336" s="2">
        <v>45964</v>
      </c>
      <c r="B336">
        <v>25696.85</v>
      </c>
      <c r="C336">
        <v>25803.1</v>
      </c>
      <c r="D336">
        <v>25645.5</v>
      </c>
      <c r="E336">
        <v>25763.35</v>
      </c>
      <c r="F336">
        <v>275858501</v>
      </c>
      <c r="G336">
        <v>23949.88</v>
      </c>
      <c r="H336">
        <f t="shared" si="5"/>
        <v>1.6036793263380518E-3</v>
      </c>
    </row>
    <row r="337" spans="1:8" ht="14.25" customHeight="1" x14ac:dyDescent="0.3">
      <c r="A337" s="2">
        <v>45965</v>
      </c>
      <c r="B337">
        <v>25744.75</v>
      </c>
      <c r="C337">
        <v>25787.4</v>
      </c>
      <c r="D337">
        <v>25578.400000000001</v>
      </c>
      <c r="E337">
        <v>25597.65</v>
      </c>
      <c r="F337">
        <v>305143084</v>
      </c>
      <c r="G337">
        <v>29307.41</v>
      </c>
      <c r="H337">
        <f t="shared" si="5"/>
        <v>-6.4316170063286448E-3</v>
      </c>
    </row>
    <row r="338" spans="1:8" ht="14.25" customHeight="1" x14ac:dyDescent="0.3">
      <c r="A338" s="2">
        <v>45967</v>
      </c>
      <c r="B338">
        <v>25593.35</v>
      </c>
      <c r="C338">
        <v>25679.15</v>
      </c>
      <c r="D338">
        <v>25491.55</v>
      </c>
      <c r="E338">
        <v>25509.7</v>
      </c>
      <c r="F338">
        <v>371852417</v>
      </c>
      <c r="G338">
        <v>36129.620000000003</v>
      </c>
      <c r="H338">
        <f t="shared" si="5"/>
        <v>-3.4358622764199338E-3</v>
      </c>
    </row>
    <row r="339" spans="1:8" ht="14.25" customHeight="1" x14ac:dyDescent="0.3">
      <c r="A339" s="2">
        <v>45968</v>
      </c>
      <c r="B339">
        <v>25433.8</v>
      </c>
      <c r="C339">
        <v>25551.25</v>
      </c>
      <c r="D339">
        <v>25318.45</v>
      </c>
      <c r="E339">
        <v>25492.3</v>
      </c>
      <c r="F339">
        <v>305606393</v>
      </c>
      <c r="G339">
        <v>35487</v>
      </c>
      <c r="H339">
        <f t="shared" si="5"/>
        <v>-6.8209347816718558E-4</v>
      </c>
    </row>
    <row r="340" spans="1:8" ht="14.25" customHeight="1" x14ac:dyDescent="0.3">
      <c r="A340" s="2">
        <v>45971</v>
      </c>
      <c r="B340">
        <v>25503.5</v>
      </c>
      <c r="C340">
        <v>25653.45</v>
      </c>
      <c r="D340">
        <v>25503.5</v>
      </c>
      <c r="E340">
        <v>25574.35</v>
      </c>
      <c r="F340">
        <v>243592948</v>
      </c>
      <c r="G340">
        <v>25023.65</v>
      </c>
      <c r="H340">
        <f t="shared" si="5"/>
        <v>3.2186189555277189E-3</v>
      </c>
    </row>
    <row r="341" spans="1:8" ht="14.25" customHeight="1" x14ac:dyDescent="0.3">
      <c r="A341" s="2">
        <v>45972</v>
      </c>
      <c r="B341">
        <v>25617</v>
      </c>
      <c r="C341">
        <v>25715.8</v>
      </c>
      <c r="D341">
        <v>25449.25</v>
      </c>
      <c r="E341">
        <v>25694.95</v>
      </c>
      <c r="F341">
        <v>297714069</v>
      </c>
      <c r="G341">
        <v>28285.51</v>
      </c>
      <c r="H341">
        <f t="shared" si="5"/>
        <v>4.7156623726508076E-3</v>
      </c>
    </row>
    <row r="342" spans="1:8" ht="14.25" customHeight="1" x14ac:dyDescent="0.3">
      <c r="A342" s="2">
        <v>45973</v>
      </c>
      <c r="B342">
        <v>25834.3</v>
      </c>
      <c r="C342">
        <v>25934.55</v>
      </c>
      <c r="D342">
        <v>25781.15</v>
      </c>
      <c r="E342">
        <v>25875.8</v>
      </c>
      <c r="F342">
        <v>343864299</v>
      </c>
      <c r="G342">
        <v>30633.19</v>
      </c>
      <c r="H342">
        <f t="shared" si="5"/>
        <v>7.0383480022338449E-3</v>
      </c>
    </row>
    <row r="343" spans="1:8" ht="14.25" customHeight="1" x14ac:dyDescent="0.3">
      <c r="A343" s="2">
        <v>45974</v>
      </c>
      <c r="B343">
        <v>25906.1</v>
      </c>
      <c r="C343">
        <v>26010.7</v>
      </c>
      <c r="D343">
        <v>25808.400000000001</v>
      </c>
      <c r="E343">
        <v>25879.15</v>
      </c>
      <c r="F343">
        <v>385170023</v>
      </c>
      <c r="G343">
        <v>30145.74</v>
      </c>
      <c r="H343">
        <f t="shared" si="5"/>
        <v>1.2946459626377477E-4</v>
      </c>
    </row>
    <row r="344" spans="1:8" ht="14.25" customHeight="1" x14ac:dyDescent="0.3">
      <c r="A344" s="2">
        <v>45975</v>
      </c>
      <c r="B344">
        <v>25767.9</v>
      </c>
      <c r="C344">
        <v>25940.2</v>
      </c>
      <c r="D344">
        <v>25740.799999999999</v>
      </c>
      <c r="E344">
        <v>25910.05</v>
      </c>
      <c r="F344">
        <v>518943416</v>
      </c>
      <c r="G344">
        <v>33121.81</v>
      </c>
      <c r="H344">
        <f t="shared" si="5"/>
        <v>1.194011395273717E-3</v>
      </c>
    </row>
    <row r="345" spans="1:8" ht="14.25" customHeight="1" x14ac:dyDescent="0.3">
      <c r="A345" s="2">
        <v>45978</v>
      </c>
      <c r="B345">
        <v>25948.2</v>
      </c>
      <c r="C345">
        <v>26024.2</v>
      </c>
      <c r="D345">
        <v>25906.35</v>
      </c>
      <c r="E345">
        <v>26013.45</v>
      </c>
      <c r="F345">
        <v>264610565</v>
      </c>
      <c r="G345">
        <v>23384.35</v>
      </c>
      <c r="H345">
        <f t="shared" si="5"/>
        <v>3.9907294659794739E-3</v>
      </c>
    </row>
    <row r="346" spans="1:8" ht="14.25" customHeight="1" x14ac:dyDescent="0.3">
      <c r="A346" s="2">
        <v>45979</v>
      </c>
      <c r="B346">
        <v>26021.8</v>
      </c>
      <c r="C346">
        <v>26029.85</v>
      </c>
      <c r="D346">
        <v>25876.5</v>
      </c>
      <c r="E346">
        <v>25910.05</v>
      </c>
      <c r="F346">
        <v>280000989</v>
      </c>
      <c r="G346">
        <v>26059.599999999999</v>
      </c>
      <c r="H346">
        <f t="shared" si="5"/>
        <v>-3.9748668477269048E-3</v>
      </c>
    </row>
    <row r="347" spans="1:8" ht="14.25" customHeight="1" x14ac:dyDescent="0.3">
      <c r="A347" s="2">
        <v>45980</v>
      </c>
      <c r="B347">
        <v>25918.1</v>
      </c>
      <c r="C347">
        <v>26074.65</v>
      </c>
      <c r="D347">
        <v>25856.2</v>
      </c>
      <c r="E347">
        <v>26052.65</v>
      </c>
      <c r="F347">
        <v>250110008</v>
      </c>
      <c r="G347">
        <v>24496.86</v>
      </c>
      <c r="H347">
        <f t="shared" si="5"/>
        <v>5.503655917298584E-3</v>
      </c>
    </row>
    <row r="348" spans="1:8" ht="14.25" customHeight="1" x14ac:dyDescent="0.3">
      <c r="A348" s="2">
        <v>45981</v>
      </c>
      <c r="B348">
        <v>26132.1</v>
      </c>
      <c r="C348">
        <v>26246.65</v>
      </c>
      <c r="D348">
        <v>26063.200000000001</v>
      </c>
      <c r="E348">
        <v>26192.15</v>
      </c>
      <c r="F348">
        <v>240425729</v>
      </c>
      <c r="G348">
        <v>25000.17</v>
      </c>
      <c r="H348">
        <f t="shared" si="5"/>
        <v>5.3545416685058904E-3</v>
      </c>
    </row>
    <row r="349" spans="1:8" ht="14.25" customHeight="1" x14ac:dyDescent="0.3">
      <c r="A349" s="2">
        <v>45982</v>
      </c>
      <c r="B349">
        <v>26109.55</v>
      </c>
      <c r="C349">
        <v>26179.200000000001</v>
      </c>
      <c r="D349">
        <v>26052.2</v>
      </c>
      <c r="E349">
        <v>26068.15</v>
      </c>
      <c r="F349">
        <v>235581427</v>
      </c>
      <c r="G349">
        <v>24720.07</v>
      </c>
      <c r="H349">
        <f t="shared" si="5"/>
        <v>-4.734242893385995E-3</v>
      </c>
    </row>
    <row r="350" spans="1:8" ht="14.25" customHeight="1" x14ac:dyDescent="0.3">
      <c r="A350" s="2">
        <v>45985</v>
      </c>
      <c r="B350">
        <v>26122.799999999999</v>
      </c>
      <c r="C350">
        <v>26142.799999999999</v>
      </c>
      <c r="D350">
        <v>25912.15</v>
      </c>
      <c r="E350">
        <v>25959.5</v>
      </c>
      <c r="F350">
        <v>464655063</v>
      </c>
      <c r="G350">
        <v>44895.45</v>
      </c>
      <c r="H350">
        <f t="shared" si="5"/>
        <v>-4.1679213906626071E-3</v>
      </c>
    </row>
    <row r="351" spans="1:8" ht="14.25" customHeight="1" x14ac:dyDescent="0.3">
      <c r="A351" s="2">
        <v>45986</v>
      </c>
      <c r="B351">
        <v>25998.5</v>
      </c>
      <c r="C351">
        <v>26032.6</v>
      </c>
      <c r="D351">
        <v>25857.5</v>
      </c>
      <c r="E351">
        <v>25884.799999999999</v>
      </c>
      <c r="F351">
        <v>260454909</v>
      </c>
      <c r="G351">
        <v>25320.15</v>
      </c>
      <c r="H351">
        <f t="shared" si="5"/>
        <v>-2.8775592750245856E-3</v>
      </c>
    </row>
    <row r="352" spans="1:8" ht="14.25" customHeight="1" x14ac:dyDescent="0.3">
      <c r="A352" s="2">
        <v>45987</v>
      </c>
      <c r="B352">
        <v>25842.95</v>
      </c>
      <c r="C352">
        <v>26215.15</v>
      </c>
      <c r="D352">
        <v>25842.95</v>
      </c>
      <c r="E352">
        <v>26205.3</v>
      </c>
      <c r="F352">
        <v>275265169</v>
      </c>
      <c r="G352">
        <v>31666.03</v>
      </c>
      <c r="H352">
        <f t="shared" si="5"/>
        <v>1.2381783904067252E-2</v>
      </c>
    </row>
    <row r="353" spans="1:8" ht="14.25" customHeight="1" x14ac:dyDescent="0.3">
      <c r="A353" s="2">
        <v>45988</v>
      </c>
      <c r="B353">
        <v>26261.25</v>
      </c>
      <c r="C353">
        <v>26310.45</v>
      </c>
      <c r="D353">
        <v>26141.9</v>
      </c>
      <c r="E353">
        <v>26215.55</v>
      </c>
      <c r="F353">
        <v>240287057</v>
      </c>
      <c r="G353">
        <v>25306.47</v>
      </c>
      <c r="H353">
        <f t="shared" si="5"/>
        <v>3.9114224985022116E-4</v>
      </c>
    </row>
    <row r="354" spans="1:8" ht="14.25" customHeight="1" x14ac:dyDescent="0.3">
      <c r="A354" s="2">
        <v>45989</v>
      </c>
      <c r="B354">
        <v>26237.45</v>
      </c>
      <c r="C354">
        <v>26280.75</v>
      </c>
      <c r="D354">
        <v>26172.400000000001</v>
      </c>
      <c r="E354">
        <v>26202.95</v>
      </c>
      <c r="F354">
        <v>202511545</v>
      </c>
      <c r="G354">
        <v>20525.36</v>
      </c>
      <c r="H354">
        <f t="shared" si="5"/>
        <v>-4.806307706684981E-4</v>
      </c>
    </row>
    <row r="355" spans="1:8" ht="14.25" customHeight="1" x14ac:dyDescent="0.3">
      <c r="A355" s="2">
        <v>45992</v>
      </c>
      <c r="B355">
        <v>26325.8</v>
      </c>
      <c r="C355">
        <v>26325.8</v>
      </c>
      <c r="D355">
        <v>26124.2</v>
      </c>
      <c r="E355">
        <v>26175.75</v>
      </c>
      <c r="F355">
        <v>213828573</v>
      </c>
      <c r="G355">
        <v>21734.75</v>
      </c>
      <c r="H355">
        <f t="shared" si="5"/>
        <v>-1.038051059136499E-3</v>
      </c>
    </row>
    <row r="356" spans="1:8" ht="14.25" customHeight="1" x14ac:dyDescent="0.3">
      <c r="A356" s="2">
        <v>45993</v>
      </c>
      <c r="B356">
        <v>26087.95</v>
      </c>
      <c r="C356">
        <v>26154.6</v>
      </c>
      <c r="D356">
        <v>25997.85</v>
      </c>
      <c r="E356">
        <v>26032.2</v>
      </c>
      <c r="F356">
        <v>254803113</v>
      </c>
      <c r="G356">
        <v>26298.82</v>
      </c>
      <c r="H356">
        <f t="shared" si="5"/>
        <v>-5.4840835506145677E-3</v>
      </c>
    </row>
    <row r="357" spans="1:8" ht="14.25" customHeight="1" x14ac:dyDescent="0.3">
      <c r="A357" s="2">
        <v>45994</v>
      </c>
      <c r="B357">
        <v>26004.9</v>
      </c>
      <c r="C357">
        <v>26066.45</v>
      </c>
      <c r="D357">
        <v>25891</v>
      </c>
      <c r="E357">
        <v>25986</v>
      </c>
      <c r="F357">
        <v>265660108</v>
      </c>
      <c r="G357">
        <v>25320.85</v>
      </c>
      <c r="H357">
        <f t="shared" si="5"/>
        <v>-1.77472514808586E-3</v>
      </c>
    </row>
    <row r="358" spans="1:8" ht="14.25" customHeight="1" x14ac:dyDescent="0.3">
      <c r="A358" s="2">
        <v>45995</v>
      </c>
      <c r="B358">
        <v>25981.85</v>
      </c>
      <c r="C358">
        <v>26098.25</v>
      </c>
      <c r="D358">
        <v>25938.95</v>
      </c>
      <c r="E358">
        <v>26033.75</v>
      </c>
      <c r="F358">
        <v>248099545</v>
      </c>
      <c r="G358">
        <v>26377.759999999998</v>
      </c>
      <c r="H358">
        <f t="shared" si="5"/>
        <v>1.8375278996382667E-3</v>
      </c>
    </row>
    <row r="359" spans="1:8" ht="14.25" customHeight="1" x14ac:dyDescent="0.3">
      <c r="A359" s="2">
        <v>45996</v>
      </c>
      <c r="B359">
        <v>25999.8</v>
      </c>
      <c r="C359">
        <v>26202.6</v>
      </c>
      <c r="D359">
        <v>25985.35</v>
      </c>
      <c r="E359">
        <v>26186.45</v>
      </c>
      <c r="F359">
        <v>249254405</v>
      </c>
      <c r="G359">
        <v>27491.07</v>
      </c>
      <c r="H359">
        <f t="shared" si="5"/>
        <v>5.8654631007826656E-3</v>
      </c>
    </row>
    <row r="360" spans="1:8" ht="14.25" customHeight="1" x14ac:dyDescent="0.3">
      <c r="A360" s="2">
        <v>45999</v>
      </c>
      <c r="B360">
        <v>26159.8</v>
      </c>
      <c r="C360">
        <v>26178.7</v>
      </c>
      <c r="D360">
        <v>25892.25</v>
      </c>
      <c r="E360">
        <v>25960.55</v>
      </c>
      <c r="F360">
        <v>320729920</v>
      </c>
      <c r="G360">
        <v>31677.57</v>
      </c>
      <c r="H360">
        <f t="shared" si="5"/>
        <v>-8.6265988707901007E-3</v>
      </c>
    </row>
    <row r="361" spans="1:8" ht="14.25" customHeight="1" x14ac:dyDescent="0.3">
      <c r="A361" s="2">
        <v>46000</v>
      </c>
      <c r="B361">
        <v>25867.1</v>
      </c>
      <c r="C361">
        <v>25923.65</v>
      </c>
      <c r="D361">
        <v>25728</v>
      </c>
      <c r="E361">
        <v>25839.65</v>
      </c>
      <c r="F361">
        <v>275978160</v>
      </c>
      <c r="G361">
        <v>29894.41</v>
      </c>
      <c r="H361">
        <f t="shared" si="5"/>
        <v>-4.6570662023723616E-3</v>
      </c>
    </row>
    <row r="362" spans="1:8" ht="14.25" customHeight="1" x14ac:dyDescent="0.3">
      <c r="A362" s="2">
        <v>46001</v>
      </c>
      <c r="B362">
        <v>25864.05</v>
      </c>
      <c r="C362">
        <v>25947.65</v>
      </c>
      <c r="D362">
        <v>25734.55</v>
      </c>
      <c r="E362">
        <v>25758</v>
      </c>
      <c r="F362">
        <v>207944446</v>
      </c>
      <c r="G362">
        <v>21975.7</v>
      </c>
      <c r="H362">
        <f t="shared" si="5"/>
        <v>-3.1598725214931878E-3</v>
      </c>
    </row>
    <row r="363" spans="1:8" ht="14.25" customHeight="1" x14ac:dyDescent="0.3">
      <c r="A363" s="2">
        <v>46002</v>
      </c>
      <c r="B363">
        <v>25771.4</v>
      </c>
      <c r="C363">
        <v>25922.799999999999</v>
      </c>
      <c r="D363">
        <v>25693.25</v>
      </c>
      <c r="E363">
        <v>25898.55</v>
      </c>
      <c r="F363">
        <v>206099631</v>
      </c>
      <c r="G363">
        <v>20145.189999999999</v>
      </c>
      <c r="H363">
        <f t="shared" si="5"/>
        <v>5.4565571861169065E-3</v>
      </c>
    </row>
    <row r="364" spans="1:8" ht="14.25" customHeight="1" x14ac:dyDescent="0.3">
      <c r="A364" s="2">
        <v>46003</v>
      </c>
      <c r="B364">
        <v>25971.200000000001</v>
      </c>
      <c r="C364">
        <v>26057.599999999999</v>
      </c>
      <c r="D364">
        <v>25938.45</v>
      </c>
      <c r="E364">
        <v>26046.95</v>
      </c>
      <c r="F364">
        <v>216344338</v>
      </c>
      <c r="G364">
        <v>19484.07</v>
      </c>
      <c r="H364">
        <f t="shared" si="5"/>
        <v>5.7300505240641449E-3</v>
      </c>
    </row>
    <row r="365" spans="1:8" ht="14.25" customHeight="1" x14ac:dyDescent="0.3">
      <c r="A365" s="2">
        <v>46006</v>
      </c>
      <c r="B365">
        <v>25930.05</v>
      </c>
      <c r="C365">
        <v>26047.15</v>
      </c>
      <c r="D365">
        <v>25904.75</v>
      </c>
      <c r="E365">
        <v>26027.3</v>
      </c>
      <c r="F365">
        <v>181557703</v>
      </c>
      <c r="G365">
        <v>17444.03</v>
      </c>
      <c r="H365">
        <f t="shared" si="5"/>
        <v>-7.5440694591886787E-4</v>
      </c>
    </row>
    <row r="366" spans="1:8" ht="14.25" customHeight="1" x14ac:dyDescent="0.3">
      <c r="A366" s="2">
        <v>46007</v>
      </c>
      <c r="B366">
        <v>25951.5</v>
      </c>
      <c r="C366">
        <v>25980.75</v>
      </c>
      <c r="D366">
        <v>25834.35</v>
      </c>
      <c r="E366">
        <v>25860.1</v>
      </c>
      <c r="F366">
        <v>264351195</v>
      </c>
      <c r="G366">
        <v>23554.69</v>
      </c>
      <c r="H366">
        <f t="shared" si="5"/>
        <v>-6.4240240055634173E-3</v>
      </c>
    </row>
    <row r="367" spans="1:8" ht="14.25" customHeight="1" x14ac:dyDescent="0.3">
      <c r="A367" s="2">
        <v>46008</v>
      </c>
      <c r="B367">
        <v>25902.400000000001</v>
      </c>
      <c r="C367">
        <v>25929.15</v>
      </c>
      <c r="D367">
        <v>25770.35</v>
      </c>
      <c r="E367">
        <v>25818.55</v>
      </c>
      <c r="F367">
        <v>206521258</v>
      </c>
      <c r="G367">
        <v>19787.57</v>
      </c>
      <c r="H367">
        <f t="shared" si="5"/>
        <v>-1.6067223251263248E-3</v>
      </c>
    </row>
    <row r="368" spans="1:8" ht="14.25" customHeight="1" x14ac:dyDescent="0.3">
      <c r="A368" s="2">
        <v>46009</v>
      </c>
      <c r="B368">
        <v>25764.7</v>
      </c>
      <c r="C368">
        <v>25902.35</v>
      </c>
      <c r="D368">
        <v>25726.3</v>
      </c>
      <c r="E368">
        <v>25815.55</v>
      </c>
      <c r="F368">
        <v>197553755</v>
      </c>
      <c r="G368">
        <v>20046.07</v>
      </c>
      <c r="H368">
        <f t="shared" si="5"/>
        <v>-1.1619552608492731E-4</v>
      </c>
    </row>
    <row r="369" spans="1:8" ht="14.25" customHeight="1" x14ac:dyDescent="0.3">
      <c r="A369" s="2">
        <v>46010</v>
      </c>
      <c r="B369">
        <v>25911.5</v>
      </c>
      <c r="C369">
        <v>25993.35</v>
      </c>
      <c r="D369">
        <v>25880.45</v>
      </c>
      <c r="E369">
        <v>25966.400000000001</v>
      </c>
      <c r="F369">
        <v>382927284</v>
      </c>
      <c r="G369">
        <v>36600.58</v>
      </c>
      <c r="H369">
        <f t="shared" si="5"/>
        <v>5.8433773442751434E-3</v>
      </c>
    </row>
    <row r="370" spans="1:8" ht="14.25" customHeight="1" x14ac:dyDescent="0.3">
      <c r="A370" s="2">
        <v>46013</v>
      </c>
      <c r="B370">
        <v>26055.85</v>
      </c>
      <c r="C370">
        <v>26180.7</v>
      </c>
      <c r="D370">
        <v>26047.8</v>
      </c>
      <c r="E370">
        <v>26172.400000000001</v>
      </c>
      <c r="F370">
        <v>252990050</v>
      </c>
      <c r="G370">
        <v>25333.26</v>
      </c>
      <c r="H370">
        <f t="shared" si="5"/>
        <v>7.933329225460594E-3</v>
      </c>
    </row>
    <row r="371" spans="1:8" ht="14.25" customHeight="1" x14ac:dyDescent="0.3">
      <c r="A371" s="2">
        <v>46014</v>
      </c>
      <c r="B371">
        <v>26205.200000000001</v>
      </c>
      <c r="C371">
        <v>26233.55</v>
      </c>
      <c r="D371">
        <v>26119.05</v>
      </c>
      <c r="E371">
        <v>26177.15</v>
      </c>
      <c r="F371">
        <v>216553840</v>
      </c>
      <c r="G371">
        <v>19670.5</v>
      </c>
      <c r="H371">
        <f t="shared" si="5"/>
        <v>1.8148889670034082E-4</v>
      </c>
    </row>
    <row r="372" spans="1:8" ht="14.25" customHeight="1" x14ac:dyDescent="0.3">
      <c r="A372" s="2">
        <v>46015</v>
      </c>
      <c r="B372">
        <v>26170.65</v>
      </c>
      <c r="C372">
        <v>26236.400000000001</v>
      </c>
      <c r="D372">
        <v>26123</v>
      </c>
      <c r="E372">
        <v>26142.1</v>
      </c>
      <c r="F372">
        <v>188846828</v>
      </c>
      <c r="G372">
        <v>17474.439999999999</v>
      </c>
      <c r="H372">
        <f t="shared" si="5"/>
        <v>-1.3389540114184665E-3</v>
      </c>
    </row>
    <row r="373" spans="1:8" ht="14.25" customHeight="1" x14ac:dyDescent="0.3">
      <c r="A373" s="2">
        <v>46017</v>
      </c>
      <c r="B373">
        <v>26121.25</v>
      </c>
      <c r="C373">
        <v>26144.2</v>
      </c>
      <c r="D373">
        <v>26008.6</v>
      </c>
      <c r="E373">
        <v>26042.3</v>
      </c>
      <c r="F373">
        <v>142243763</v>
      </c>
      <c r="G373">
        <v>12263.06</v>
      </c>
      <c r="H373">
        <f t="shared" si="5"/>
        <v>-3.8175969030796791E-3</v>
      </c>
    </row>
    <row r="374" spans="1:8" ht="14.25" customHeight="1" x14ac:dyDescent="0.3">
      <c r="A374" s="2">
        <v>46020</v>
      </c>
      <c r="B374">
        <v>26063.35</v>
      </c>
      <c r="C374">
        <v>26106.799999999999</v>
      </c>
      <c r="D374">
        <v>25920.3</v>
      </c>
      <c r="E374">
        <v>25942.1</v>
      </c>
      <c r="F374">
        <v>234312888</v>
      </c>
      <c r="G374">
        <v>18184.45</v>
      </c>
      <c r="H374">
        <f t="shared" si="5"/>
        <v>-3.8475864266981309E-3</v>
      </c>
    </row>
    <row r="375" spans="1:8" ht="14.25" customHeight="1" x14ac:dyDescent="0.3">
      <c r="A375" s="2">
        <v>46021</v>
      </c>
      <c r="B375">
        <v>25940.9</v>
      </c>
      <c r="C375">
        <v>25976.75</v>
      </c>
      <c r="D375">
        <v>25878</v>
      </c>
      <c r="E375">
        <v>25938.85</v>
      </c>
      <c r="F375">
        <v>396893959</v>
      </c>
      <c r="G375">
        <v>39492.31</v>
      </c>
      <c r="H375">
        <f t="shared" si="5"/>
        <v>-1.2527898666646109E-4</v>
      </c>
    </row>
    <row r="376" spans="1:8" ht="14.25" customHeight="1" x14ac:dyDescent="0.3">
      <c r="A376" s="2">
        <v>46022</v>
      </c>
      <c r="B376">
        <v>25971.05</v>
      </c>
      <c r="C376">
        <v>26187.95</v>
      </c>
      <c r="D376">
        <v>25969</v>
      </c>
      <c r="E376">
        <v>26129.599999999999</v>
      </c>
      <c r="F376">
        <v>246314941</v>
      </c>
      <c r="G376">
        <v>20703.990000000002</v>
      </c>
      <c r="H376">
        <f t="shared" si="5"/>
        <v>7.353834113694324E-3</v>
      </c>
    </row>
    <row r="377" spans="1:8" ht="14.25" customHeight="1" x14ac:dyDescent="0.3">
      <c r="A377" s="2">
        <v>46023</v>
      </c>
      <c r="B377">
        <v>26173.3</v>
      </c>
      <c r="C377">
        <v>26197.55</v>
      </c>
      <c r="D377">
        <v>26113.4</v>
      </c>
      <c r="E377">
        <v>26146.55</v>
      </c>
      <c r="F377">
        <v>425631910</v>
      </c>
      <c r="G377">
        <v>23454.66</v>
      </c>
      <c r="H377">
        <f t="shared" si="5"/>
        <v>6.4868960871964092E-4</v>
      </c>
    </row>
    <row r="378" spans="1:8" ht="14.25" customHeight="1" x14ac:dyDescent="0.3">
      <c r="A378" s="2">
        <v>46024</v>
      </c>
      <c r="B378">
        <v>26155.1</v>
      </c>
      <c r="C378">
        <v>26340</v>
      </c>
      <c r="D378">
        <v>26118.400000000001</v>
      </c>
      <c r="E378">
        <v>26328.55</v>
      </c>
      <c r="F378">
        <v>357547806</v>
      </c>
      <c r="G378">
        <v>23770.13</v>
      </c>
      <c r="H378">
        <f t="shared" si="5"/>
        <v>6.9607653782238956E-3</v>
      </c>
    </row>
    <row r="379" spans="1:8" ht="14.25" customHeight="1" x14ac:dyDescent="0.3">
      <c r="A379" s="2">
        <v>46027</v>
      </c>
      <c r="B379">
        <v>26333.7</v>
      </c>
      <c r="C379">
        <v>26373.200000000001</v>
      </c>
      <c r="D379">
        <v>26210.05</v>
      </c>
      <c r="E379">
        <v>26250.3</v>
      </c>
      <c r="F379">
        <v>338777649</v>
      </c>
      <c r="G379">
        <v>25742.83</v>
      </c>
      <c r="H379">
        <f t="shared" si="5"/>
        <v>-2.9720588486642826E-3</v>
      </c>
    </row>
    <row r="380" spans="1:8" ht="14.25" customHeight="1" x14ac:dyDescent="0.3">
      <c r="A380" s="2">
        <v>46028</v>
      </c>
      <c r="B380">
        <v>26189.7</v>
      </c>
      <c r="C380">
        <v>26273.95</v>
      </c>
      <c r="D380">
        <v>26124.75</v>
      </c>
      <c r="E380">
        <v>26178.7</v>
      </c>
      <c r="F380">
        <v>383040203</v>
      </c>
      <c r="G380">
        <v>34567.519999999997</v>
      </c>
      <c r="H380">
        <f t="shared" si="5"/>
        <v>-2.7275878751861328E-3</v>
      </c>
    </row>
    <row r="381" spans="1:8" ht="14.25" customHeight="1" x14ac:dyDescent="0.3">
      <c r="A381" s="2">
        <v>46029</v>
      </c>
      <c r="B381">
        <v>26143.1</v>
      </c>
      <c r="C381">
        <v>26187.15</v>
      </c>
      <c r="D381">
        <v>26067.9</v>
      </c>
      <c r="E381">
        <v>26140.75</v>
      </c>
      <c r="F381">
        <v>338216740</v>
      </c>
      <c r="G381">
        <v>30232.63</v>
      </c>
      <c r="H381">
        <f t="shared" si="5"/>
        <v>-1.4496518161711898E-3</v>
      </c>
    </row>
    <row r="382" spans="1:8" ht="14.25" customHeight="1" x14ac:dyDescent="0.3">
      <c r="A382" s="2">
        <v>46030</v>
      </c>
      <c r="B382">
        <v>26106.5</v>
      </c>
      <c r="C382">
        <v>26133.200000000001</v>
      </c>
      <c r="D382">
        <v>25858.45</v>
      </c>
      <c r="E382">
        <v>25876.85</v>
      </c>
      <c r="F382">
        <v>328520950</v>
      </c>
      <c r="G382">
        <v>27556.32</v>
      </c>
      <c r="H382">
        <f t="shared" si="5"/>
        <v>-1.009534921530566E-2</v>
      </c>
    </row>
    <row r="383" spans="1:8" ht="14.25" customHeight="1" x14ac:dyDescent="0.3">
      <c r="A383" s="2">
        <v>46031</v>
      </c>
      <c r="B383">
        <v>25840.400000000001</v>
      </c>
      <c r="C383">
        <v>25940.6</v>
      </c>
      <c r="D383">
        <v>25623</v>
      </c>
      <c r="E383">
        <v>25683.3</v>
      </c>
      <c r="F383">
        <v>348757262</v>
      </c>
      <c r="G383">
        <v>27486.639999999999</v>
      </c>
      <c r="H383">
        <f t="shared" si="5"/>
        <v>-7.4796584592019232E-3</v>
      </c>
    </row>
    <row r="384" spans="1:8" ht="14.25" customHeight="1" x14ac:dyDescent="0.3">
      <c r="A384" s="2">
        <v>46034</v>
      </c>
      <c r="B384">
        <v>25669.05</v>
      </c>
      <c r="C384">
        <v>25813.15</v>
      </c>
      <c r="D384">
        <v>25473.4</v>
      </c>
      <c r="E384">
        <v>25790.25</v>
      </c>
      <c r="F384">
        <v>275757268</v>
      </c>
      <c r="G384">
        <v>23874.45</v>
      </c>
      <c r="H384">
        <f t="shared" si="5"/>
        <v>4.1641845090000405E-3</v>
      </c>
    </row>
    <row r="385" spans="1:8" ht="14.25" customHeight="1" x14ac:dyDescent="0.3">
      <c r="A385" s="2">
        <v>46035</v>
      </c>
      <c r="B385">
        <v>25897.35</v>
      </c>
      <c r="C385">
        <v>25899.8</v>
      </c>
      <c r="D385">
        <v>25603.3</v>
      </c>
      <c r="E385">
        <v>25732.3</v>
      </c>
      <c r="F385">
        <v>339536336</v>
      </c>
      <c r="G385">
        <v>31434.03</v>
      </c>
      <c r="H385">
        <f t="shared" si="5"/>
        <v>-2.2469731778482459E-3</v>
      </c>
    </row>
    <row r="386" spans="1:8" ht="14.25" customHeight="1" x14ac:dyDescent="0.3">
      <c r="A386" s="2">
        <v>46036</v>
      </c>
      <c r="B386">
        <v>25648.55</v>
      </c>
      <c r="C386">
        <v>25791.75</v>
      </c>
      <c r="D386">
        <v>25603.95</v>
      </c>
      <c r="E386">
        <v>25665.599999999999</v>
      </c>
      <c r="F386">
        <v>393126596</v>
      </c>
      <c r="G386">
        <v>28944.880000000001</v>
      </c>
      <c r="H386">
        <f t="shared" si="5"/>
        <v>-2.5920729977499382E-3</v>
      </c>
    </row>
    <row r="387" spans="1:8" ht="14.25" customHeight="1" x14ac:dyDescent="0.3">
      <c r="A387" s="2">
        <v>46038</v>
      </c>
      <c r="B387">
        <v>25696.05</v>
      </c>
      <c r="C387">
        <v>25873.5</v>
      </c>
      <c r="D387">
        <v>25662.400000000001</v>
      </c>
      <c r="E387">
        <v>25694.35</v>
      </c>
      <c r="F387">
        <v>434041776</v>
      </c>
      <c r="G387">
        <v>37156.050000000003</v>
      </c>
      <c r="H387">
        <f t="shared" ref="H387:H450" si="6">(E387-E386)/E386</f>
        <v>1.1201764229162772E-3</v>
      </c>
    </row>
    <row r="388" spans="1:8" ht="14.25" customHeight="1" x14ac:dyDescent="0.3">
      <c r="A388" s="2">
        <v>46041</v>
      </c>
      <c r="B388">
        <v>25653.1</v>
      </c>
      <c r="C388">
        <v>25653.3</v>
      </c>
      <c r="D388">
        <v>25494.35</v>
      </c>
      <c r="E388">
        <v>25585.5</v>
      </c>
      <c r="F388">
        <v>443087953</v>
      </c>
      <c r="G388">
        <v>33632.379999999997</v>
      </c>
      <c r="H388">
        <f t="shared" si="6"/>
        <v>-4.2363398957357768E-3</v>
      </c>
    </row>
    <row r="389" spans="1:8" ht="14.25" customHeight="1" x14ac:dyDescent="0.3">
      <c r="A389" s="2">
        <v>46042</v>
      </c>
      <c r="B389">
        <v>25580.3</v>
      </c>
      <c r="C389">
        <v>25585</v>
      </c>
      <c r="D389">
        <v>25171.35</v>
      </c>
      <c r="E389">
        <v>25232.5</v>
      </c>
      <c r="F389">
        <v>409772324</v>
      </c>
      <c r="G389">
        <v>31020.36</v>
      </c>
      <c r="H389">
        <f t="shared" si="6"/>
        <v>-1.3796877137441129E-2</v>
      </c>
    </row>
    <row r="390" spans="1:8" ht="14.25" customHeight="1" x14ac:dyDescent="0.3">
      <c r="A390" s="2">
        <v>46043</v>
      </c>
      <c r="B390">
        <v>25141</v>
      </c>
      <c r="C390">
        <v>25300.95</v>
      </c>
      <c r="D390">
        <v>24919.8</v>
      </c>
      <c r="E390">
        <v>25157.5</v>
      </c>
      <c r="F390">
        <v>395624981</v>
      </c>
      <c r="G390">
        <v>30984.61</v>
      </c>
      <c r="H390">
        <f t="shared" si="6"/>
        <v>-2.9723570791637768E-3</v>
      </c>
    </row>
    <row r="391" spans="1:8" ht="14.25" customHeight="1" x14ac:dyDescent="0.3">
      <c r="A391" s="2">
        <v>46044</v>
      </c>
      <c r="B391">
        <v>25344.15</v>
      </c>
      <c r="C391">
        <v>25435.75</v>
      </c>
      <c r="D391">
        <v>25168.5</v>
      </c>
      <c r="E391">
        <v>25289.9</v>
      </c>
      <c r="F391">
        <v>486395433</v>
      </c>
      <c r="G391">
        <v>34583.24</v>
      </c>
      <c r="H391">
        <f t="shared" si="6"/>
        <v>5.2628440822816832E-3</v>
      </c>
    </row>
    <row r="392" spans="1:8" ht="14.25" customHeight="1" x14ac:dyDescent="0.3">
      <c r="A392" s="2">
        <v>46045</v>
      </c>
      <c r="B392">
        <v>25344.6</v>
      </c>
      <c r="C392">
        <v>25347.95</v>
      </c>
      <c r="D392">
        <v>25025.3</v>
      </c>
      <c r="E392">
        <v>25048.65</v>
      </c>
      <c r="F392">
        <v>393944908</v>
      </c>
      <c r="G392">
        <v>31844.65</v>
      </c>
      <c r="H392">
        <f t="shared" si="6"/>
        <v>-9.5393813340503512E-3</v>
      </c>
    </row>
    <row r="393" spans="1:8" ht="14.25" customHeight="1" x14ac:dyDescent="0.3">
      <c r="A393" s="2">
        <v>46049</v>
      </c>
      <c r="B393">
        <v>25063.35</v>
      </c>
      <c r="C393">
        <v>25246.65</v>
      </c>
      <c r="D393">
        <v>24932.55</v>
      </c>
      <c r="E393">
        <v>25175.4</v>
      </c>
      <c r="F393">
        <v>618696080</v>
      </c>
      <c r="G393">
        <v>50989.25</v>
      </c>
      <c r="H393">
        <f t="shared" si="6"/>
        <v>5.0601529423741397E-3</v>
      </c>
    </row>
    <row r="394" spans="1:8" ht="14.25" customHeight="1" x14ac:dyDescent="0.3">
      <c r="A394" s="2">
        <v>46050</v>
      </c>
      <c r="B394">
        <v>25258.85</v>
      </c>
      <c r="C394">
        <v>25372.1</v>
      </c>
      <c r="D394">
        <v>25187.65</v>
      </c>
      <c r="E394">
        <v>25342.75</v>
      </c>
      <c r="F394">
        <v>574903942</v>
      </c>
      <c r="G394">
        <v>42364.52</v>
      </c>
      <c r="H394">
        <f t="shared" si="6"/>
        <v>6.6473621074540435E-3</v>
      </c>
    </row>
    <row r="395" spans="1:8" ht="14.25" customHeight="1" x14ac:dyDescent="0.3">
      <c r="A395" s="2">
        <v>46051</v>
      </c>
      <c r="B395">
        <v>25345</v>
      </c>
      <c r="C395">
        <v>25458.15</v>
      </c>
      <c r="D395">
        <v>25159.8</v>
      </c>
      <c r="E395">
        <v>25418.9</v>
      </c>
      <c r="F395">
        <v>582389331</v>
      </c>
      <c r="G395">
        <v>44306.95</v>
      </c>
      <c r="H395">
        <f t="shared" si="6"/>
        <v>3.0048041353050261E-3</v>
      </c>
    </row>
    <row r="396" spans="1:8" ht="14.25" customHeight="1" x14ac:dyDescent="0.3">
      <c r="A396" s="2">
        <v>46052</v>
      </c>
      <c r="B396">
        <v>25247.55</v>
      </c>
      <c r="C396">
        <v>25370.7</v>
      </c>
      <c r="D396">
        <v>25213.65</v>
      </c>
      <c r="E396">
        <v>25320.65</v>
      </c>
      <c r="F396">
        <v>508388604</v>
      </c>
      <c r="G396">
        <v>40772.080000000002</v>
      </c>
      <c r="H396">
        <f t="shared" si="6"/>
        <v>-3.8652341368037167E-3</v>
      </c>
    </row>
    <row r="397" spans="1:8" ht="14.25" customHeight="1" x14ac:dyDescent="0.3">
      <c r="A397" s="2">
        <v>46054</v>
      </c>
      <c r="B397">
        <v>25333.75</v>
      </c>
      <c r="C397">
        <v>25440.9</v>
      </c>
      <c r="D397">
        <v>24571.75</v>
      </c>
      <c r="E397">
        <v>24825.45</v>
      </c>
      <c r="F397">
        <v>379370206</v>
      </c>
      <c r="G397">
        <v>25572.6</v>
      </c>
      <c r="H397">
        <f t="shared" si="6"/>
        <v>-1.9557159867538972E-2</v>
      </c>
    </row>
    <row r="398" spans="1:8" ht="14.25" customHeight="1" x14ac:dyDescent="0.3">
      <c r="A398" s="2">
        <v>46055</v>
      </c>
      <c r="B398">
        <v>24796.5</v>
      </c>
      <c r="C398">
        <v>25108.1</v>
      </c>
      <c r="D398">
        <v>24679.4</v>
      </c>
      <c r="E398">
        <v>25088.400000000001</v>
      </c>
      <c r="F398">
        <v>449215604</v>
      </c>
      <c r="G398">
        <v>34038.26</v>
      </c>
      <c r="H398">
        <f t="shared" si="6"/>
        <v>1.0591953015957443E-2</v>
      </c>
    </row>
    <row r="399" spans="1:8" ht="14.25" customHeight="1" x14ac:dyDescent="0.3">
      <c r="A399" s="2">
        <v>46056</v>
      </c>
      <c r="B399">
        <v>26308.05</v>
      </c>
      <c r="C399">
        <v>26341.200000000001</v>
      </c>
      <c r="D399">
        <v>25641.3</v>
      </c>
      <c r="E399">
        <v>25727.55</v>
      </c>
      <c r="F399">
        <v>637263148</v>
      </c>
      <c r="G399">
        <v>52338.39</v>
      </c>
      <c r="H399">
        <f t="shared" si="6"/>
        <v>2.5475917156932995E-2</v>
      </c>
    </row>
    <row r="400" spans="1:8" ht="14.25" customHeight="1" x14ac:dyDescent="0.3">
      <c r="A400" s="2">
        <v>46057</v>
      </c>
      <c r="B400">
        <v>25675.05</v>
      </c>
      <c r="C400">
        <v>25818.55</v>
      </c>
      <c r="D400">
        <v>25563.95</v>
      </c>
      <c r="E400">
        <v>25776</v>
      </c>
      <c r="F400">
        <v>429788986</v>
      </c>
      <c r="G400">
        <v>36899.120000000003</v>
      </c>
      <c r="H400">
        <f t="shared" si="6"/>
        <v>1.8831952517826506E-3</v>
      </c>
    </row>
    <row r="401" spans="1:8" ht="14.25" customHeight="1" x14ac:dyDescent="0.3">
      <c r="A401" s="2">
        <v>46058</v>
      </c>
      <c r="B401">
        <v>25755.9</v>
      </c>
      <c r="C401">
        <v>25757.65</v>
      </c>
      <c r="D401">
        <v>25579.5</v>
      </c>
      <c r="E401">
        <v>25642.799999999999</v>
      </c>
      <c r="F401">
        <v>343812628</v>
      </c>
      <c r="G401">
        <v>28582.32</v>
      </c>
      <c r="H401">
        <f t="shared" si="6"/>
        <v>-5.1675977653631569E-3</v>
      </c>
    </row>
    <row r="402" spans="1:8" ht="14.25" customHeight="1" x14ac:dyDescent="0.3">
      <c r="A402" s="2">
        <v>46059</v>
      </c>
      <c r="B402">
        <v>25605.8</v>
      </c>
      <c r="C402">
        <v>25703.95</v>
      </c>
      <c r="D402">
        <v>25491.9</v>
      </c>
      <c r="E402">
        <v>25693.7</v>
      </c>
      <c r="F402">
        <v>375476124</v>
      </c>
      <c r="G402">
        <v>29777.45</v>
      </c>
      <c r="H402">
        <f t="shared" si="6"/>
        <v>1.9849626405853281E-3</v>
      </c>
    </row>
    <row r="403" spans="1:8" ht="14.25" customHeight="1" x14ac:dyDescent="0.3">
      <c r="A403" s="2">
        <v>46062</v>
      </c>
      <c r="B403">
        <v>25888.7</v>
      </c>
      <c r="C403">
        <v>25922.25</v>
      </c>
      <c r="D403">
        <v>25780.9</v>
      </c>
      <c r="E403">
        <v>25867.3</v>
      </c>
      <c r="F403">
        <v>359386006</v>
      </c>
      <c r="G403">
        <v>28449.55</v>
      </c>
      <c r="H403">
        <f t="shared" si="6"/>
        <v>6.7565200807979597E-3</v>
      </c>
    </row>
    <row r="404" spans="1:8" ht="14.25" customHeight="1" x14ac:dyDescent="0.3">
      <c r="A404" s="2">
        <v>46063</v>
      </c>
      <c r="B404">
        <v>25922.65</v>
      </c>
      <c r="C404">
        <v>25989.45</v>
      </c>
      <c r="D404">
        <v>25870.45</v>
      </c>
      <c r="E404">
        <v>25935.15</v>
      </c>
      <c r="F404">
        <v>460878237</v>
      </c>
      <c r="G404">
        <v>32795.1</v>
      </c>
      <c r="H404">
        <f t="shared" si="6"/>
        <v>2.6230027873029725E-3</v>
      </c>
    </row>
    <row r="405" spans="1:8" ht="14.25" customHeight="1" x14ac:dyDescent="0.3">
      <c r="A405" s="2">
        <v>46064</v>
      </c>
      <c r="B405">
        <v>25997.45</v>
      </c>
      <c r="C405">
        <v>26009.4</v>
      </c>
      <c r="D405">
        <v>25899.8</v>
      </c>
      <c r="E405">
        <v>25953.85</v>
      </c>
      <c r="F405">
        <v>331389240</v>
      </c>
      <c r="G405">
        <v>31456.05</v>
      </c>
      <c r="H405">
        <f t="shared" si="6"/>
        <v>7.210291824029199E-4</v>
      </c>
    </row>
    <row r="406" spans="1:8" ht="14.25" customHeight="1" x14ac:dyDescent="0.3">
      <c r="A406" s="2">
        <v>46065</v>
      </c>
      <c r="B406">
        <v>25906.7</v>
      </c>
      <c r="C406">
        <v>25906.7</v>
      </c>
      <c r="D406">
        <v>25752.400000000001</v>
      </c>
      <c r="E406">
        <v>25807.200000000001</v>
      </c>
      <c r="F406">
        <v>419388014</v>
      </c>
      <c r="G406">
        <v>38977.68</v>
      </c>
      <c r="H406">
        <f t="shared" si="6"/>
        <v>-5.6504141004127643E-3</v>
      </c>
    </row>
    <row r="407" spans="1:8" ht="14.25" customHeight="1" x14ac:dyDescent="0.3">
      <c r="A407" s="2">
        <v>46066</v>
      </c>
      <c r="B407">
        <v>25571.15</v>
      </c>
      <c r="C407">
        <v>25630.35</v>
      </c>
      <c r="D407">
        <v>25444.3</v>
      </c>
      <c r="E407">
        <v>25471.1</v>
      </c>
      <c r="F407">
        <v>453523192</v>
      </c>
      <c r="G407">
        <v>40137.15</v>
      </c>
      <c r="H407">
        <f t="shared" si="6"/>
        <v>-1.3023497318577845E-2</v>
      </c>
    </row>
    <row r="408" spans="1:8" ht="14.25" customHeight="1" x14ac:dyDescent="0.3">
      <c r="A408" s="2">
        <v>46069</v>
      </c>
      <c r="B408">
        <v>25423.599999999999</v>
      </c>
      <c r="C408">
        <v>25697</v>
      </c>
      <c r="D408">
        <v>25372.7</v>
      </c>
      <c r="E408">
        <v>25682.75</v>
      </c>
      <c r="F408">
        <v>325487729</v>
      </c>
      <c r="G408">
        <v>22205.919999999998</v>
      </c>
      <c r="H408">
        <f t="shared" si="6"/>
        <v>8.3094173396516622E-3</v>
      </c>
    </row>
    <row r="409" spans="1:8" ht="14.25" customHeight="1" x14ac:dyDescent="0.3">
      <c r="A409" s="2">
        <v>46070</v>
      </c>
      <c r="B409">
        <v>25637.95</v>
      </c>
      <c r="C409">
        <v>25764.400000000001</v>
      </c>
      <c r="D409">
        <v>25570.3</v>
      </c>
      <c r="E409">
        <v>25725.4</v>
      </c>
      <c r="F409">
        <v>378436265</v>
      </c>
      <c r="G409">
        <v>27818.81</v>
      </c>
      <c r="H409">
        <f t="shared" si="6"/>
        <v>1.6606477110123119E-3</v>
      </c>
    </row>
    <row r="410" spans="1:8" ht="14.25" customHeight="1" x14ac:dyDescent="0.3">
      <c r="A410" s="2">
        <v>46071</v>
      </c>
      <c r="B410">
        <v>25752.65</v>
      </c>
      <c r="C410">
        <v>25828.05</v>
      </c>
      <c r="D410">
        <v>25645.15</v>
      </c>
      <c r="E410">
        <v>25819.35</v>
      </c>
      <c r="F410">
        <v>400807585</v>
      </c>
      <c r="G410">
        <v>22228.22</v>
      </c>
      <c r="H410">
        <f t="shared" si="6"/>
        <v>3.6520326214557241E-3</v>
      </c>
    </row>
    <row r="411" spans="1:8" ht="14.25" customHeight="1" x14ac:dyDescent="0.3">
      <c r="A411" s="2">
        <v>46072</v>
      </c>
      <c r="B411">
        <v>25873.35</v>
      </c>
      <c r="C411">
        <v>25885.3</v>
      </c>
      <c r="D411">
        <v>25388.75</v>
      </c>
      <c r="E411">
        <v>25454.35</v>
      </c>
      <c r="F411">
        <v>333658812</v>
      </c>
      <c r="G411">
        <v>24756.87</v>
      </c>
      <c r="H411">
        <f t="shared" si="6"/>
        <v>-1.4136684308474071E-2</v>
      </c>
    </row>
    <row r="412" spans="1:8" ht="14.25" customHeight="1" x14ac:dyDescent="0.3">
      <c r="A412" s="2">
        <v>46073</v>
      </c>
      <c r="B412">
        <v>25406.55</v>
      </c>
      <c r="C412">
        <v>25663.55</v>
      </c>
      <c r="D412">
        <v>25379.75</v>
      </c>
      <c r="E412">
        <v>25571.25</v>
      </c>
      <c r="F412">
        <v>309373691</v>
      </c>
      <c r="G412">
        <v>24024.7</v>
      </c>
      <c r="H412">
        <f t="shared" si="6"/>
        <v>4.5925352641101209E-3</v>
      </c>
    </row>
    <row r="413" spans="1:8" ht="14.25" customHeight="1" x14ac:dyDescent="0.3">
      <c r="A413" s="2">
        <v>46076</v>
      </c>
      <c r="B413">
        <v>25678.400000000001</v>
      </c>
      <c r="C413">
        <v>25771.45</v>
      </c>
      <c r="D413">
        <v>25609.35</v>
      </c>
      <c r="E413">
        <v>25713</v>
      </c>
      <c r="F413">
        <v>399135843</v>
      </c>
      <c r="G413">
        <v>25494.639999999999</v>
      </c>
      <c r="H413">
        <f t="shared" si="6"/>
        <v>5.5433347998240208E-3</v>
      </c>
    </row>
    <row r="414" spans="1:8" ht="14.25" customHeight="1" x14ac:dyDescent="0.3">
      <c r="A414" s="2">
        <v>46077</v>
      </c>
      <c r="B414">
        <v>25641.8</v>
      </c>
      <c r="C414">
        <v>25641.8</v>
      </c>
      <c r="D414">
        <v>25327.599999999999</v>
      </c>
      <c r="E414">
        <v>25424.65</v>
      </c>
      <c r="F414">
        <v>439068188</v>
      </c>
      <c r="G414">
        <v>36735.379999999997</v>
      </c>
      <c r="H414">
        <f t="shared" si="6"/>
        <v>-1.1214171819702039E-2</v>
      </c>
    </row>
    <row r="415" spans="1:8" ht="14.25" customHeight="1" x14ac:dyDescent="0.3">
      <c r="A415" s="2">
        <v>46078</v>
      </c>
      <c r="B415">
        <v>25512.6</v>
      </c>
      <c r="C415">
        <v>25652.6</v>
      </c>
      <c r="D415">
        <v>25428.2</v>
      </c>
      <c r="E415">
        <v>25482.5</v>
      </c>
      <c r="F415">
        <v>414215742</v>
      </c>
      <c r="G415">
        <v>31084.17</v>
      </c>
      <c r="H415">
        <f t="shared" si="6"/>
        <v>2.2753508897860359E-3</v>
      </c>
    </row>
    <row r="416" spans="1:8" ht="14.25" customHeight="1" x14ac:dyDescent="0.3">
      <c r="A416" s="2">
        <v>46079</v>
      </c>
      <c r="B416">
        <v>25556.3</v>
      </c>
      <c r="C416">
        <v>25572.95</v>
      </c>
      <c r="D416">
        <v>25400.95</v>
      </c>
      <c r="E416">
        <v>25496.55</v>
      </c>
      <c r="F416">
        <v>405219244</v>
      </c>
      <c r="G416">
        <v>33155.5</v>
      </c>
      <c r="H416">
        <f t="shared" si="6"/>
        <v>5.5135877563030602E-4</v>
      </c>
    </row>
    <row r="417" spans="1:8" ht="14.25" customHeight="1" x14ac:dyDescent="0.3">
      <c r="A417" s="2">
        <v>46080</v>
      </c>
      <c r="B417">
        <v>25459.85</v>
      </c>
      <c r="C417">
        <v>25476.400000000001</v>
      </c>
      <c r="D417">
        <v>25141.3</v>
      </c>
      <c r="E417">
        <v>25178.65</v>
      </c>
      <c r="F417">
        <v>438924282</v>
      </c>
      <c r="G417">
        <v>38634.68</v>
      </c>
      <c r="H417">
        <f t="shared" si="6"/>
        <v>-1.2468353561560204E-2</v>
      </c>
    </row>
    <row r="418" spans="1:8" ht="14.25" customHeight="1" x14ac:dyDescent="0.3">
      <c r="A418" s="2">
        <v>46083</v>
      </c>
      <c r="B418">
        <v>24659.25</v>
      </c>
      <c r="C418">
        <v>24989.35</v>
      </c>
      <c r="D418">
        <v>24603.5</v>
      </c>
      <c r="E418">
        <v>24865.7</v>
      </c>
      <c r="F418">
        <v>519228821</v>
      </c>
      <c r="G418">
        <v>41306.370000000003</v>
      </c>
      <c r="H418">
        <f t="shared" si="6"/>
        <v>-1.2429181072059094E-2</v>
      </c>
    </row>
    <row r="419" spans="1:8" ht="14.25" customHeight="1" x14ac:dyDescent="0.3">
      <c r="A419" s="2">
        <v>46085</v>
      </c>
      <c r="B419">
        <v>24388.799999999999</v>
      </c>
      <c r="C419">
        <v>24602.45</v>
      </c>
      <c r="D419">
        <v>24305.4</v>
      </c>
      <c r="E419">
        <v>24480.5</v>
      </c>
      <c r="F419">
        <v>598993881</v>
      </c>
      <c r="G419">
        <v>47700.19</v>
      </c>
      <c r="H419">
        <f t="shared" si="6"/>
        <v>-1.5491218827541581E-2</v>
      </c>
    </row>
    <row r="420" spans="1:8" ht="14.25" customHeight="1" x14ac:dyDescent="0.3">
      <c r="A420" s="2">
        <v>46086</v>
      </c>
      <c r="B420">
        <v>24615.95</v>
      </c>
      <c r="C420">
        <v>24854.2</v>
      </c>
      <c r="D420">
        <v>24529.4</v>
      </c>
      <c r="E420">
        <v>24765.9</v>
      </c>
      <c r="F420">
        <v>504339053</v>
      </c>
      <c r="G420">
        <v>40011.879999999997</v>
      </c>
      <c r="H420">
        <f t="shared" si="6"/>
        <v>1.1658258613998957E-2</v>
      </c>
    </row>
    <row r="421" spans="1:8" ht="14.25" customHeight="1" x14ac:dyDescent="0.3">
      <c r="A421" s="2">
        <v>46087</v>
      </c>
      <c r="B421">
        <v>24656.400000000001</v>
      </c>
      <c r="C421">
        <v>24700.799999999999</v>
      </c>
      <c r="D421">
        <v>24415.75</v>
      </c>
      <c r="E421">
        <v>24450.45</v>
      </c>
      <c r="F421">
        <v>433408256</v>
      </c>
      <c r="G421">
        <v>35453.32</v>
      </c>
      <c r="H421">
        <f t="shared" si="6"/>
        <v>-1.273727181325939E-2</v>
      </c>
    </row>
    <row r="422" spans="1:8" ht="14.25" customHeight="1" x14ac:dyDescent="0.3">
      <c r="A422" s="2">
        <v>46090</v>
      </c>
      <c r="B422">
        <v>23868.05</v>
      </c>
      <c r="C422">
        <v>24078.15</v>
      </c>
      <c r="D422">
        <v>23697.8</v>
      </c>
      <c r="E422">
        <v>24028.05</v>
      </c>
      <c r="F422">
        <v>526901605</v>
      </c>
      <c r="G422">
        <v>40569.31</v>
      </c>
      <c r="H422">
        <f t="shared" si="6"/>
        <v>-1.7275755660938814E-2</v>
      </c>
    </row>
    <row r="423" spans="1:8" ht="14.25" customHeight="1" x14ac:dyDescent="0.3">
      <c r="A423" s="2">
        <v>46091</v>
      </c>
      <c r="B423">
        <v>24280.799999999999</v>
      </c>
      <c r="C423">
        <v>24303.8</v>
      </c>
      <c r="D423">
        <v>24079.95</v>
      </c>
      <c r="E423">
        <v>24261.599999999999</v>
      </c>
      <c r="F423">
        <v>444283436</v>
      </c>
      <c r="G423">
        <v>36657.53</v>
      </c>
      <c r="H423">
        <f t="shared" si="6"/>
        <v>9.719889878704235E-3</v>
      </c>
    </row>
    <row r="424" spans="1:8" ht="14.25" customHeight="1" x14ac:dyDescent="0.3">
      <c r="A424" s="2">
        <v>46092</v>
      </c>
      <c r="B424">
        <v>24231.85</v>
      </c>
      <c r="C424">
        <v>24299</v>
      </c>
      <c r="D424">
        <v>23834.3</v>
      </c>
      <c r="E424">
        <v>23866.85</v>
      </c>
      <c r="F424">
        <v>407400643</v>
      </c>
      <c r="G424">
        <v>32549.4</v>
      </c>
      <c r="H424">
        <f t="shared" si="6"/>
        <v>-1.6270567481122433E-2</v>
      </c>
    </row>
    <row r="425" spans="1:8" ht="14.25" customHeight="1" x14ac:dyDescent="0.3">
      <c r="A425" s="2">
        <v>46093</v>
      </c>
      <c r="B425">
        <v>23674.85</v>
      </c>
      <c r="C425">
        <v>23833.15</v>
      </c>
      <c r="D425">
        <v>23556.3</v>
      </c>
      <c r="E425">
        <v>23639.15</v>
      </c>
      <c r="F425">
        <v>501004098</v>
      </c>
      <c r="G425">
        <v>40147.620000000003</v>
      </c>
      <c r="H425">
        <f t="shared" si="6"/>
        <v>-9.5404295078737704E-3</v>
      </c>
    </row>
    <row r="426" spans="1:8" ht="14.25" customHeight="1" x14ac:dyDescent="0.3">
      <c r="A426" s="2">
        <v>46094</v>
      </c>
      <c r="B426">
        <v>23462.5</v>
      </c>
      <c r="C426">
        <v>23492.400000000001</v>
      </c>
      <c r="D426">
        <v>23112</v>
      </c>
      <c r="E426">
        <v>23151.1</v>
      </c>
      <c r="F426">
        <v>519776752</v>
      </c>
      <c r="G426">
        <v>40786.699999999997</v>
      </c>
      <c r="H426">
        <f t="shared" si="6"/>
        <v>-2.0645835404403411E-2</v>
      </c>
    </row>
    <row r="427" spans="1:8" ht="14.25" customHeight="1" x14ac:dyDescent="0.3">
      <c r="A427" s="2">
        <v>46097</v>
      </c>
      <c r="B427">
        <v>23116.1</v>
      </c>
      <c r="C427">
        <v>23502</v>
      </c>
      <c r="D427">
        <v>22955.25</v>
      </c>
      <c r="E427">
        <v>23408.799999999999</v>
      </c>
      <c r="F427">
        <v>540293230</v>
      </c>
      <c r="G427">
        <v>44710.21</v>
      </c>
      <c r="H427">
        <f t="shared" si="6"/>
        <v>1.113122054675591E-2</v>
      </c>
    </row>
    <row r="428" spans="1:8" ht="14.25" customHeight="1" x14ac:dyDescent="0.3">
      <c r="A428" s="2">
        <v>46098</v>
      </c>
      <c r="B428">
        <v>23493.200000000001</v>
      </c>
      <c r="C428">
        <v>23656.799999999999</v>
      </c>
      <c r="D428">
        <v>23346.6</v>
      </c>
      <c r="E428">
        <v>23581.15</v>
      </c>
      <c r="F428">
        <v>458788167</v>
      </c>
      <c r="G428">
        <v>34495.730000000003</v>
      </c>
      <c r="H428">
        <f t="shared" si="6"/>
        <v>7.3626157684290603E-3</v>
      </c>
    </row>
    <row r="429" spans="1:8" ht="14.25" customHeight="1" x14ac:dyDescent="0.3">
      <c r="A429" s="2">
        <v>46099</v>
      </c>
      <c r="B429">
        <v>23632.9</v>
      </c>
      <c r="C429">
        <v>23862.25</v>
      </c>
      <c r="D429">
        <v>23618.45</v>
      </c>
      <c r="E429">
        <v>23777.8</v>
      </c>
      <c r="F429">
        <v>382876401</v>
      </c>
      <c r="G429">
        <v>28805.599999999999</v>
      </c>
      <c r="H429">
        <f t="shared" si="6"/>
        <v>8.3392879482127799E-3</v>
      </c>
    </row>
    <row r="430" spans="1:8" ht="14.25" customHeight="1" x14ac:dyDescent="0.3">
      <c r="A430" s="2">
        <v>46100</v>
      </c>
      <c r="B430">
        <v>23197.75</v>
      </c>
      <c r="C430">
        <v>23378.7</v>
      </c>
      <c r="D430">
        <v>22930.35</v>
      </c>
      <c r="E430">
        <v>23002.15</v>
      </c>
      <c r="F430">
        <v>550147401</v>
      </c>
      <c r="G430">
        <v>42000.27</v>
      </c>
      <c r="H430">
        <f t="shared" si="6"/>
        <v>-3.2620763905828035E-2</v>
      </c>
    </row>
    <row r="431" spans="1:8" ht="14.25" customHeight="1" x14ac:dyDescent="0.3">
      <c r="A431" s="2">
        <v>46101</v>
      </c>
      <c r="B431">
        <v>23110.15</v>
      </c>
      <c r="C431">
        <v>23345.15</v>
      </c>
      <c r="D431">
        <v>23067.599999999999</v>
      </c>
      <c r="E431">
        <v>23114.5</v>
      </c>
      <c r="F431">
        <v>663289390</v>
      </c>
      <c r="G431">
        <v>50308.33</v>
      </c>
      <c r="H431">
        <f t="shared" si="6"/>
        <v>4.8843260303927478E-3</v>
      </c>
    </row>
    <row r="432" spans="1:8" ht="14.25" customHeight="1" x14ac:dyDescent="0.3">
      <c r="A432" s="2">
        <v>46104</v>
      </c>
      <c r="B432">
        <v>22824.35</v>
      </c>
      <c r="C432">
        <v>22851.7</v>
      </c>
      <c r="D432">
        <v>22471.25</v>
      </c>
      <c r="E432">
        <v>22512.65</v>
      </c>
      <c r="F432">
        <v>550275334</v>
      </c>
      <c r="G432">
        <v>41002.589999999997</v>
      </c>
      <c r="H432">
        <f t="shared" si="6"/>
        <v>-2.603776850029196E-2</v>
      </c>
    </row>
    <row r="433" spans="1:8" ht="14.25" customHeight="1" x14ac:dyDescent="0.3">
      <c r="A433" s="2">
        <v>46105</v>
      </c>
      <c r="B433">
        <v>22878.45</v>
      </c>
      <c r="C433">
        <v>23057.3</v>
      </c>
      <c r="D433">
        <v>22624.2</v>
      </c>
      <c r="E433">
        <v>22912.400000000001</v>
      </c>
      <c r="F433">
        <v>538098322</v>
      </c>
      <c r="G433">
        <v>43385.04</v>
      </c>
      <c r="H433">
        <f t="shared" si="6"/>
        <v>1.7756683464629885E-2</v>
      </c>
    </row>
    <row r="434" spans="1:8" ht="14.25" customHeight="1" x14ac:dyDescent="0.3">
      <c r="A434" s="2">
        <v>46106</v>
      </c>
      <c r="B434">
        <v>23064.400000000001</v>
      </c>
      <c r="C434">
        <v>23465.35</v>
      </c>
      <c r="D434">
        <v>23063.200000000001</v>
      </c>
      <c r="E434">
        <v>23306.45</v>
      </c>
      <c r="F434">
        <v>505418973</v>
      </c>
      <c r="G434">
        <v>40733.980000000003</v>
      </c>
      <c r="H434">
        <f t="shared" si="6"/>
        <v>1.7198111066496713E-2</v>
      </c>
    </row>
    <row r="435" spans="1:8" ht="14.25" customHeight="1" x14ac:dyDescent="0.3">
      <c r="A435" s="2">
        <v>46108</v>
      </c>
      <c r="B435">
        <v>23173.55</v>
      </c>
      <c r="C435">
        <v>23186.1</v>
      </c>
      <c r="D435">
        <v>22804.55</v>
      </c>
      <c r="E435">
        <v>22819.599999999999</v>
      </c>
      <c r="F435">
        <v>612556883</v>
      </c>
      <c r="G435">
        <v>47239.199999999997</v>
      </c>
      <c r="H435">
        <f t="shared" si="6"/>
        <v>-2.0889067189554914E-2</v>
      </c>
    </row>
    <row r="436" spans="1:8" ht="14.25" customHeight="1" x14ac:dyDescent="0.3">
      <c r="A436" s="2">
        <v>46111</v>
      </c>
      <c r="B436">
        <v>22549.65</v>
      </c>
      <c r="C436">
        <v>22714.1</v>
      </c>
      <c r="D436">
        <v>22283.85</v>
      </c>
      <c r="E436">
        <v>22331.4</v>
      </c>
      <c r="F436">
        <v>698599891</v>
      </c>
      <c r="G436">
        <v>53093.7</v>
      </c>
      <c r="H436">
        <f t="shared" si="6"/>
        <v>-2.1393889463443581E-2</v>
      </c>
    </row>
    <row r="437" spans="1:8" ht="14.25" customHeight="1" x14ac:dyDescent="0.3">
      <c r="A437" s="2">
        <v>46113</v>
      </c>
      <c r="B437">
        <v>22899</v>
      </c>
      <c r="C437">
        <v>22941.3</v>
      </c>
      <c r="D437">
        <v>22618.6</v>
      </c>
      <c r="E437">
        <v>22679.4</v>
      </c>
      <c r="F437">
        <v>517954448</v>
      </c>
      <c r="G437">
        <v>41192.199999999997</v>
      </c>
      <c r="H437">
        <f t="shared" si="6"/>
        <v>1.5583438566323651E-2</v>
      </c>
    </row>
    <row r="438" spans="1:8" ht="14.25" customHeight="1" x14ac:dyDescent="0.3">
      <c r="A438" s="2">
        <v>46114</v>
      </c>
      <c r="B438">
        <v>22383.4</v>
      </c>
      <c r="C438">
        <v>22782.3</v>
      </c>
      <c r="D438">
        <v>22182.55</v>
      </c>
      <c r="E438">
        <v>22713.1</v>
      </c>
      <c r="F438">
        <v>495121035</v>
      </c>
      <c r="G438">
        <v>38669.56</v>
      </c>
      <c r="H438">
        <f t="shared" si="6"/>
        <v>1.485929962873669E-3</v>
      </c>
    </row>
    <row r="439" spans="1:8" ht="14.25" customHeight="1" x14ac:dyDescent="0.3">
      <c r="A439" s="2">
        <v>46118</v>
      </c>
      <c r="B439">
        <v>22780.3</v>
      </c>
      <c r="C439">
        <v>22998.35</v>
      </c>
      <c r="D439">
        <v>22542.95</v>
      </c>
      <c r="E439">
        <v>22968.25</v>
      </c>
      <c r="F439">
        <v>426416812</v>
      </c>
      <c r="G439">
        <v>35893.160000000003</v>
      </c>
      <c r="H439">
        <f t="shared" si="6"/>
        <v>1.1233605276250334E-2</v>
      </c>
    </row>
    <row r="440" spans="1:8" ht="14.25" customHeight="1" x14ac:dyDescent="0.3">
      <c r="A440" s="2">
        <v>46119</v>
      </c>
      <c r="B440">
        <v>22838.7</v>
      </c>
      <c r="C440">
        <v>23153.85</v>
      </c>
      <c r="D440">
        <v>22719.3</v>
      </c>
      <c r="E440">
        <v>23123.65</v>
      </c>
      <c r="F440">
        <v>476981883</v>
      </c>
      <c r="G440">
        <v>38940.47</v>
      </c>
      <c r="H440">
        <f t="shared" si="6"/>
        <v>6.7658615697757316E-3</v>
      </c>
    </row>
    <row r="441" spans="1:8" ht="14.25" customHeight="1" x14ac:dyDescent="0.3">
      <c r="A441" s="2">
        <v>46120</v>
      </c>
      <c r="B441">
        <v>23855.15</v>
      </c>
      <c r="C441">
        <v>24025.15</v>
      </c>
      <c r="D441">
        <v>23828.5</v>
      </c>
      <c r="E441">
        <v>23997.35</v>
      </c>
      <c r="F441">
        <v>639257993</v>
      </c>
      <c r="G441">
        <v>56557.11</v>
      </c>
      <c r="H441">
        <f t="shared" si="6"/>
        <v>3.7783827380192876E-2</v>
      </c>
    </row>
    <row r="442" spans="1:8" ht="14.25" customHeight="1" x14ac:dyDescent="0.3">
      <c r="A442" s="2">
        <v>46121</v>
      </c>
      <c r="B442">
        <v>23909.05</v>
      </c>
      <c r="C442">
        <v>23990.75</v>
      </c>
      <c r="D442">
        <v>23682.799999999999</v>
      </c>
      <c r="E442">
        <v>23775.1</v>
      </c>
      <c r="F442">
        <v>466587329</v>
      </c>
      <c r="G442">
        <v>40443.589999999997</v>
      </c>
      <c r="H442">
        <f t="shared" si="6"/>
        <v>-9.2614392839209334E-3</v>
      </c>
    </row>
    <row r="443" spans="1:8" ht="14.25" customHeight="1" x14ac:dyDescent="0.3">
      <c r="A443" s="2">
        <v>46122</v>
      </c>
      <c r="B443">
        <v>23880.55</v>
      </c>
      <c r="C443">
        <v>24074.05</v>
      </c>
      <c r="D443">
        <v>23856.35</v>
      </c>
      <c r="E443">
        <v>24050.6</v>
      </c>
      <c r="F443">
        <v>481302436</v>
      </c>
      <c r="G443">
        <v>40109.22</v>
      </c>
      <c r="H443">
        <f t="shared" si="6"/>
        <v>1.1587753574117459E-2</v>
      </c>
    </row>
    <row r="444" spans="1:8" ht="14.25" customHeight="1" x14ac:dyDescent="0.3">
      <c r="A444" s="2">
        <v>46125</v>
      </c>
      <c r="B444">
        <v>23589.599999999999</v>
      </c>
      <c r="C444">
        <v>23907.4</v>
      </c>
      <c r="D444">
        <v>23555.599999999999</v>
      </c>
      <c r="E444">
        <v>23842.65</v>
      </c>
      <c r="F444">
        <v>488844789</v>
      </c>
      <c r="G444">
        <v>41931.51</v>
      </c>
      <c r="H444">
        <f t="shared" si="6"/>
        <v>-8.6463539371157937E-3</v>
      </c>
    </row>
    <row r="445" spans="1:8" ht="14.25" customHeight="1" x14ac:dyDescent="0.3">
      <c r="A445" s="2">
        <v>46127</v>
      </c>
      <c r="B445">
        <v>24163.8</v>
      </c>
      <c r="C445">
        <v>24280.9</v>
      </c>
      <c r="D445">
        <v>24145.8</v>
      </c>
      <c r="E445">
        <v>24231.3</v>
      </c>
      <c r="F445">
        <v>460334041</v>
      </c>
      <c r="G445">
        <v>38376.839999999997</v>
      </c>
      <c r="H445">
        <f t="shared" si="6"/>
        <v>1.6300620946077631E-2</v>
      </c>
    </row>
    <row r="446" spans="1:8" ht="14.25" customHeight="1" x14ac:dyDescent="0.3">
      <c r="A446" s="2">
        <v>46128</v>
      </c>
      <c r="B446">
        <v>24385.200000000001</v>
      </c>
      <c r="C446">
        <v>24400.95</v>
      </c>
      <c r="D446">
        <v>24102.799999999999</v>
      </c>
      <c r="E446">
        <v>24196.75</v>
      </c>
      <c r="F446">
        <v>508017772</v>
      </c>
      <c r="G446">
        <v>44634.35</v>
      </c>
      <c r="H446">
        <f t="shared" si="6"/>
        <v>-1.4258417831482123E-3</v>
      </c>
    </row>
    <row r="447" spans="1:8" ht="14.25" customHeight="1" x14ac:dyDescent="0.3">
      <c r="A447" s="2">
        <v>46129</v>
      </c>
      <c r="B447">
        <v>24165.9</v>
      </c>
      <c r="C447">
        <v>24371.9</v>
      </c>
      <c r="D447">
        <v>24096.05</v>
      </c>
      <c r="E447">
        <v>24353.55</v>
      </c>
      <c r="F447">
        <v>498625189</v>
      </c>
      <c r="G447">
        <v>35373.29</v>
      </c>
      <c r="H447">
        <f t="shared" si="6"/>
        <v>6.4802091189932231E-3</v>
      </c>
    </row>
    <row r="448" spans="1:8" ht="14.25" customHeight="1" x14ac:dyDescent="0.3">
      <c r="A448" s="2">
        <v>46132</v>
      </c>
      <c r="B448">
        <v>24391.5</v>
      </c>
      <c r="C448">
        <v>24480.65</v>
      </c>
      <c r="D448">
        <v>24241.25</v>
      </c>
      <c r="E448">
        <v>24364.85</v>
      </c>
      <c r="F448">
        <v>415942883</v>
      </c>
      <c r="G448">
        <v>35042.31</v>
      </c>
      <c r="H448">
        <f t="shared" si="6"/>
        <v>4.639980618841718E-4</v>
      </c>
    </row>
    <row r="449" spans="1:8" ht="14.25" customHeight="1" x14ac:dyDescent="0.3">
      <c r="A449" s="2">
        <v>46133</v>
      </c>
      <c r="B449">
        <v>24374.55</v>
      </c>
      <c r="C449">
        <v>24601.7</v>
      </c>
      <c r="D449">
        <v>24354.9</v>
      </c>
      <c r="E449">
        <v>24576.6</v>
      </c>
      <c r="F449">
        <v>425826834</v>
      </c>
      <c r="G449">
        <v>37315.699999999997</v>
      </c>
      <c r="H449">
        <f t="shared" si="6"/>
        <v>8.6907984247799608E-3</v>
      </c>
    </row>
    <row r="450" spans="1:8" ht="14.25" customHeight="1" x14ac:dyDescent="0.3">
      <c r="A450" s="2">
        <v>46134</v>
      </c>
      <c r="B450">
        <v>24470.85</v>
      </c>
      <c r="C450">
        <v>24515.95</v>
      </c>
      <c r="D450">
        <v>24352.9</v>
      </c>
      <c r="E450">
        <v>24378.1</v>
      </c>
      <c r="F450">
        <v>440524292</v>
      </c>
      <c r="G450">
        <v>38980.03</v>
      </c>
      <c r="H450">
        <f t="shared" si="6"/>
        <v>-8.0767884898643432E-3</v>
      </c>
    </row>
    <row r="451" spans="1:8" ht="14.25" customHeight="1" x14ac:dyDescent="0.3">
      <c r="A451" s="2">
        <v>46135</v>
      </c>
      <c r="B451">
        <v>24202.35</v>
      </c>
      <c r="C451">
        <v>24310.2</v>
      </c>
      <c r="D451">
        <v>24134.799999999999</v>
      </c>
      <c r="E451">
        <v>24173.05</v>
      </c>
      <c r="F451">
        <v>467549860</v>
      </c>
      <c r="G451">
        <v>39616.97</v>
      </c>
      <c r="H451">
        <f t="shared" ref="H451:H496" si="7">(E451-E450)/E450</f>
        <v>-8.4112379553779541E-3</v>
      </c>
    </row>
    <row r="452" spans="1:8" ht="14.25" customHeight="1" x14ac:dyDescent="0.3">
      <c r="A452" s="2">
        <v>46136</v>
      </c>
      <c r="B452">
        <v>24100.55</v>
      </c>
      <c r="C452">
        <v>24206</v>
      </c>
      <c r="D452">
        <v>23813.65</v>
      </c>
      <c r="E452">
        <v>23897.95</v>
      </c>
      <c r="F452">
        <v>438433486</v>
      </c>
      <c r="G452">
        <v>36898.39</v>
      </c>
      <c r="H452">
        <f t="shared" si="7"/>
        <v>-1.1380442269386715E-2</v>
      </c>
    </row>
    <row r="453" spans="1:8" ht="14.25" customHeight="1" x14ac:dyDescent="0.3">
      <c r="A453" s="2">
        <v>46139</v>
      </c>
      <c r="B453">
        <v>23945.45</v>
      </c>
      <c r="C453">
        <v>24130.7</v>
      </c>
      <c r="D453">
        <v>23936.2</v>
      </c>
      <c r="E453">
        <v>24092.7</v>
      </c>
      <c r="F453">
        <v>430297937</v>
      </c>
      <c r="G453">
        <v>36685.279999999999</v>
      </c>
      <c r="H453">
        <f t="shared" si="7"/>
        <v>8.1492345577758758E-3</v>
      </c>
    </row>
    <row r="454" spans="1:8" ht="14.25" customHeight="1" x14ac:dyDescent="0.3">
      <c r="A454" s="2">
        <v>46140</v>
      </c>
      <c r="B454">
        <v>24049.9</v>
      </c>
      <c r="C454">
        <v>24181.8</v>
      </c>
      <c r="D454">
        <v>23957.05</v>
      </c>
      <c r="E454">
        <v>23995.7</v>
      </c>
      <c r="F454">
        <v>554134344</v>
      </c>
      <c r="G454">
        <v>43390.29</v>
      </c>
      <c r="H454">
        <f t="shared" si="7"/>
        <v>-4.0261157944107553E-3</v>
      </c>
    </row>
    <row r="455" spans="1:8" ht="14.25" customHeight="1" x14ac:dyDescent="0.3">
      <c r="A455" s="2">
        <v>46141</v>
      </c>
      <c r="B455">
        <v>24096.9</v>
      </c>
      <c r="C455">
        <v>24334.7</v>
      </c>
      <c r="D455">
        <v>24059.95</v>
      </c>
      <c r="E455">
        <v>24177.65</v>
      </c>
      <c r="F455">
        <v>531122966</v>
      </c>
      <c r="G455">
        <v>38035.47</v>
      </c>
      <c r="H455">
        <f t="shared" si="7"/>
        <v>7.5826085506986969E-3</v>
      </c>
    </row>
    <row r="456" spans="1:8" ht="14.25" customHeight="1" x14ac:dyDescent="0.3">
      <c r="A456" s="2">
        <v>46142</v>
      </c>
      <c r="B456">
        <v>23996.95</v>
      </c>
      <c r="C456">
        <v>24087.45</v>
      </c>
      <c r="D456">
        <v>23796.85</v>
      </c>
      <c r="E456">
        <v>23997.55</v>
      </c>
      <c r="F456">
        <v>505520648</v>
      </c>
      <c r="G456">
        <v>44420.83</v>
      </c>
      <c r="H456">
        <f t="shared" si="7"/>
        <v>-7.4490283381553699E-3</v>
      </c>
    </row>
    <row r="457" spans="1:8" ht="14.25" customHeight="1" x14ac:dyDescent="0.3">
      <c r="A457" s="2">
        <v>46146</v>
      </c>
      <c r="B457">
        <v>24063.55</v>
      </c>
      <c r="C457">
        <v>24290.2</v>
      </c>
      <c r="D457">
        <v>24004.75</v>
      </c>
      <c r="E457">
        <v>24119.3</v>
      </c>
      <c r="F457">
        <v>419069793</v>
      </c>
      <c r="G457">
        <v>35790.21</v>
      </c>
      <c r="H457">
        <f t="shared" si="7"/>
        <v>5.0734345797800191E-3</v>
      </c>
    </row>
    <row r="458" spans="1:8" ht="14.25" customHeight="1" x14ac:dyDescent="0.3">
      <c r="A458" s="2">
        <v>46147</v>
      </c>
      <c r="B458">
        <v>24052.6</v>
      </c>
      <c r="C458">
        <v>24081.7</v>
      </c>
      <c r="D458">
        <v>23882.05</v>
      </c>
      <c r="E458">
        <v>24032.799999999999</v>
      </c>
      <c r="F458">
        <v>363297728</v>
      </c>
      <c r="G458">
        <v>33650.36</v>
      </c>
      <c r="H458">
        <f t="shared" si="7"/>
        <v>-3.5863395703855418E-3</v>
      </c>
    </row>
    <row r="459" spans="1:8" ht="14.25" customHeight="1" x14ac:dyDescent="0.3">
      <c r="A459" s="2">
        <v>46148</v>
      </c>
      <c r="B459">
        <v>24171</v>
      </c>
      <c r="C459">
        <v>24356.5</v>
      </c>
      <c r="D459">
        <v>23997.9</v>
      </c>
      <c r="E459">
        <v>24330.95</v>
      </c>
      <c r="F459">
        <v>429190144</v>
      </c>
      <c r="G459">
        <v>38826.870000000003</v>
      </c>
      <c r="H459">
        <f t="shared" si="7"/>
        <v>1.2405961852135475E-2</v>
      </c>
    </row>
    <row r="460" spans="1:8" ht="14.25" customHeight="1" x14ac:dyDescent="0.3">
      <c r="A460" s="2">
        <v>46149</v>
      </c>
      <c r="B460">
        <v>24398.5</v>
      </c>
      <c r="C460">
        <v>24482.1</v>
      </c>
      <c r="D460">
        <v>24284</v>
      </c>
      <c r="E460">
        <v>24326.65</v>
      </c>
      <c r="F460">
        <v>440621691</v>
      </c>
      <c r="G460">
        <v>39529.1</v>
      </c>
      <c r="H460">
        <f t="shared" si="7"/>
        <v>-1.7672963858785917E-4</v>
      </c>
    </row>
    <row r="461" spans="1:8" ht="14.25" customHeight="1" x14ac:dyDescent="0.3">
      <c r="A461" s="2">
        <v>46150</v>
      </c>
      <c r="B461">
        <v>24233.65</v>
      </c>
      <c r="C461">
        <v>24253.8</v>
      </c>
      <c r="D461">
        <v>24126.65</v>
      </c>
      <c r="E461">
        <v>24176.15</v>
      </c>
      <c r="F461">
        <v>335887188</v>
      </c>
      <c r="G461">
        <v>31217.1</v>
      </c>
      <c r="H461">
        <f t="shared" si="7"/>
        <v>-6.186630711585853E-3</v>
      </c>
    </row>
    <row r="462" spans="1:8" ht="14.25" customHeight="1" x14ac:dyDescent="0.3">
      <c r="A462" s="2">
        <v>46153</v>
      </c>
      <c r="B462">
        <v>23970.1</v>
      </c>
      <c r="C462">
        <v>23997.45</v>
      </c>
      <c r="D462">
        <v>23799.1</v>
      </c>
      <c r="E462">
        <v>23815.85</v>
      </c>
      <c r="F462">
        <v>390108343</v>
      </c>
      <c r="G462">
        <v>37404.28</v>
      </c>
      <c r="H462">
        <f t="shared" si="7"/>
        <v>-1.490311732844158E-2</v>
      </c>
    </row>
    <row r="463" spans="1:8" ht="14.25" customHeight="1" x14ac:dyDescent="0.3">
      <c r="A463" s="2">
        <v>46154</v>
      </c>
      <c r="B463">
        <v>23722.6</v>
      </c>
      <c r="C463">
        <v>23757.55</v>
      </c>
      <c r="D463">
        <v>23348.400000000001</v>
      </c>
      <c r="E463">
        <v>23379.55</v>
      </c>
      <c r="F463">
        <v>447518189</v>
      </c>
      <c r="G463">
        <v>36200.589999999997</v>
      </c>
      <c r="H463">
        <f t="shared" si="7"/>
        <v>-1.8319732447088777E-2</v>
      </c>
    </row>
    <row r="464" spans="1:8" ht="14.25" customHeight="1" x14ac:dyDescent="0.3">
      <c r="A464" s="2">
        <v>46155</v>
      </c>
      <c r="B464">
        <v>23362.45</v>
      </c>
      <c r="C464">
        <v>23582.95</v>
      </c>
      <c r="D464">
        <v>23262.55</v>
      </c>
      <c r="E464">
        <v>23412.6</v>
      </c>
      <c r="F464">
        <v>415359044</v>
      </c>
      <c r="G464">
        <v>33693.480000000003</v>
      </c>
      <c r="H464">
        <f t="shared" si="7"/>
        <v>1.4136285771111624E-3</v>
      </c>
    </row>
    <row r="465" spans="1:8" ht="14.25" customHeight="1" x14ac:dyDescent="0.3">
      <c r="A465" s="2">
        <v>46156</v>
      </c>
      <c r="B465">
        <v>23530.25</v>
      </c>
      <c r="C465">
        <v>23777.200000000001</v>
      </c>
      <c r="D465">
        <v>23426.55</v>
      </c>
      <c r="E465">
        <v>23689.599999999999</v>
      </c>
      <c r="F465">
        <v>428735424</v>
      </c>
      <c r="G465">
        <v>38828.33</v>
      </c>
      <c r="H465">
        <f t="shared" si="7"/>
        <v>1.1831236171975774E-2</v>
      </c>
    </row>
    <row r="466" spans="1:8" ht="14.25" customHeight="1" x14ac:dyDescent="0.3">
      <c r="A466" s="2">
        <v>46157</v>
      </c>
      <c r="B466">
        <v>23731.4</v>
      </c>
      <c r="C466">
        <v>23839.3</v>
      </c>
      <c r="D466">
        <v>23610.3</v>
      </c>
      <c r="E466">
        <v>23643.5</v>
      </c>
      <c r="F466">
        <v>408864566</v>
      </c>
      <c r="G466">
        <v>35052.32</v>
      </c>
      <c r="H466">
        <f t="shared" si="7"/>
        <v>-1.9460016209644126E-3</v>
      </c>
    </row>
    <row r="467" spans="1:8" ht="14.25" customHeight="1" x14ac:dyDescent="0.3">
      <c r="A467" s="2">
        <v>46160</v>
      </c>
      <c r="B467">
        <v>23482.2</v>
      </c>
      <c r="C467">
        <v>23695.65</v>
      </c>
      <c r="D467">
        <v>23317.1</v>
      </c>
      <c r="E467">
        <v>23649.95</v>
      </c>
      <c r="F467">
        <v>391968426</v>
      </c>
      <c r="G467">
        <v>30029.02</v>
      </c>
      <c r="H467">
        <f t="shared" si="7"/>
        <v>2.7280225008990749E-4</v>
      </c>
    </row>
    <row r="468" spans="1:8" ht="14.25" customHeight="1" x14ac:dyDescent="0.3">
      <c r="A468" s="2">
        <v>46161</v>
      </c>
      <c r="B468">
        <v>23675.3</v>
      </c>
      <c r="C468">
        <v>23782.3</v>
      </c>
      <c r="D468">
        <v>23587.200000000001</v>
      </c>
      <c r="E468">
        <v>23618</v>
      </c>
      <c r="F468">
        <v>441953184</v>
      </c>
      <c r="G468">
        <v>39325.730000000003</v>
      </c>
      <c r="H468">
        <f t="shared" si="7"/>
        <v>-1.3509542303472408E-3</v>
      </c>
    </row>
    <row r="469" spans="1:8" ht="14.25" customHeight="1" x14ac:dyDescent="0.3">
      <c r="A469" s="2">
        <v>46162</v>
      </c>
      <c r="B469">
        <v>23457.25</v>
      </c>
      <c r="C469">
        <v>23690.9</v>
      </c>
      <c r="D469">
        <v>23397.3</v>
      </c>
      <c r="E469">
        <v>23659</v>
      </c>
      <c r="F469">
        <v>344050591</v>
      </c>
      <c r="G469">
        <v>26163.78</v>
      </c>
      <c r="H469">
        <f t="shared" si="7"/>
        <v>1.7359640951816412E-3</v>
      </c>
    </row>
    <row r="470" spans="1:8" ht="14.25" customHeight="1" x14ac:dyDescent="0.3">
      <c r="A470" s="2">
        <v>46163</v>
      </c>
      <c r="B470">
        <v>23830.05</v>
      </c>
      <c r="C470">
        <v>23859.9</v>
      </c>
      <c r="D470">
        <v>23596.6</v>
      </c>
      <c r="E470">
        <v>23654.7</v>
      </c>
      <c r="F470">
        <v>348183907</v>
      </c>
      <c r="G470">
        <v>29930.79</v>
      </c>
      <c r="H470">
        <f t="shared" si="7"/>
        <v>-1.817490172872595E-4</v>
      </c>
    </row>
    <row r="471" spans="1:8" ht="14.25" customHeight="1" x14ac:dyDescent="0.3">
      <c r="A471" s="2">
        <v>46164</v>
      </c>
      <c r="B471">
        <v>23671.200000000001</v>
      </c>
      <c r="C471">
        <v>23835.65</v>
      </c>
      <c r="D471">
        <v>23671</v>
      </c>
      <c r="E471">
        <v>23719.3</v>
      </c>
      <c r="F471">
        <v>336108649</v>
      </c>
      <c r="G471">
        <v>24993.16</v>
      </c>
      <c r="H471">
        <f t="shared" si="7"/>
        <v>2.7309583296342183E-3</v>
      </c>
    </row>
    <row r="472" spans="1:8" ht="14.25" customHeight="1" x14ac:dyDescent="0.3">
      <c r="A472" s="2">
        <v>46167</v>
      </c>
      <c r="B472">
        <v>23940.25</v>
      </c>
      <c r="C472">
        <v>24054.45</v>
      </c>
      <c r="D472">
        <v>23922.85</v>
      </c>
      <c r="E472">
        <v>24031.7</v>
      </c>
      <c r="F472">
        <v>351224048</v>
      </c>
      <c r="G472">
        <v>27301.94</v>
      </c>
      <c r="H472">
        <f t="shared" si="7"/>
        <v>1.3170709085006786E-2</v>
      </c>
    </row>
    <row r="473" spans="1:8" ht="14.25" customHeight="1" x14ac:dyDescent="0.3">
      <c r="A473" s="2">
        <v>46168</v>
      </c>
      <c r="B473">
        <v>24004.1</v>
      </c>
      <c r="C473">
        <v>24089.8</v>
      </c>
      <c r="D473">
        <v>23885.45</v>
      </c>
      <c r="E473">
        <v>23913.7</v>
      </c>
      <c r="F473">
        <v>387932940</v>
      </c>
      <c r="G473">
        <v>29835.11</v>
      </c>
      <c r="H473">
        <f t="shared" si="7"/>
        <v>-4.9101811357498632E-3</v>
      </c>
    </row>
    <row r="474" spans="1:8" ht="14.25" customHeight="1" x14ac:dyDescent="0.3">
      <c r="A474" s="2">
        <v>46169</v>
      </c>
      <c r="B474">
        <v>23880.35</v>
      </c>
      <c r="C474">
        <v>23983.200000000001</v>
      </c>
      <c r="D474">
        <v>23858.25</v>
      </c>
      <c r="E474">
        <v>23907.15</v>
      </c>
      <c r="F474">
        <v>531572650</v>
      </c>
      <c r="G474">
        <v>34903.35</v>
      </c>
      <c r="H474">
        <f t="shared" si="7"/>
        <v>-2.7390157106592757E-4</v>
      </c>
    </row>
    <row r="475" spans="1:8" ht="14.25" customHeight="1" x14ac:dyDescent="0.3">
      <c r="A475" s="2">
        <v>46171</v>
      </c>
      <c r="B475">
        <v>23902.15</v>
      </c>
      <c r="C475">
        <v>24002.799999999999</v>
      </c>
      <c r="D475">
        <v>23484.75</v>
      </c>
      <c r="E475">
        <v>23547.75</v>
      </c>
      <c r="F475">
        <v>1198023438</v>
      </c>
      <c r="G475">
        <v>101439</v>
      </c>
      <c r="H475">
        <f t="shared" si="7"/>
        <v>-1.5033159535954785E-2</v>
      </c>
    </row>
    <row r="476" spans="1:8" ht="14.25" customHeight="1" x14ac:dyDescent="0.3">
      <c r="A476" s="2">
        <v>46174</v>
      </c>
      <c r="B476">
        <v>23654.5</v>
      </c>
      <c r="C476">
        <v>23733.7</v>
      </c>
      <c r="D476">
        <v>23357.95</v>
      </c>
      <c r="E476">
        <v>23382.6</v>
      </c>
      <c r="F476">
        <v>421691204</v>
      </c>
      <c r="G476">
        <v>33843.74</v>
      </c>
      <c r="H476">
        <f t="shared" si="7"/>
        <v>-7.0134089244195926E-3</v>
      </c>
    </row>
    <row r="477" spans="1:8" ht="14.25" customHeight="1" x14ac:dyDescent="0.3">
      <c r="A477" s="2">
        <v>46175</v>
      </c>
      <c r="B477">
        <v>23229.15</v>
      </c>
      <c r="C477">
        <v>23556.95</v>
      </c>
      <c r="D477">
        <v>23229.15</v>
      </c>
      <c r="E477">
        <v>23483.55</v>
      </c>
      <c r="F477">
        <v>511852817</v>
      </c>
      <c r="G477">
        <v>43063.5</v>
      </c>
      <c r="H477">
        <f t="shared" si="7"/>
        <v>4.3173128736753285E-3</v>
      </c>
    </row>
    <row r="478" spans="1:8" ht="14.25" customHeight="1" x14ac:dyDescent="0.3">
      <c r="A478" s="2">
        <v>46176</v>
      </c>
      <c r="B478">
        <v>23415.95</v>
      </c>
      <c r="C478">
        <v>23459.65</v>
      </c>
      <c r="D478">
        <v>23151.5</v>
      </c>
      <c r="E478">
        <v>23405.599999999999</v>
      </c>
      <c r="F478">
        <v>450089851</v>
      </c>
      <c r="G478">
        <v>36726.559999999998</v>
      </c>
      <c r="H478">
        <f t="shared" si="7"/>
        <v>-3.3193448179683538E-3</v>
      </c>
    </row>
    <row r="479" spans="1:8" ht="14.25" customHeight="1" x14ac:dyDescent="0.3">
      <c r="A479" s="2">
        <v>46177</v>
      </c>
      <c r="B479">
        <v>23282.45</v>
      </c>
      <c r="C479">
        <v>23465.3</v>
      </c>
      <c r="D479">
        <v>23247.3</v>
      </c>
      <c r="E479">
        <v>23416.55</v>
      </c>
      <c r="F479">
        <v>412505524</v>
      </c>
      <c r="G479">
        <v>32848.46</v>
      </c>
      <c r="H479">
        <f t="shared" si="7"/>
        <v>4.6783675701544622E-4</v>
      </c>
    </row>
    <row r="480" spans="1:8" ht="14.25" customHeight="1" x14ac:dyDescent="0.3">
      <c r="A480" s="2">
        <v>46178</v>
      </c>
      <c r="B480">
        <v>23478.95</v>
      </c>
      <c r="C480">
        <v>23516.35</v>
      </c>
      <c r="D480">
        <v>23282.65</v>
      </c>
      <c r="E480">
        <v>23366.7</v>
      </c>
      <c r="F480">
        <v>366208223</v>
      </c>
      <c r="G480">
        <v>28432.83</v>
      </c>
      <c r="H480">
        <f t="shared" si="7"/>
        <v>-2.1288362290772357E-3</v>
      </c>
    </row>
    <row r="481" spans="1:8" ht="14.25" customHeight="1" x14ac:dyDescent="0.3">
      <c r="A481" s="2">
        <v>46181</v>
      </c>
      <c r="B481">
        <v>23080.7</v>
      </c>
      <c r="C481">
        <v>23267.3</v>
      </c>
      <c r="D481">
        <v>23070.15</v>
      </c>
      <c r="E481">
        <v>23123</v>
      </c>
      <c r="F481">
        <v>375730763</v>
      </c>
      <c r="G481">
        <v>26550.42</v>
      </c>
      <c r="H481">
        <f t="shared" si="7"/>
        <v>-1.0429371712736533E-2</v>
      </c>
    </row>
    <row r="482" spans="1:8" ht="14.25" customHeight="1" x14ac:dyDescent="0.3">
      <c r="A482" s="2">
        <v>46182</v>
      </c>
      <c r="B482">
        <v>23259.05</v>
      </c>
      <c r="C482">
        <v>23279.4</v>
      </c>
      <c r="D482">
        <v>23104.45</v>
      </c>
      <c r="E482">
        <v>23242.1</v>
      </c>
      <c r="F482">
        <v>402552937</v>
      </c>
      <c r="G482">
        <v>32911.17</v>
      </c>
      <c r="H482">
        <f t="shared" si="7"/>
        <v>5.1507157375772408E-3</v>
      </c>
    </row>
    <row r="483" spans="1:8" ht="14.25" customHeight="1" x14ac:dyDescent="0.3">
      <c r="A483" s="2">
        <v>46183</v>
      </c>
      <c r="B483">
        <v>23233.95</v>
      </c>
      <c r="C483">
        <v>23425.35</v>
      </c>
      <c r="D483">
        <v>23184.6</v>
      </c>
      <c r="E483">
        <v>23214.95</v>
      </c>
      <c r="F483">
        <v>380030627</v>
      </c>
      <c r="G483">
        <v>31906.68</v>
      </c>
      <c r="H483">
        <f t="shared" si="7"/>
        <v>-1.1681388514806243E-3</v>
      </c>
    </row>
    <row r="484" spans="1:8" ht="14.25" customHeight="1" x14ac:dyDescent="0.3">
      <c r="A484" s="2">
        <v>46184</v>
      </c>
      <c r="B484">
        <v>23104.400000000001</v>
      </c>
      <c r="C484">
        <v>23327.45</v>
      </c>
      <c r="D484">
        <v>23072.05</v>
      </c>
      <c r="E484">
        <v>23161.599999999999</v>
      </c>
      <c r="F484">
        <v>362996956</v>
      </c>
      <c r="G484">
        <v>28529.75</v>
      </c>
      <c r="H484">
        <f t="shared" si="7"/>
        <v>-2.2980880854794939E-3</v>
      </c>
    </row>
    <row r="485" spans="1:8" ht="14.25" customHeight="1" x14ac:dyDescent="0.3">
      <c r="A485" s="2">
        <v>46185</v>
      </c>
      <c r="B485">
        <v>23412.55</v>
      </c>
      <c r="C485">
        <v>23645.35</v>
      </c>
      <c r="D485">
        <v>23313.9</v>
      </c>
      <c r="E485">
        <v>23622.9</v>
      </c>
      <c r="F485">
        <v>351944432</v>
      </c>
      <c r="G485">
        <v>29593.119999999999</v>
      </c>
      <c r="H485">
        <f t="shared" si="7"/>
        <v>1.9916586073501094E-2</v>
      </c>
    </row>
    <row r="486" spans="1:8" ht="14.25" customHeight="1" x14ac:dyDescent="0.3">
      <c r="A486" s="2">
        <v>46188</v>
      </c>
      <c r="B486">
        <v>23984.85</v>
      </c>
      <c r="C486">
        <v>24011.4</v>
      </c>
      <c r="D486">
        <v>23817.8</v>
      </c>
      <c r="E486">
        <v>23853.9</v>
      </c>
      <c r="F486">
        <v>398913735</v>
      </c>
      <c r="G486">
        <v>34783.089999999997</v>
      </c>
      <c r="H486">
        <f t="shared" si="7"/>
        <v>9.7786469908436296E-3</v>
      </c>
    </row>
    <row r="487" spans="1:8" ht="14.25" customHeight="1" x14ac:dyDescent="0.3">
      <c r="A487" s="2">
        <v>46189</v>
      </c>
      <c r="B487">
        <v>23923.9</v>
      </c>
      <c r="C487">
        <v>24002.6</v>
      </c>
      <c r="D487">
        <v>23888.2</v>
      </c>
      <c r="E487">
        <v>23989.15</v>
      </c>
      <c r="F487">
        <v>327307262</v>
      </c>
      <c r="G487">
        <v>27953.23</v>
      </c>
      <c r="H487">
        <f t="shared" si="7"/>
        <v>5.6699323800300993E-3</v>
      </c>
    </row>
    <row r="488" spans="1:8" ht="14.25" customHeight="1" x14ac:dyDescent="0.3">
      <c r="A488" s="2">
        <v>46190</v>
      </c>
      <c r="B488">
        <v>24044.5</v>
      </c>
      <c r="C488">
        <v>24108.2</v>
      </c>
      <c r="D488">
        <v>23969.7</v>
      </c>
      <c r="E488">
        <v>24085.7</v>
      </c>
      <c r="F488">
        <v>352665809</v>
      </c>
      <c r="G488">
        <v>26947.5</v>
      </c>
      <c r="H488">
        <f t="shared" si="7"/>
        <v>4.0247361828159509E-3</v>
      </c>
    </row>
    <row r="489" spans="1:8" ht="14.25" customHeight="1" x14ac:dyDescent="0.3">
      <c r="A489" s="2">
        <v>46191</v>
      </c>
      <c r="B489">
        <v>24073.8</v>
      </c>
      <c r="C489">
        <v>24189.25</v>
      </c>
      <c r="D489">
        <v>24036.95</v>
      </c>
      <c r="E489">
        <v>24168</v>
      </c>
      <c r="F489">
        <v>339988612</v>
      </c>
      <c r="G489">
        <v>28654.85</v>
      </c>
      <c r="H489">
        <f t="shared" si="7"/>
        <v>3.4169652532415194E-3</v>
      </c>
    </row>
    <row r="490" spans="1:8" ht="14.25" customHeight="1" x14ac:dyDescent="0.3">
      <c r="A490" s="2">
        <v>46192</v>
      </c>
      <c r="B490">
        <v>23991.200000000001</v>
      </c>
      <c r="C490">
        <v>24047.200000000001</v>
      </c>
      <c r="D490">
        <v>23901.9</v>
      </c>
      <c r="E490">
        <v>24013.1</v>
      </c>
      <c r="F490">
        <v>447858148</v>
      </c>
      <c r="G490">
        <v>40191.19</v>
      </c>
      <c r="H490">
        <f t="shared" si="7"/>
        <v>-6.4093015557762931E-3</v>
      </c>
    </row>
    <row r="491" spans="1:8" ht="14.25" customHeight="1" x14ac:dyDescent="0.3">
      <c r="A491" s="2">
        <v>46195</v>
      </c>
      <c r="B491">
        <v>24106.6</v>
      </c>
      <c r="C491">
        <v>24168.05</v>
      </c>
      <c r="D491">
        <v>24073.15</v>
      </c>
      <c r="E491">
        <v>24102.9</v>
      </c>
      <c r="F491">
        <v>252821156</v>
      </c>
      <c r="G491">
        <v>21763.919999999998</v>
      </c>
      <c r="H491">
        <f t="shared" si="7"/>
        <v>3.7396254544395731E-3</v>
      </c>
    </row>
    <row r="492" spans="1:8" ht="14.25" customHeight="1" x14ac:dyDescent="0.3">
      <c r="A492" s="2">
        <v>46196</v>
      </c>
      <c r="B492">
        <v>24071.3</v>
      </c>
      <c r="C492">
        <v>24135.5</v>
      </c>
      <c r="D492">
        <v>23784.95</v>
      </c>
      <c r="E492">
        <v>23824.1</v>
      </c>
      <c r="F492">
        <v>340090069</v>
      </c>
      <c r="G492">
        <v>28997.57</v>
      </c>
      <c r="H492">
        <f t="shared" si="7"/>
        <v>-1.1567072841857325E-2</v>
      </c>
    </row>
    <row r="493" spans="1:8" ht="14.25" customHeight="1" x14ac:dyDescent="0.3">
      <c r="A493" s="2">
        <v>46197</v>
      </c>
      <c r="B493">
        <v>23795.8</v>
      </c>
      <c r="C493">
        <v>24090.05</v>
      </c>
      <c r="D493">
        <v>23789.25</v>
      </c>
      <c r="E493">
        <v>24021.65</v>
      </c>
      <c r="F493">
        <v>395578738</v>
      </c>
      <c r="G493">
        <v>31302.799999999999</v>
      </c>
      <c r="H493">
        <f t="shared" si="7"/>
        <v>8.2920236231380385E-3</v>
      </c>
    </row>
    <row r="494" spans="1:8" ht="14.25" customHeight="1" x14ac:dyDescent="0.3">
      <c r="A494" s="2">
        <v>46198</v>
      </c>
      <c r="B494">
        <v>24125.85</v>
      </c>
      <c r="C494">
        <v>24261.599999999999</v>
      </c>
      <c r="D494">
        <v>24039</v>
      </c>
      <c r="E494">
        <v>24056</v>
      </c>
      <c r="F494">
        <v>448752143</v>
      </c>
      <c r="G494">
        <v>40015.4</v>
      </c>
      <c r="H494">
        <f t="shared" si="7"/>
        <v>1.4299600568653088E-3</v>
      </c>
    </row>
    <row r="495" spans="1:8" ht="14.25" customHeight="1" x14ac:dyDescent="0.3">
      <c r="A495" s="2">
        <v>46202</v>
      </c>
      <c r="B495">
        <v>24061.75</v>
      </c>
      <c r="C495">
        <v>24120</v>
      </c>
      <c r="D495">
        <v>23924.55</v>
      </c>
      <c r="E495">
        <v>23946.25</v>
      </c>
      <c r="F495">
        <v>588498045</v>
      </c>
      <c r="G495">
        <v>47361.14</v>
      </c>
      <c r="H495">
        <f t="shared" si="7"/>
        <v>-4.562271366810775E-3</v>
      </c>
    </row>
    <row r="496" spans="1:8" ht="14.25" customHeight="1" x14ac:dyDescent="0.3">
      <c r="A496" s="2">
        <v>46203</v>
      </c>
      <c r="B496">
        <v>24032.05</v>
      </c>
      <c r="C496">
        <v>24035.55</v>
      </c>
      <c r="D496">
        <v>23829.200000000001</v>
      </c>
      <c r="E496">
        <v>23865.75</v>
      </c>
      <c r="F496">
        <v>449044753</v>
      </c>
      <c r="G496">
        <v>39507.019999999997</v>
      </c>
      <c r="H496">
        <f t="shared" si="7"/>
        <v>-3.3616954637991333E-3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zoomScaleNormal="100" workbookViewId="0">
      <selection sqref="A1:XFD1048576"/>
    </sheetView>
  </sheetViews>
  <sheetFormatPr defaultColWidth="8.6640625" defaultRowHeight="14.4" x14ac:dyDescent="0.3"/>
  <cols>
    <col min="1" max="1" width="10.77734375" customWidth="1"/>
    <col min="2" max="2" width="16.6640625" customWidth="1"/>
    <col min="3" max="3" width="17.33203125" customWidth="1"/>
    <col min="4" max="4" width="12" bestFit="1" customWidth="1"/>
  </cols>
  <sheetData>
    <row r="1" spans="1:4" s="5" customFormat="1" ht="14.25" customHeight="1" x14ac:dyDescent="0.3">
      <c r="A1" s="5" t="s">
        <v>23</v>
      </c>
      <c r="B1" s="5" t="s">
        <v>24</v>
      </c>
      <c r="C1" s="5" t="s">
        <v>25</v>
      </c>
      <c r="D1" s="5" t="s">
        <v>26</v>
      </c>
    </row>
    <row r="2" spans="1:4" ht="14.25" customHeight="1" x14ac:dyDescent="0.3">
      <c r="A2" t="s">
        <v>27</v>
      </c>
      <c r="B2">
        <f>AVERAGE(HCLTECH!O3:O496)</f>
        <v>-4.9878007257171556E-4</v>
      </c>
      <c r="C2">
        <f>STDEV(HCLTECH!O3:O496)</f>
        <v>1.6600990594264182E-2</v>
      </c>
      <c r="D2">
        <f>_xlfn.COVARIANCE.S(HCLTECH!O3:O496,NIFTY50!H3:H496)/_xlfn.VAR.S(NIFTY50!H3:H496)</f>
        <v>0.93740913739773468</v>
      </c>
    </row>
    <row r="3" spans="1:4" ht="14.25" customHeight="1" x14ac:dyDescent="0.3">
      <c r="A3" t="s">
        <v>28</v>
      </c>
      <c r="B3">
        <f>AVERAGE(ITC!O3:O496)</f>
        <v>-7.3502586536763166E-4</v>
      </c>
      <c r="C3">
        <f>STDEV(ITC!O3:O496)</f>
        <v>1.2510056430006166E-2</v>
      </c>
      <c r="D3">
        <f>_xlfn.COVARIANCE.S(ITC!O3:O496,NIFTY50!H3:H496)/_xlfn.VAR.S(NIFTY50!H3:H496)</f>
        <v>0.63502003408755359</v>
      </c>
    </row>
    <row r="4" spans="1:4" ht="14.25" customHeight="1" x14ac:dyDescent="0.3">
      <c r="A4" t="s">
        <v>29</v>
      </c>
      <c r="B4">
        <f>AVERAGE(HDFCBANK!O3:O496)</f>
        <v>-1.0611126678436163E-3</v>
      </c>
      <c r="C4">
        <f>STDEV(HDFCBANK!O3:O496)</f>
        <v>2.5832502693707536E-2</v>
      </c>
      <c r="D4">
        <f>_xlfn.COVARIANCE.S(HDFCBANK!O3:O496,NIFTY50!H3:H496)/_xlfn.VAR.S(NIFTY50!H3:H496)</f>
        <v>1.1949825543929289</v>
      </c>
    </row>
    <row r="5" spans="1:4" ht="14.25" customHeight="1" x14ac:dyDescent="0.3">
      <c r="A5" t="s">
        <v>30</v>
      </c>
      <c r="B5">
        <f>AVERAGE(MARUTI!O3:O496)</f>
        <v>4.1863744329065377E-4</v>
      </c>
      <c r="C5">
        <f>STDEV(MARUTI!O3:O496)</f>
        <v>1.4775892518513909E-2</v>
      </c>
      <c r="D5">
        <f>_xlfn.COVARIANCE.S(MARUTI!O3:O496,NIFTY50!H3:H496)/_xlfn.VAR.S(NIFTY50!H3:H496)</f>
        <v>1.0018338624497383</v>
      </c>
    </row>
    <row r="6" spans="1:4" ht="14.25" customHeight="1" x14ac:dyDescent="0.3">
      <c r="A6" t="s">
        <v>31</v>
      </c>
      <c r="B6">
        <f>AVERAGE(RELIANCE!O3:O496)</f>
        <v>-1.3082454975734911E-3</v>
      </c>
      <c r="C6">
        <f>STDEV(RELIANCE!O3:O496)</f>
        <v>2.5998948145122311E-2</v>
      </c>
      <c r="D6">
        <f>_xlfn.COVARIANCE.S(RELIANCE!O3:O496,NIFTY50!H3:H496)/_xlfn.VAR.S(NIFTY50!H3:H496)</f>
        <v>0.9572305438519001</v>
      </c>
    </row>
    <row r="7" spans="1:4" ht="14.25" customHeight="1" x14ac:dyDescent="0.3">
      <c r="A7" t="s">
        <v>32</v>
      </c>
      <c r="B7">
        <f>AVERAGE('DR.REDDY''S'!O3:O496)</f>
        <v>-1.4026909313763882E-3</v>
      </c>
      <c r="C7">
        <f>STDEV('DR.REDDY''S'!O3:O496)</f>
        <v>3.8494907491928222E-2</v>
      </c>
      <c r="D7">
        <f>_xlfn.COVARIANCE.S('DR.REDDY''S'!O3:O496,NIFTY50!H3:H496)/_xlfn.VAR.S(NIFTY50!H3:H496)</f>
        <v>0.44224260996060422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4"/>
  <sheetViews>
    <sheetView topLeftCell="A58" zoomScaleNormal="100" workbookViewId="0">
      <selection activeCell="A64" sqref="A64:H64"/>
    </sheetView>
  </sheetViews>
  <sheetFormatPr defaultColWidth="8.6640625" defaultRowHeight="14.4" x14ac:dyDescent="0.3"/>
  <cols>
    <col min="1" max="1" width="84.5546875" style="12" bestFit="1" customWidth="1"/>
    <col min="2" max="2" width="18.5546875" style="12" bestFit="1" customWidth="1"/>
    <col min="3" max="3" width="13.6640625" style="12" bestFit="1" customWidth="1"/>
    <col min="4" max="4" width="19" style="12" bestFit="1" customWidth="1"/>
    <col min="5" max="5" width="19.5546875" style="12" bestFit="1" customWidth="1"/>
    <col min="6" max="7" width="12.6640625" style="12" bestFit="1" customWidth="1"/>
    <col min="8" max="8" width="5.6640625" style="12" bestFit="1" customWidth="1"/>
    <col min="9" max="9" width="12.6640625" style="12" bestFit="1" customWidth="1"/>
    <col min="10" max="10" width="15" style="12" bestFit="1" customWidth="1"/>
    <col min="11" max="16384" width="8.6640625" style="12"/>
  </cols>
  <sheetData>
    <row r="1" spans="1:10" ht="15.75" customHeight="1" x14ac:dyDescent="0.3">
      <c r="A1" s="11" t="s">
        <v>33</v>
      </c>
    </row>
    <row r="3" spans="1:10" ht="15" customHeight="1" x14ac:dyDescent="0.3">
      <c r="A3" s="15" t="s">
        <v>34</v>
      </c>
    </row>
    <row r="4" spans="1:10" ht="15" customHeight="1" x14ac:dyDescent="0.3">
      <c r="B4" s="14" t="s">
        <v>27</v>
      </c>
      <c r="C4" s="14" t="s">
        <v>28</v>
      </c>
      <c r="D4" s="14" t="s">
        <v>29</v>
      </c>
      <c r="E4" s="14" t="s">
        <v>30</v>
      </c>
      <c r="F4" s="14" t="s">
        <v>31</v>
      </c>
      <c r="G4" s="14" t="s">
        <v>32</v>
      </c>
    </row>
    <row r="5" spans="1:10" ht="15" customHeight="1" x14ac:dyDescent="0.3">
      <c r="A5" s="14" t="s">
        <v>27</v>
      </c>
      <c r="B5" s="12">
        <f>_xlfn.COVARIANCE.S(HCLTECH!O$3:O$496,HCLTECH!O$3:O$496)</f>
        <v>2.7559288871084771E-4</v>
      </c>
      <c r="C5" s="12">
        <f>_xlfn.COVARIANCE.S(HCLTECH!O$3:O$496,ITC!O$3:O$496)</f>
        <v>4.3833087347143785E-5</v>
      </c>
      <c r="D5" s="12">
        <f>_xlfn.COVARIANCE.S(HCLTECH!O$3:O$496,HDFCBANK!O$3:O$496)</f>
        <v>4.5039268005655192E-5</v>
      </c>
      <c r="E5" s="12">
        <f>_xlfn.COVARIANCE.S(HCLTECH!O$3:O$496,MARUTI!O$3:O$496)</f>
        <v>4.3043773028223838E-5</v>
      </c>
      <c r="F5" s="12">
        <f>_xlfn.COVARIANCE.S(HCLTECH!O$3:O$496,RELIANCE!O$3:O$496)</f>
        <v>5.1738422794136227E-5</v>
      </c>
      <c r="G5" s="12">
        <f>_xlfn.COVARIANCE.S(HCLTECH!O$3:O$496,'DR.REDDY''S'!O$3:O$496)</f>
        <v>1.7360461630507935E-5</v>
      </c>
    </row>
    <row r="6" spans="1:10" ht="15" customHeight="1" x14ac:dyDescent="0.3">
      <c r="A6" s="14" t="s">
        <v>28</v>
      </c>
      <c r="B6" s="12">
        <f>_xlfn.COVARIANCE.S(ITC!O$3:O$496,HCLTECH!O$3:O$496)</f>
        <v>4.3833087347143785E-5</v>
      </c>
      <c r="C6" s="12">
        <f>_xlfn.COVARIANCE.S(ITC!O$3:O$496,ITC!O$3:O$496)</f>
        <v>1.5650151188193864E-4</v>
      </c>
      <c r="D6" s="12">
        <f>_xlfn.COVARIANCE.S(ITC!O$3:O$496,HDFCBANK!O$3:O$496)</f>
        <v>2.7572995129667488E-5</v>
      </c>
      <c r="E6" s="12">
        <f>_xlfn.COVARIANCE.S(ITC!O$3:O$496,MARUTI!O$3:O$496)</f>
        <v>4.4423671378660408E-5</v>
      </c>
      <c r="F6" s="12">
        <f>_xlfn.COVARIANCE.S(ITC!O$3:O$496,RELIANCE!O$3:O$496)</f>
        <v>4.7893141092263121E-5</v>
      </c>
      <c r="G6" s="12">
        <f>_xlfn.COVARIANCE.S(ITC!O$3:O$496,'DR.REDDY''S'!O$3:O$496)</f>
        <v>1.574808550510028E-5</v>
      </c>
    </row>
    <row r="7" spans="1:10" ht="15" customHeight="1" x14ac:dyDescent="0.3">
      <c r="A7" s="14" t="s">
        <v>29</v>
      </c>
      <c r="B7" s="12">
        <f>_xlfn.COVARIANCE.S(HDFCBANK!O$3:O$496,HCLTECH!O$3:O$496)</f>
        <v>4.5039268005655192E-5</v>
      </c>
      <c r="C7" s="12">
        <f>_xlfn.COVARIANCE.S(HDFCBANK!O$3:O$496,ITC!O$3:O$496)</f>
        <v>2.7572995129667488E-5</v>
      </c>
      <c r="D7" s="12">
        <f>_xlfn.COVARIANCE.S(HDFCBANK!O$3:O$496,HDFCBANK!O$3:O$496)</f>
        <v>6.6731819542040715E-4</v>
      </c>
      <c r="E7" s="12">
        <f>_xlfn.COVARIANCE.S(HDFCBANK!O$3:O$496,MARUTI!O$3:O$496)</f>
        <v>4.4962143005183942E-5</v>
      </c>
      <c r="F7" s="12">
        <f>_xlfn.COVARIANCE.S(HDFCBANK!O$3:O$496,RELIANCE!O$3:O$496)</f>
        <v>8.418170528173987E-5</v>
      </c>
      <c r="G7" s="12">
        <f>_xlfn.COVARIANCE.S(HDFCBANK!O$3:O$496,'DR.REDDY''S'!O$3:O$496)</f>
        <v>5.4627033216771514E-5</v>
      </c>
    </row>
    <row r="8" spans="1:10" ht="15" customHeight="1" x14ac:dyDescent="0.3">
      <c r="A8" s="14" t="s">
        <v>30</v>
      </c>
      <c r="B8" s="12">
        <f>_xlfn.COVARIANCE.S(MARUTI!O$3:O$496,HCLTECH!O$3:O$496)</f>
        <v>4.3043773028223838E-5</v>
      </c>
      <c r="C8" s="12">
        <f>_xlfn.COVARIANCE.S(MARUTI!O$3:O$496,ITC!O$3:O$496)</f>
        <v>4.4423671378660408E-5</v>
      </c>
      <c r="D8" s="12">
        <f>_xlfn.COVARIANCE.S(MARUTI!O$3:O$496,HDFCBANK!O$3:O$496)</f>
        <v>4.4962143005183942E-5</v>
      </c>
      <c r="E8" s="12">
        <f>_xlfn.COVARIANCE.S(MARUTI!O$3:O$496,MARUTI!O$3:O$496)</f>
        <v>2.183269997186756E-4</v>
      </c>
      <c r="F8" s="12">
        <f>_xlfn.COVARIANCE.S(MARUTI!O$3:O$496,RELIANCE!O$3:O$496)</f>
        <v>7.3398106128926411E-5</v>
      </c>
      <c r="G8" s="12">
        <f>_xlfn.COVARIANCE.S(MARUTI!O$3:O$496,'DR.REDDY''S'!O$3:O$496)</f>
        <v>4.3980092444947641E-5</v>
      </c>
    </row>
    <row r="9" spans="1:10" ht="15" customHeight="1" x14ac:dyDescent="0.3">
      <c r="A9" s="14" t="s">
        <v>31</v>
      </c>
      <c r="B9" s="12">
        <f>_xlfn.COVARIANCE.S(RELIANCE!O$3:O$496,HCLTECH!O$3:O$496)</f>
        <v>5.1738422794136227E-5</v>
      </c>
      <c r="C9" s="12">
        <f>_xlfn.COVARIANCE.S(RELIANCE!O$3:O$496,ITC!O$3:O$496)</f>
        <v>4.7893141092263121E-5</v>
      </c>
      <c r="D9" s="12">
        <f>_xlfn.COVARIANCE.S(RELIANCE!O$3:O$496,HDFCBANK!O$3:O$496)</f>
        <v>8.418170528173987E-5</v>
      </c>
      <c r="E9" s="12">
        <f>_xlfn.COVARIANCE.S(RELIANCE!O$3:O$496,MARUTI!O$3:O$496)</f>
        <v>7.3398106128926411E-5</v>
      </c>
      <c r="F9" s="12">
        <f>_xlfn.COVARIANCE.S(RELIANCE!O$3:O$496,RELIANCE!O$3:O$496)</f>
        <v>6.7594530465275903E-4</v>
      </c>
      <c r="G9" s="12">
        <f>_xlfn.COVARIANCE.S(RELIANCE!O$3:O$496,'DR.REDDY''S'!O$3:O$496)</f>
        <v>8.425288236109938E-4</v>
      </c>
    </row>
    <row r="10" spans="1:10" ht="15" customHeight="1" x14ac:dyDescent="0.3">
      <c r="A10" s="14" t="s">
        <v>32</v>
      </c>
      <c r="B10" s="12">
        <f>_xlfn.COVARIANCE.S('DR.REDDY''S'!O$3:O$496,HCLTECH!O$3:O$496)</f>
        <v>1.7360461630507935E-5</v>
      </c>
      <c r="C10" s="12">
        <f>_xlfn.COVARIANCE.S('DR.REDDY''S'!O$3:O$496,ITC!O$3:O$496)</f>
        <v>1.574808550510028E-5</v>
      </c>
      <c r="D10" s="12">
        <f>_xlfn.COVARIANCE.S('DR.REDDY''S'!O$3:O$496,HDFCBANK!O$3:O$496)</f>
        <v>5.4627033216771514E-5</v>
      </c>
      <c r="E10" s="12">
        <f>_xlfn.COVARIANCE.S('DR.REDDY''S'!O$3:O$496,MARUTI!O$3:O$496)</f>
        <v>4.3980092444947641E-5</v>
      </c>
      <c r="F10" s="12">
        <f>_xlfn.COVARIANCE.S('DR.REDDY''S'!O$3:O$496,RELIANCE!O$3:O$496)</f>
        <v>8.425288236109938E-4</v>
      </c>
      <c r="G10" s="12">
        <f>_xlfn.COVARIANCE.S('DR.REDDY''S'!O$3:O$496,'DR.REDDY''S'!O$3:O$496)</f>
        <v>1.4818579028121109E-3</v>
      </c>
    </row>
    <row r="13" spans="1:10" ht="15" customHeight="1" x14ac:dyDescent="0.3">
      <c r="A13" s="15" t="s">
        <v>35</v>
      </c>
    </row>
    <row r="14" spans="1:10" ht="15" customHeight="1" x14ac:dyDescent="0.3">
      <c r="A14" s="12" t="s">
        <v>36</v>
      </c>
    </row>
    <row r="15" spans="1:10" ht="15" customHeight="1" x14ac:dyDescent="0.3">
      <c r="B15" s="15" t="s">
        <v>27</v>
      </c>
      <c r="C15" s="15" t="s">
        <v>28</v>
      </c>
      <c r="D15" s="15" t="s">
        <v>29</v>
      </c>
      <c r="E15" s="15" t="s">
        <v>30</v>
      </c>
      <c r="F15" s="15" t="s">
        <v>31</v>
      </c>
      <c r="G15" s="15" t="s">
        <v>32</v>
      </c>
      <c r="H15" s="15" t="s">
        <v>37</v>
      </c>
      <c r="I15" s="15" t="s">
        <v>38</v>
      </c>
      <c r="J15" s="15" t="s">
        <v>39</v>
      </c>
    </row>
    <row r="16" spans="1:10" ht="15" customHeight="1" x14ac:dyDescent="0.3">
      <c r="A16" s="15" t="s">
        <v>27</v>
      </c>
      <c r="B16" s="12">
        <f t="array" ref="B16:G21">MINVERSE(B5:G10)</f>
        <v>3935.5707023346845</v>
      </c>
      <c r="C16" s="12">
        <v>-812.79591988879679</v>
      </c>
      <c r="D16" s="12">
        <v>-158.20091395937786</v>
      </c>
      <c r="E16" s="12">
        <v>-458.92807160918971</v>
      </c>
      <c r="F16" s="12">
        <v>-520.58774292187411</v>
      </c>
      <c r="G16" s="12">
        <v>277.97036336472934</v>
      </c>
      <c r="H16" s="12">
        <v>1</v>
      </c>
      <c r="I16" s="12">
        <f t="array" ref="I16:I21">MMULT(B16:G21,H16:H21)</f>
        <v>2263.0284173201753</v>
      </c>
      <c r="J16" s="12">
        <f t="shared" ref="J16:J21" si="0">I16/SUM($I$16:$I$21)</f>
        <v>0.20082374981645487</v>
      </c>
    </row>
    <row r="17" spans="1:10" ht="15" customHeight="1" x14ac:dyDescent="0.3">
      <c r="A17" s="15" t="s">
        <v>28</v>
      </c>
      <c r="B17" s="12">
        <v>-812.79591988879702</v>
      </c>
      <c r="C17" s="12">
        <v>7177.1341506176705</v>
      </c>
      <c r="D17" s="12">
        <v>-91.039790104939328</v>
      </c>
      <c r="E17" s="12">
        <v>-1061.9526084574641</v>
      </c>
      <c r="F17" s="12">
        <v>-960.90181030776864</v>
      </c>
      <c r="G17" s="12">
        <v>514.45544678943645</v>
      </c>
      <c r="H17" s="12">
        <v>1</v>
      </c>
      <c r="I17" s="12">
        <v>4764.8994686481392</v>
      </c>
      <c r="J17" s="12">
        <f t="shared" si="0"/>
        <v>0.42284267023279226</v>
      </c>
    </row>
    <row r="18" spans="1:10" ht="15" customHeight="1" x14ac:dyDescent="0.3">
      <c r="A18" s="15" t="s">
        <v>29</v>
      </c>
      <c r="B18" s="12">
        <v>-158.20091395937786</v>
      </c>
      <c r="C18" s="12">
        <v>-91.039790104939343</v>
      </c>
      <c r="D18" s="12">
        <v>1555.3290369320389</v>
      </c>
      <c r="E18" s="12">
        <v>-189.50705663992179</v>
      </c>
      <c r="F18" s="12">
        <v>-321.37793486317065</v>
      </c>
      <c r="G18" s="12">
        <v>133.83323948982138</v>
      </c>
      <c r="H18" s="12">
        <v>1</v>
      </c>
      <c r="I18" s="12">
        <v>929.03658085445068</v>
      </c>
      <c r="J18" s="12">
        <f t="shared" si="0"/>
        <v>8.2443776868159582E-2</v>
      </c>
    </row>
    <row r="19" spans="1:10" ht="15" customHeight="1" x14ac:dyDescent="0.3">
      <c r="A19" s="15" t="s">
        <v>30</v>
      </c>
      <c r="B19" s="12">
        <v>-458.92807160918966</v>
      </c>
      <c r="C19" s="12">
        <v>-1061.9526084574643</v>
      </c>
      <c r="D19" s="12">
        <v>-189.50705663992179</v>
      </c>
      <c r="E19" s="12">
        <v>5153.1082048024236</v>
      </c>
      <c r="F19" s="12">
        <v>-907.69824071282574</v>
      </c>
      <c r="G19" s="12">
        <v>386.79207133449381</v>
      </c>
      <c r="H19" s="12">
        <v>1</v>
      </c>
      <c r="I19" s="12">
        <v>2921.8142987175161</v>
      </c>
      <c r="J19" s="12">
        <f t="shared" si="0"/>
        <v>0.25928516816002944</v>
      </c>
    </row>
    <row r="20" spans="1:10" ht="15" customHeight="1" x14ac:dyDescent="0.3">
      <c r="A20" s="15" t="s">
        <v>31</v>
      </c>
      <c r="B20" s="12">
        <v>-520.58774292187422</v>
      </c>
      <c r="C20" s="12">
        <v>-960.90181030776819</v>
      </c>
      <c r="D20" s="12">
        <v>-321.37793486317071</v>
      </c>
      <c r="E20" s="12">
        <v>-907.69824071282596</v>
      </c>
      <c r="F20" s="12">
        <v>5688.805789742004</v>
      </c>
      <c r="G20" s="12">
        <v>-3179.3441582849864</v>
      </c>
      <c r="H20" s="12">
        <v>1</v>
      </c>
      <c r="I20" s="12">
        <v>-201.10409734862151</v>
      </c>
      <c r="J20" s="12">
        <f t="shared" si="0"/>
        <v>-1.7846209364365057E-2</v>
      </c>
    </row>
    <row r="21" spans="1:10" ht="15" customHeight="1" x14ac:dyDescent="0.3">
      <c r="A21" s="15" t="s">
        <v>32</v>
      </c>
      <c r="B21" s="12">
        <v>277.97036336472939</v>
      </c>
      <c r="C21" s="12">
        <v>514.45544678943634</v>
      </c>
      <c r="D21" s="12">
        <v>133.83323948982144</v>
      </c>
      <c r="E21" s="12">
        <v>386.79207133449387</v>
      </c>
      <c r="F21" s="12">
        <v>-3179.3441582849869</v>
      </c>
      <c r="G21" s="12">
        <v>2457.3473884091063</v>
      </c>
      <c r="H21" s="12">
        <v>1</v>
      </c>
      <c r="I21" s="12">
        <v>591.05435110260032</v>
      </c>
      <c r="J21" s="12">
        <f t="shared" si="0"/>
        <v>5.2450844286928908E-2</v>
      </c>
    </row>
    <row r="23" spans="1:10" ht="15" customHeight="1" x14ac:dyDescent="0.3">
      <c r="A23" s="12" t="s">
        <v>40</v>
      </c>
      <c r="B23" s="24">
        <f>SUMPRODUCT(J16:J21,'SUMMARY STATISTICS'!B2:B7)</f>
        <v>-4.4012794082239407E-4</v>
      </c>
    </row>
    <row r="24" spans="1:10" ht="15" customHeight="1" x14ac:dyDescent="0.3">
      <c r="A24" s="12" t="s">
        <v>41</v>
      </c>
      <c r="B24" s="30">
        <f>1/SUM(I16:I21)</f>
        <v>8.8741152466068277E-5</v>
      </c>
    </row>
    <row r="25" spans="1:10" ht="15" customHeight="1" x14ac:dyDescent="0.3">
      <c r="A25" s="12" t="s">
        <v>42</v>
      </c>
      <c r="B25" s="24">
        <f>SQRT(B24)</f>
        <v>9.4202522506601841E-3</v>
      </c>
    </row>
    <row r="28" spans="1:10" ht="15" customHeight="1" x14ac:dyDescent="0.3">
      <c r="A28" s="15" t="s">
        <v>43</v>
      </c>
    </row>
    <row r="29" spans="1:10" ht="15" customHeight="1" x14ac:dyDescent="0.3">
      <c r="A29" s="14" t="s">
        <v>23</v>
      </c>
      <c r="B29" s="14" t="s">
        <v>44</v>
      </c>
      <c r="C29" s="14" t="s">
        <v>45</v>
      </c>
    </row>
    <row r="30" spans="1:10" ht="15" customHeight="1" x14ac:dyDescent="0.3">
      <c r="A30" s="15" t="s">
        <v>27</v>
      </c>
      <c r="B30" s="16">
        <v>369738</v>
      </c>
      <c r="C30" s="12">
        <f t="shared" ref="C30:C35" si="1">B30/SUM($B$30:$B$35)</f>
        <v>8.8054807948552888E-2</v>
      </c>
    </row>
    <row r="31" spans="1:10" ht="15" customHeight="1" x14ac:dyDescent="0.3">
      <c r="A31" s="15" t="s">
        <v>28</v>
      </c>
      <c r="B31" s="16">
        <v>358783</v>
      </c>
      <c r="C31" s="12">
        <f t="shared" si="1"/>
        <v>8.5445824232850423E-2</v>
      </c>
    </row>
    <row r="32" spans="1:10" ht="15" customHeight="1" x14ac:dyDescent="0.3">
      <c r="A32" s="15" t="s">
        <v>29</v>
      </c>
      <c r="B32" s="16">
        <v>1157390</v>
      </c>
      <c r="C32" s="12">
        <f t="shared" si="1"/>
        <v>0.27563776017497693</v>
      </c>
    </row>
    <row r="33" spans="1:3" ht="15" customHeight="1" x14ac:dyDescent="0.3">
      <c r="A33" s="15" t="s">
        <v>30</v>
      </c>
      <c r="B33" s="16">
        <v>443265</v>
      </c>
      <c r="C33" s="12">
        <f t="shared" si="1"/>
        <v>0.10556560171071216</v>
      </c>
    </row>
    <row r="34" spans="1:3" ht="15" customHeight="1" x14ac:dyDescent="0.3">
      <c r="A34" s="15" t="s">
        <v>31</v>
      </c>
      <c r="B34" s="16">
        <v>1772086</v>
      </c>
      <c r="C34" s="12">
        <f t="shared" si="1"/>
        <v>0.42203044425598474</v>
      </c>
    </row>
    <row r="35" spans="1:3" ht="15" customHeight="1" x14ac:dyDescent="0.3">
      <c r="A35" s="15" t="s">
        <v>32</v>
      </c>
      <c r="B35" s="16">
        <v>97691</v>
      </c>
      <c r="C35" s="12">
        <f t="shared" si="1"/>
        <v>2.3265561676922796E-2</v>
      </c>
    </row>
    <row r="37" spans="1:3" ht="15" customHeight="1" x14ac:dyDescent="0.3">
      <c r="A37" s="12" t="s">
        <v>46</v>
      </c>
      <c r="B37" s="24">
        <f>SUMPRODUCT(C30:C35,'SUMMARY STATISTICS'!B2:B7)</f>
        <v>-9.3976770077019566E-4</v>
      </c>
    </row>
    <row r="38" spans="1:3" ht="15" customHeight="1" x14ac:dyDescent="0.3">
      <c r="A38" s="12" t="s">
        <v>47</v>
      </c>
      <c r="B38" s="30">
        <f t="array" ref="B38">MMULT(MMULT(TRANSPOSE(C30:C35),B5:G10),C30:C35)</f>
        <v>2.3699076669997008E-4</v>
      </c>
    </row>
    <row r="39" spans="1:3" ht="15" customHeight="1" x14ac:dyDescent="0.3">
      <c r="A39" s="12" t="s">
        <v>48</v>
      </c>
      <c r="B39" s="24">
        <f>SQRT(B38)</f>
        <v>1.5394504431775972E-2</v>
      </c>
    </row>
    <row r="42" spans="1:3" ht="15" customHeight="1" x14ac:dyDescent="0.3">
      <c r="A42" s="15" t="s">
        <v>49</v>
      </c>
    </row>
    <row r="43" spans="1:3" ht="15" customHeight="1" x14ac:dyDescent="0.3">
      <c r="A43" s="14" t="s">
        <v>23</v>
      </c>
      <c r="B43" s="14" t="s">
        <v>50</v>
      </c>
      <c r="C43" s="14" t="s">
        <v>45</v>
      </c>
    </row>
    <row r="44" spans="1:3" ht="15" customHeight="1" x14ac:dyDescent="0.3">
      <c r="A44" s="15" t="s">
        <v>27</v>
      </c>
      <c r="B44" s="31">
        <f>HCLTECH!H496</f>
        <v>1071.8</v>
      </c>
      <c r="C44" s="12">
        <f t="shared" ref="C44:C49" si="2">B44/SUM($B$44:$B$49)</f>
        <v>5.6640965612729681E-2</v>
      </c>
    </row>
    <row r="45" spans="1:3" ht="15" customHeight="1" x14ac:dyDescent="0.3">
      <c r="A45" s="15" t="s">
        <v>28</v>
      </c>
      <c r="B45" s="12">
        <f>ITC!H496</f>
        <v>286.95</v>
      </c>
      <c r="C45" s="12">
        <f t="shared" si="2"/>
        <v>1.516432644390071E-2</v>
      </c>
    </row>
    <row r="46" spans="1:3" ht="15" customHeight="1" x14ac:dyDescent="0.3">
      <c r="A46" s="15" t="s">
        <v>29</v>
      </c>
      <c r="B46" s="12">
        <f>HDFCBANK!H496</f>
        <v>797.95</v>
      </c>
      <c r="C46" s="12">
        <f t="shared" si="2"/>
        <v>4.216892938111369E-2</v>
      </c>
    </row>
    <row r="47" spans="1:3" ht="15" customHeight="1" x14ac:dyDescent="0.3">
      <c r="A47" s="15" t="s">
        <v>30</v>
      </c>
      <c r="B47" s="31">
        <f>MARUTI!H496</f>
        <v>14115</v>
      </c>
      <c r="C47" s="12">
        <f t="shared" si="2"/>
        <v>0.74592949209150916</v>
      </c>
    </row>
    <row r="48" spans="1:3" ht="15" customHeight="1" x14ac:dyDescent="0.3">
      <c r="A48" s="15" t="s">
        <v>31</v>
      </c>
      <c r="B48" s="31">
        <f>RELIANCE!H496</f>
        <v>1293.9000000000001</v>
      </c>
      <c r="C48" s="12">
        <f t="shared" si="2"/>
        <v>6.8378191272915598E-2</v>
      </c>
    </row>
    <row r="49" spans="1:8" ht="15" customHeight="1" x14ac:dyDescent="0.3">
      <c r="A49" s="15" t="s">
        <v>32</v>
      </c>
      <c r="B49" s="31">
        <f>'DR.REDDY''S'!H496</f>
        <v>1357.1</v>
      </c>
      <c r="C49" s="12">
        <f t="shared" si="2"/>
        <v>7.1718095197831164E-2</v>
      </c>
    </row>
    <row r="51" spans="1:8" ht="15" customHeight="1" x14ac:dyDescent="0.3">
      <c r="A51" s="12" t="s">
        <v>51</v>
      </c>
      <c r="B51" s="24">
        <f>SUMPRODUCT(C44:C49,'SUMMARY STATISTICS'!B2:B7)</f>
        <v>3.807669056799094E-5</v>
      </c>
    </row>
    <row r="52" spans="1:8" ht="15" customHeight="1" x14ac:dyDescent="0.3">
      <c r="A52" s="12" t="s">
        <v>52</v>
      </c>
      <c r="B52" s="30">
        <f t="array" ref="B52">MMULT(MMULT(TRANSPOSE(C44:C49),B5:G10),C44:C49)</f>
        <v>1.6411280127541196E-4</v>
      </c>
    </row>
    <row r="53" spans="1:8" ht="15" customHeight="1" x14ac:dyDescent="0.3">
      <c r="A53" s="12" t="s">
        <v>53</v>
      </c>
      <c r="B53" s="24">
        <f>SQRT(B52)</f>
        <v>1.2810651867700253E-2</v>
      </c>
    </row>
    <row r="56" spans="1:8" ht="15" customHeight="1" x14ac:dyDescent="0.3">
      <c r="A56" s="13" t="s">
        <v>54</v>
      </c>
    </row>
    <row r="57" spans="1:8" ht="15" customHeight="1" x14ac:dyDescent="0.3">
      <c r="A57" s="14" t="s">
        <v>55</v>
      </c>
      <c r="B57" s="14" t="s">
        <v>14</v>
      </c>
      <c r="C57" s="14" t="s">
        <v>56</v>
      </c>
      <c r="D57" s="14" t="s">
        <v>57</v>
      </c>
      <c r="E57" s="14" t="s">
        <v>58</v>
      </c>
    </row>
    <row r="58" spans="1:8" ht="15" customHeight="1" x14ac:dyDescent="0.3">
      <c r="A58" s="15" t="s">
        <v>59</v>
      </c>
      <c r="B58" s="24">
        <f>B23</f>
        <v>-4.4012794082239407E-4</v>
      </c>
      <c r="C58" s="24">
        <f>B25</f>
        <v>9.4202522506601841E-3</v>
      </c>
      <c r="D58" s="24">
        <f>B58*252</f>
        <v>-0.1109122410872433</v>
      </c>
      <c r="E58" s="24">
        <f>C58*SQRT(252)</f>
        <v>0.14954186845646006</v>
      </c>
    </row>
    <row r="59" spans="1:8" ht="15" customHeight="1" x14ac:dyDescent="0.3">
      <c r="A59" s="15" t="s">
        <v>60</v>
      </c>
      <c r="B59" s="24">
        <f>B37</f>
        <v>-9.3976770077019566E-4</v>
      </c>
      <c r="C59" s="24">
        <f>B39</f>
        <v>1.5394504431775972E-2</v>
      </c>
      <c r="D59" s="24">
        <f>B59*252</f>
        <v>-0.23682146059408932</v>
      </c>
      <c r="E59" s="24">
        <f>C59*SQRT(252)</f>
        <v>0.24438018170136558</v>
      </c>
    </row>
    <row r="60" spans="1:8" ht="15" customHeight="1" x14ac:dyDescent="0.3">
      <c r="A60" s="15" t="s">
        <v>61</v>
      </c>
      <c r="B60" s="24">
        <f>B51</f>
        <v>3.807669056799094E-5</v>
      </c>
      <c r="C60" s="24">
        <f>B53</f>
        <v>1.2810651867700253E-2</v>
      </c>
      <c r="D60" s="24">
        <f>B60*252</f>
        <v>9.5953260231337167E-3</v>
      </c>
      <c r="E60" s="24">
        <f>C60*SQRT(252)</f>
        <v>0.20336279384735995</v>
      </c>
    </row>
    <row r="63" spans="1:8" ht="15" customHeight="1" x14ac:dyDescent="0.3">
      <c r="A63" s="13" t="s">
        <v>127</v>
      </c>
    </row>
    <row r="64" spans="1:8" ht="259.5" customHeight="1" x14ac:dyDescent="0.3">
      <c r="A64" s="32" t="s">
        <v>62</v>
      </c>
      <c r="B64" s="32"/>
      <c r="C64" s="32"/>
      <c r="D64" s="32"/>
      <c r="E64" s="32"/>
      <c r="F64" s="32"/>
      <c r="G64" s="32"/>
      <c r="H64" s="32"/>
    </row>
  </sheetData>
  <mergeCells count="1">
    <mergeCell ref="A64:H6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topLeftCell="A7" zoomScaleNormal="100" workbookViewId="0">
      <selection activeCell="A13" sqref="A13:H13"/>
    </sheetView>
  </sheetViews>
  <sheetFormatPr defaultColWidth="16.77734375" defaultRowHeight="14.4" x14ac:dyDescent="0.3"/>
  <sheetData>
    <row r="1" spans="1:8" ht="15.75" customHeight="1" x14ac:dyDescent="0.3">
      <c r="A1" s="6" t="s">
        <v>63</v>
      </c>
    </row>
    <row r="3" spans="1:8" ht="15" customHeight="1" x14ac:dyDescent="0.3">
      <c r="A3" s="7" t="s">
        <v>64</v>
      </c>
    </row>
    <row r="4" spans="1:8" ht="15" customHeight="1" x14ac:dyDescent="0.3">
      <c r="A4" s="8" t="s">
        <v>23</v>
      </c>
      <c r="B4" s="8" t="s">
        <v>65</v>
      </c>
    </row>
    <row r="5" spans="1:8" ht="15" customHeight="1" x14ac:dyDescent="0.3">
      <c r="A5" s="7" t="s">
        <v>27</v>
      </c>
      <c r="B5" s="9">
        <f>CORREL(HCLTECH!H2:H496,HCLTECH!L2:L496)</f>
        <v>-0.20637791904558192</v>
      </c>
    </row>
    <row r="6" spans="1:8" ht="15" customHeight="1" x14ac:dyDescent="0.3">
      <c r="A6" s="7" t="s">
        <v>28</v>
      </c>
      <c r="B6" s="9">
        <f>CORREL(ITC!H2:H496,ITC!L2:L496)</f>
        <v>-0.1243327980740368</v>
      </c>
    </row>
    <row r="7" spans="1:8" ht="15" customHeight="1" x14ac:dyDescent="0.3">
      <c r="A7" s="7" t="s">
        <v>29</v>
      </c>
      <c r="B7" s="9">
        <f>CORREL(HDFCBANK!H2:H496,HDFCBANK!L2:L496)</f>
        <v>-0.46336787633502741</v>
      </c>
    </row>
    <row r="8" spans="1:8" ht="15" customHeight="1" x14ac:dyDescent="0.3">
      <c r="A8" s="7" t="s">
        <v>30</v>
      </c>
      <c r="B8" s="9">
        <f>CORREL(MARUTI!H2:H496,MARUTI!L2:L496)</f>
        <v>-7.5466155493100998E-2</v>
      </c>
    </row>
    <row r="9" spans="1:8" ht="15" customHeight="1" x14ac:dyDescent="0.3">
      <c r="A9" s="7" t="s">
        <v>31</v>
      </c>
      <c r="B9" s="9">
        <f>CORREL(RELIANCE!H2:H496,RELIANCE!L2:L496)</f>
        <v>-0.39282347066387235</v>
      </c>
    </row>
    <row r="10" spans="1:8" ht="15" customHeight="1" x14ac:dyDescent="0.3">
      <c r="A10" s="7" t="s">
        <v>32</v>
      </c>
      <c r="B10" s="9">
        <f>CORREL('DR.REDDY''S'!H2:H496,'DR.REDDY''S'!L2:L496)</f>
        <v>-0.39911239790891506</v>
      </c>
    </row>
    <row r="12" spans="1:8" ht="15" customHeight="1" x14ac:dyDescent="0.3">
      <c r="A12" s="28" t="s">
        <v>126</v>
      </c>
      <c r="B12" s="1"/>
      <c r="C12" s="1"/>
      <c r="D12" s="1"/>
      <c r="E12" s="1"/>
      <c r="F12" s="1"/>
      <c r="G12" s="1"/>
      <c r="H12" s="1"/>
    </row>
    <row r="13" spans="1:8" ht="219.75" customHeight="1" x14ac:dyDescent="0.3">
      <c r="A13" s="29" t="s">
        <v>66</v>
      </c>
      <c r="B13" s="29"/>
      <c r="C13" s="29"/>
      <c r="D13" s="29"/>
      <c r="E13" s="29"/>
      <c r="F13" s="29"/>
      <c r="G13" s="29"/>
      <c r="H13" s="29"/>
    </row>
  </sheetData>
  <mergeCells count="2">
    <mergeCell ref="A12:H12"/>
    <mergeCell ref="A13:H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zoomScaleNormal="100" workbookViewId="0">
      <selection sqref="A1:XFD1048576"/>
    </sheetView>
  </sheetViews>
  <sheetFormatPr defaultColWidth="8.6640625" defaultRowHeight="14.4" x14ac:dyDescent="0.3"/>
  <cols>
    <col min="1" max="1" width="64.33203125" style="12" bestFit="1" customWidth="1"/>
    <col min="2" max="2" width="18.77734375" style="12" bestFit="1" customWidth="1"/>
    <col min="3" max="3" width="46.88671875" style="12" bestFit="1" customWidth="1"/>
    <col min="4" max="4" width="5.33203125" style="12" bestFit="1" customWidth="1"/>
    <col min="5" max="5" width="42.21875" style="12" bestFit="1" customWidth="1"/>
    <col min="6" max="16384" width="8.6640625" style="12"/>
  </cols>
  <sheetData>
    <row r="1" spans="1:5" ht="15.75" customHeight="1" x14ac:dyDescent="0.3">
      <c r="A1" s="11" t="s">
        <v>67</v>
      </c>
    </row>
    <row r="3" spans="1:5" ht="15" customHeight="1" x14ac:dyDescent="0.3">
      <c r="A3" s="15" t="s">
        <v>68</v>
      </c>
      <c r="B3" s="22">
        <v>6.8099999999999994E-2</v>
      </c>
      <c r="C3" s="21" t="s">
        <v>69</v>
      </c>
    </row>
    <row r="4" spans="1:5" ht="15" customHeight="1" x14ac:dyDescent="0.3">
      <c r="A4" s="15" t="s">
        <v>70</v>
      </c>
      <c r="B4" s="24">
        <f>(1+AVERAGE(NIFTY50!H3:H496))^252-1</f>
        <v>3.0365225246316019E-3</v>
      </c>
    </row>
    <row r="5" spans="1:5" ht="15" customHeight="1" x14ac:dyDescent="0.3">
      <c r="A5" s="15" t="s">
        <v>71</v>
      </c>
      <c r="B5" s="24">
        <f>B4-B3</f>
        <v>-6.5063477475368392E-2</v>
      </c>
    </row>
    <row r="7" spans="1:5" ht="15" customHeight="1" x14ac:dyDescent="0.3">
      <c r="A7" s="14" t="s">
        <v>23</v>
      </c>
      <c r="B7" s="14" t="s">
        <v>24</v>
      </c>
      <c r="C7" s="14" t="s">
        <v>57</v>
      </c>
      <c r="D7" s="14" t="s">
        <v>26</v>
      </c>
      <c r="E7" s="14" t="s">
        <v>72</v>
      </c>
    </row>
    <row r="8" spans="1:5" ht="15" customHeight="1" x14ac:dyDescent="0.3">
      <c r="A8" s="15" t="s">
        <v>27</v>
      </c>
      <c r="B8" s="24">
        <f>'SUMMARY STATISTICS'!B2</f>
        <v>-4.9878007257171556E-4</v>
      </c>
      <c r="C8" s="24">
        <f t="shared" ref="C8:C13" si="0">(1+B8)^252-1</f>
        <v>-0.11814173678534567</v>
      </c>
      <c r="D8" s="27">
        <f>'SUMMARY STATISTICS'!D2</f>
        <v>0.93740913739773468</v>
      </c>
      <c r="E8" s="24">
        <f t="shared" ref="E8:E13" si="1">$B$3+D8*$B$5</f>
        <v>7.1089017037179666E-3</v>
      </c>
    </row>
    <row r="9" spans="1:5" ht="15" customHeight="1" x14ac:dyDescent="0.3">
      <c r="A9" s="15" t="s">
        <v>28</v>
      </c>
      <c r="B9" s="24">
        <f>'SUMMARY STATISTICS'!B3</f>
        <v>-7.3502586536763166E-4</v>
      </c>
      <c r="C9" s="24">
        <f t="shared" si="0"/>
        <v>-0.16914054383796429</v>
      </c>
      <c r="D9" s="27">
        <f>'SUMMARY STATISTICS'!D3</f>
        <v>0.63502003408755359</v>
      </c>
      <c r="E9" s="24">
        <f t="shared" si="1"/>
        <v>2.6783388315736782E-2</v>
      </c>
    </row>
    <row r="10" spans="1:5" ht="15" customHeight="1" x14ac:dyDescent="0.3">
      <c r="A10" s="15" t="s">
        <v>29</v>
      </c>
      <c r="B10" s="24">
        <f>'SUMMARY STATISTICS'!B4</f>
        <v>-1.0611126678436163E-3</v>
      </c>
      <c r="C10" s="24">
        <f t="shared" si="0"/>
        <v>-0.23474208922738027</v>
      </c>
      <c r="D10" s="27">
        <f>'SUMMARY STATISTICS'!D4</f>
        <v>1.1949825543929289</v>
      </c>
      <c r="E10" s="24">
        <f t="shared" si="1"/>
        <v>-9.6497205112025253E-3</v>
      </c>
    </row>
    <row r="11" spans="1:5" ht="15" customHeight="1" x14ac:dyDescent="0.3">
      <c r="A11" s="15" t="s">
        <v>30</v>
      </c>
      <c r="B11" s="24">
        <f>'SUMMARY STATISTICS'!B5</f>
        <v>4.1863744329065377E-4</v>
      </c>
      <c r="C11" s="24">
        <f t="shared" si="0"/>
        <v>0.11123783366089368</v>
      </c>
      <c r="D11" s="27">
        <f>'SUMMARY STATISTICS'!D5</f>
        <v>1.0018338624497383</v>
      </c>
      <c r="E11" s="24">
        <f t="shared" si="1"/>
        <v>2.9172050564401364E-3</v>
      </c>
    </row>
    <row r="12" spans="1:5" ht="15" customHeight="1" x14ac:dyDescent="0.3">
      <c r="A12" s="15" t="s">
        <v>31</v>
      </c>
      <c r="B12" s="24">
        <f>'SUMMARY STATISTICS'!B6</f>
        <v>-1.3082454975734911E-3</v>
      </c>
      <c r="C12" s="24">
        <f t="shared" si="0"/>
        <v>-0.28099984339142403</v>
      </c>
      <c r="D12" s="27">
        <f>'SUMMARY STATISTICS'!D6</f>
        <v>0.9572305438519001</v>
      </c>
      <c r="E12" s="24">
        <f t="shared" si="1"/>
        <v>5.8192520713572574E-3</v>
      </c>
    </row>
    <row r="13" spans="1:5" ht="15" customHeight="1" x14ac:dyDescent="0.3">
      <c r="A13" s="15" t="s">
        <v>32</v>
      </c>
      <c r="B13" s="24">
        <f>'SUMMARY STATISTICS'!B7</f>
        <v>-1.4026909313763882E-3</v>
      </c>
      <c r="C13" s="24">
        <f t="shared" si="0"/>
        <v>-0.29793287302168103</v>
      </c>
      <c r="D13" s="27">
        <f>'SUMMARY STATISTICS'!D7</f>
        <v>0.44224260996060422</v>
      </c>
      <c r="E13" s="24">
        <f t="shared" si="1"/>
        <v>3.9326157908180087E-2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3"/>
  <sheetViews>
    <sheetView zoomScaleNormal="100" workbookViewId="0">
      <selection activeCell="E9" sqref="E9"/>
    </sheetView>
  </sheetViews>
  <sheetFormatPr defaultColWidth="8.6640625" defaultRowHeight="14.4" x14ac:dyDescent="0.3"/>
  <cols>
    <col min="1" max="1" width="85.21875" style="12" bestFit="1" customWidth="1"/>
    <col min="2" max="3" width="22.44140625" style="12" bestFit="1" customWidth="1"/>
    <col min="4" max="4" width="17" style="12" bestFit="1" customWidth="1"/>
    <col min="5" max="5" width="14.109375" style="12" bestFit="1" customWidth="1"/>
    <col min="6" max="6" width="26.6640625" style="12" bestFit="1" customWidth="1"/>
    <col min="7" max="16384" width="8.6640625" style="12"/>
  </cols>
  <sheetData>
    <row r="1" spans="1:4" ht="15.75" customHeight="1" x14ac:dyDescent="0.3">
      <c r="A1" s="11" t="s">
        <v>73</v>
      </c>
    </row>
    <row r="3" spans="1:4" ht="15" customHeight="1" x14ac:dyDescent="0.3">
      <c r="A3" s="13" t="s">
        <v>74</v>
      </c>
    </row>
    <row r="5" spans="1:4" ht="15" customHeight="1" x14ac:dyDescent="0.3">
      <c r="A5" s="14" t="s">
        <v>75</v>
      </c>
      <c r="B5" s="14" t="s">
        <v>76</v>
      </c>
      <c r="C5" s="14" t="s">
        <v>77</v>
      </c>
      <c r="D5" s="14" t="s">
        <v>78</v>
      </c>
    </row>
    <row r="6" spans="1:4" ht="15" customHeight="1" x14ac:dyDescent="0.3">
      <c r="A6" s="15" t="s">
        <v>79</v>
      </c>
      <c r="B6" s="16" t="s">
        <v>80</v>
      </c>
      <c r="C6" s="16" t="s">
        <v>81</v>
      </c>
      <c r="D6" s="16" t="s">
        <v>82</v>
      </c>
    </row>
    <row r="7" spans="1:4" ht="15" customHeight="1" x14ac:dyDescent="0.3">
      <c r="A7" s="15" t="s">
        <v>83</v>
      </c>
      <c r="B7" s="16" t="s">
        <v>84</v>
      </c>
      <c r="C7" s="16" t="s">
        <v>84</v>
      </c>
      <c r="D7" s="16" t="s">
        <v>85</v>
      </c>
    </row>
    <row r="8" spans="1:4" ht="15" customHeight="1" x14ac:dyDescent="0.3">
      <c r="A8" s="15" t="s">
        <v>86</v>
      </c>
      <c r="B8" s="16" t="s">
        <v>76</v>
      </c>
      <c r="C8" s="16" t="s">
        <v>77</v>
      </c>
      <c r="D8" s="16" t="s">
        <v>78</v>
      </c>
    </row>
    <row r="9" spans="1:4" ht="15" customHeight="1" x14ac:dyDescent="0.3">
      <c r="A9" s="15" t="s">
        <v>87</v>
      </c>
      <c r="B9" s="17">
        <v>6.3600000000000004E-2</v>
      </c>
      <c r="C9" s="17">
        <v>6.6799999999999998E-2</v>
      </c>
      <c r="D9" s="17">
        <v>7.6899999999999996E-2</v>
      </c>
    </row>
    <row r="10" spans="1:4" ht="15" customHeight="1" x14ac:dyDescent="0.3">
      <c r="A10" s="15" t="s">
        <v>88</v>
      </c>
      <c r="B10" s="16">
        <v>100</v>
      </c>
      <c r="C10" s="16">
        <v>100</v>
      </c>
      <c r="D10" s="16">
        <v>1000</v>
      </c>
    </row>
    <row r="11" spans="1:4" ht="15" customHeight="1" x14ac:dyDescent="0.3">
      <c r="A11" s="15" t="s">
        <v>89</v>
      </c>
      <c r="B11" s="18">
        <v>99.75</v>
      </c>
      <c r="C11" s="18">
        <v>96.99</v>
      </c>
      <c r="D11" s="18">
        <v>1144.1500000000001</v>
      </c>
    </row>
    <row r="12" spans="1:4" ht="15" customHeight="1" x14ac:dyDescent="0.3">
      <c r="A12" s="15" t="s">
        <v>90</v>
      </c>
      <c r="B12" s="17">
        <v>6.4237000000000002E-2</v>
      </c>
      <c r="C12" s="17">
        <v>7.0215E-2</v>
      </c>
      <c r="D12" s="16"/>
    </row>
    <row r="13" spans="1:4" ht="15" customHeight="1" x14ac:dyDescent="0.3">
      <c r="A13" s="15" t="s">
        <v>91</v>
      </c>
      <c r="B13" s="16" t="s">
        <v>92</v>
      </c>
      <c r="C13" s="16" t="s">
        <v>93</v>
      </c>
      <c r="D13" s="16">
        <v>1770</v>
      </c>
    </row>
    <row r="14" spans="1:4" ht="15" customHeight="1" x14ac:dyDescent="0.3">
      <c r="A14" s="15" t="s">
        <v>94</v>
      </c>
      <c r="B14" s="16">
        <v>2031</v>
      </c>
      <c r="C14" s="16">
        <v>2040</v>
      </c>
      <c r="D14" s="16">
        <v>2031</v>
      </c>
    </row>
    <row r="15" spans="1:4" ht="15" customHeight="1" x14ac:dyDescent="0.3">
      <c r="A15" s="15" t="s">
        <v>95</v>
      </c>
      <c r="D15" s="19">
        <f>D9*D10/D11</f>
        <v>6.7211467027924646E-2</v>
      </c>
    </row>
    <row r="16" spans="1:4" ht="15" customHeight="1" x14ac:dyDescent="0.3">
      <c r="A16" s="20" t="s">
        <v>96</v>
      </c>
      <c r="B16" s="20"/>
      <c r="C16" s="20"/>
      <c r="D16" s="20"/>
    </row>
    <row r="18" spans="1:6" ht="15" customHeight="1" x14ac:dyDescent="0.3">
      <c r="A18" s="15" t="s">
        <v>97</v>
      </c>
      <c r="B18" s="12">
        <f>B14-2026</f>
        <v>5</v>
      </c>
      <c r="C18" s="12">
        <f>C14-2026</f>
        <v>14</v>
      </c>
      <c r="D18" s="12">
        <f>D14-2026</f>
        <v>5</v>
      </c>
    </row>
    <row r="21" spans="1:6" ht="15" customHeight="1" x14ac:dyDescent="0.3">
      <c r="A21" s="13" t="s">
        <v>98</v>
      </c>
    </row>
    <row r="22" spans="1:6" ht="15" customHeight="1" x14ac:dyDescent="0.3">
      <c r="A22" s="21" t="s">
        <v>99</v>
      </c>
    </row>
    <row r="24" spans="1:6" ht="15" customHeight="1" x14ac:dyDescent="0.3">
      <c r="A24" s="14" t="s">
        <v>79</v>
      </c>
      <c r="B24" s="14" t="s">
        <v>87</v>
      </c>
      <c r="C24" s="14" t="s">
        <v>100</v>
      </c>
      <c r="D24" s="14" t="s">
        <v>101</v>
      </c>
      <c r="E24" s="14" t="s">
        <v>102</v>
      </c>
      <c r="F24" s="14" t="s">
        <v>103</v>
      </c>
    </row>
    <row r="25" spans="1:6" ht="15" customHeight="1" x14ac:dyDescent="0.3">
      <c r="A25" s="15" t="s">
        <v>104</v>
      </c>
      <c r="B25" s="22">
        <v>6.9400000000000003E-2</v>
      </c>
      <c r="C25" s="23">
        <v>100.72750000000001</v>
      </c>
      <c r="D25" s="17">
        <v>6.8346000000000004E-2</v>
      </c>
      <c r="E25" s="16">
        <v>2036</v>
      </c>
      <c r="F25" s="12">
        <f>E25-2026</f>
        <v>10</v>
      </c>
    </row>
    <row r="26" spans="1:6" ht="15" customHeight="1" x14ac:dyDescent="0.3">
      <c r="A26" s="15" t="s">
        <v>80</v>
      </c>
      <c r="B26" s="22">
        <v>6.3600000000000004E-2</v>
      </c>
      <c r="C26" s="23">
        <v>99.75</v>
      </c>
      <c r="D26" s="17">
        <v>6.4237000000000002E-2</v>
      </c>
      <c r="E26" s="16">
        <v>2031</v>
      </c>
      <c r="F26" s="12">
        <f>E26-2026</f>
        <v>5</v>
      </c>
    </row>
    <row r="27" spans="1:6" ht="15" customHeight="1" x14ac:dyDescent="0.3">
      <c r="A27" s="15" t="s">
        <v>105</v>
      </c>
      <c r="B27" s="22">
        <v>6.54E-2</v>
      </c>
      <c r="C27" s="23">
        <v>100.23</v>
      </c>
      <c r="D27" s="17">
        <v>6.4881999999999995E-2</v>
      </c>
      <c r="E27" s="16">
        <v>2032</v>
      </c>
      <c r="F27" s="12">
        <f>E27-2026</f>
        <v>6</v>
      </c>
    </row>
    <row r="28" spans="1:6" ht="15" customHeight="1" x14ac:dyDescent="0.3">
      <c r="A28" s="15" t="s">
        <v>81</v>
      </c>
      <c r="B28" s="22">
        <v>6.6799999999999998E-2</v>
      </c>
      <c r="C28" s="23">
        <v>96.99</v>
      </c>
      <c r="D28" s="17">
        <v>7.0215E-2</v>
      </c>
      <c r="E28" s="16">
        <v>2040</v>
      </c>
      <c r="F28" s="12">
        <f>E28-2026</f>
        <v>14</v>
      </c>
    </row>
    <row r="29" spans="1:6" ht="15" customHeight="1" x14ac:dyDescent="0.3">
      <c r="A29" s="15" t="s">
        <v>106</v>
      </c>
      <c r="B29" s="22">
        <v>6.6799999999999998E-2</v>
      </c>
      <c r="C29" s="23">
        <v>100.3</v>
      </c>
      <c r="D29" s="17">
        <v>6.6219E-2</v>
      </c>
      <c r="E29" s="16">
        <v>2033</v>
      </c>
      <c r="F29" s="12">
        <f>E29-2026</f>
        <v>7</v>
      </c>
    </row>
    <row r="32" spans="1:6" ht="15" customHeight="1" x14ac:dyDescent="0.3">
      <c r="A32" s="13" t="s">
        <v>107</v>
      </c>
    </row>
    <row r="33" spans="1:4" ht="15" customHeight="1" x14ac:dyDescent="0.3">
      <c r="A33" s="15" t="s">
        <v>108</v>
      </c>
      <c r="B33" s="12" t="str">
        <f>INDEX(A25:A29,MATCH(MAX(B25:B29),B25:B29,0))</f>
        <v>06.94 GS 2036</v>
      </c>
      <c r="C33" s="24">
        <f>MAX(B25:B29)</f>
        <v>6.9400000000000003E-2</v>
      </c>
    </row>
    <row r="34" spans="1:4" ht="15" customHeight="1" x14ac:dyDescent="0.3">
      <c r="A34" s="15" t="s">
        <v>109</v>
      </c>
      <c r="B34" s="12" t="str">
        <f>INDEX(A25:A29,MATCH(MIN(B25:B29),B25:B29,0))</f>
        <v>06.36 GS 2031</v>
      </c>
      <c r="C34" s="24">
        <f>MIN(B25:B29)</f>
        <v>6.3600000000000004E-2</v>
      </c>
    </row>
    <row r="35" spans="1:4" ht="15" customHeight="1" x14ac:dyDescent="0.3">
      <c r="A35" s="15" t="s">
        <v>110</v>
      </c>
      <c r="B35" s="12" t="str">
        <f>INDEX(A25:A29,MATCH(MAX(D25:D29),D25:D29,0))</f>
        <v>06.68 GS 2040</v>
      </c>
      <c r="C35" s="19">
        <f>MAX(D25:D29)</f>
        <v>7.0215E-2</v>
      </c>
    </row>
    <row r="36" spans="1:4" ht="15" customHeight="1" x14ac:dyDescent="0.3">
      <c r="A36" s="15" t="s">
        <v>111</v>
      </c>
      <c r="B36" s="12" t="str">
        <f>INDEX(A25:A29,MATCH(MIN(D25:D29),D25:D29,0))</f>
        <v>06.36 GS 2031</v>
      </c>
      <c r="C36" s="19">
        <f>MIN(D25:D29)</f>
        <v>6.4237000000000002E-2</v>
      </c>
    </row>
    <row r="37" spans="1:4" ht="15" customHeight="1" x14ac:dyDescent="0.3">
      <c r="A37" s="15" t="s">
        <v>112</v>
      </c>
      <c r="B37" s="12" t="str">
        <f>INDEX(A25:A29,MATCH(MAX(F25:F29),F25:F29,0))</f>
        <v>06.68 GS 2040</v>
      </c>
      <c r="C37" s="25">
        <f>MAX(F25:F29)</f>
        <v>14</v>
      </c>
    </row>
    <row r="40" spans="1:4" ht="15" customHeight="1" x14ac:dyDescent="0.3">
      <c r="A40" s="13" t="s">
        <v>113</v>
      </c>
    </row>
    <row r="42" spans="1:4" ht="30" customHeight="1" x14ac:dyDescent="0.3">
      <c r="A42" s="14" t="s">
        <v>75</v>
      </c>
      <c r="B42" s="26" t="s">
        <v>114</v>
      </c>
      <c r="C42" s="26" t="s">
        <v>115</v>
      </c>
      <c r="D42" s="26" t="s">
        <v>116</v>
      </c>
    </row>
    <row r="43" spans="1:4" ht="15" customHeight="1" x14ac:dyDescent="0.3">
      <c r="A43" s="15" t="s">
        <v>117</v>
      </c>
      <c r="B43" s="23">
        <v>99.74</v>
      </c>
      <c r="C43" s="23">
        <v>96.974999999999994</v>
      </c>
      <c r="D43" s="23">
        <v>1146</v>
      </c>
    </row>
    <row r="44" spans="1:4" ht="15" customHeight="1" x14ac:dyDescent="0.3">
      <c r="A44" s="15" t="s">
        <v>118</v>
      </c>
      <c r="B44" s="16">
        <v>20</v>
      </c>
      <c r="C44" s="16">
        <v>10</v>
      </c>
      <c r="D44" s="16">
        <v>200</v>
      </c>
    </row>
    <row r="45" spans="1:4" ht="15" customHeight="1" x14ac:dyDescent="0.3">
      <c r="A45" s="15" t="s">
        <v>119</v>
      </c>
      <c r="B45" s="23">
        <v>99.75</v>
      </c>
      <c r="C45" s="23">
        <v>96.99</v>
      </c>
      <c r="D45" s="23">
        <v>1149</v>
      </c>
    </row>
    <row r="46" spans="1:4" ht="15" customHeight="1" x14ac:dyDescent="0.3">
      <c r="A46" s="15" t="s">
        <v>120</v>
      </c>
      <c r="B46" s="16">
        <v>5</v>
      </c>
      <c r="C46" s="16">
        <v>10</v>
      </c>
      <c r="D46" s="16">
        <v>5</v>
      </c>
    </row>
    <row r="47" spans="1:4" ht="15" customHeight="1" x14ac:dyDescent="0.3">
      <c r="A47" s="15" t="s">
        <v>121</v>
      </c>
      <c r="B47" s="23">
        <v>99.81</v>
      </c>
      <c r="C47" s="23">
        <v>97.174999999999997</v>
      </c>
      <c r="D47" s="23">
        <v>1145.25</v>
      </c>
    </row>
    <row r="48" spans="1:4" ht="15" customHeight="1" x14ac:dyDescent="0.3">
      <c r="A48" s="15" t="s">
        <v>122</v>
      </c>
      <c r="B48" s="23">
        <v>99.74</v>
      </c>
      <c r="C48" s="23">
        <v>96.962500000000006</v>
      </c>
      <c r="D48" s="23">
        <v>1144.1500000000001</v>
      </c>
    </row>
    <row r="49" spans="1:4" ht="15" customHeight="1" x14ac:dyDescent="0.3">
      <c r="A49" s="15" t="s">
        <v>91</v>
      </c>
      <c r="B49" s="16" t="s">
        <v>92</v>
      </c>
      <c r="C49" s="16" t="s">
        <v>93</v>
      </c>
      <c r="D49" s="16">
        <v>1770</v>
      </c>
    </row>
    <row r="50" spans="1:4" ht="15" customHeight="1" x14ac:dyDescent="0.3">
      <c r="A50" s="15" t="s">
        <v>123</v>
      </c>
      <c r="D50" s="23">
        <v>1150.99</v>
      </c>
    </row>
    <row r="51" spans="1:4" ht="30" customHeight="1" x14ac:dyDescent="0.3">
      <c r="A51" s="15" t="s">
        <v>124</v>
      </c>
      <c r="D51" s="23">
        <v>1144.4100000000001</v>
      </c>
    </row>
    <row r="53" spans="1:4" ht="30" customHeight="1" x14ac:dyDescent="0.3">
      <c r="A53" s="20" t="s">
        <v>125</v>
      </c>
      <c r="B53" s="20"/>
      <c r="C53" s="20"/>
      <c r="D53" s="20"/>
    </row>
  </sheetData>
  <mergeCells count="2">
    <mergeCell ref="A16:D16"/>
    <mergeCell ref="A53:D5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HCLTECH</vt:lpstr>
      <vt:lpstr>ITC</vt:lpstr>
      <vt:lpstr>HDFCBANK</vt:lpstr>
      <vt:lpstr>MARUTI</vt:lpstr>
      <vt:lpstr>RELIANCE</vt:lpstr>
      <vt:lpstr>DR.REDDY'S</vt:lpstr>
      <vt:lpstr>NIFTY50</vt:lpstr>
      <vt:lpstr>SUMMARY STATISTICS</vt:lpstr>
      <vt:lpstr>PORTFOLIO ANALYSIS</vt:lpstr>
      <vt:lpstr>PRICE-VOLUME ANALYSIS</vt:lpstr>
      <vt:lpstr>CAPM</vt:lpstr>
      <vt:lpstr>BONDS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Pala Anusha</dc:creator>
  <dc:description/>
  <cp:lastModifiedBy>Pala Anusha</cp:lastModifiedBy>
  <cp:revision>15</cp:revision>
  <dcterms:created xsi:type="dcterms:W3CDTF">2015-06-05T18:17:20Z</dcterms:created>
  <dcterms:modified xsi:type="dcterms:W3CDTF">2026-08-04T10:09:13Z</dcterms:modified>
  <dc:language>en-US</dc:language>
</cp:coreProperties>
</file>